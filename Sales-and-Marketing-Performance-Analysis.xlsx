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1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OneDrive\Desktop\excel\data analysis project\"/>
    </mc:Choice>
  </mc:AlternateContent>
  <xr:revisionPtr revIDLastSave="0" documentId="13_ncr:1_{D00B778D-674B-408C-A3EF-6143E9E759A8}" xr6:coauthVersionLast="47" xr6:coauthVersionMax="47" xr10:uidLastSave="{00000000-0000-0000-0000-000000000000}"/>
  <bookViews>
    <workbookView xWindow="-108" yWindow="-108" windowWidth="23256" windowHeight="12456" firstSheet="7" activeTab="7" xr2:uid="{00000000-000D-0000-FFFF-FFFF00000000}"/>
  </bookViews>
  <sheets>
    <sheet name="Task_List" sheetId="2" r:id="rId1"/>
    <sheet name="audit" sheetId="11" r:id="rId2"/>
    <sheet name="Pivot analysis" sheetId="15" r:id="rId3"/>
    <sheet name="Target variance analysis table" sheetId="18" r:id="rId4"/>
    <sheet name="Cleaned data" sheetId="13" r:id="rId5"/>
    <sheet name="KPI summary" sheetId="14" r:id="rId6"/>
    <sheet name="Raw_Orders" sheetId="3" r:id="rId7"/>
    <sheet name="Customers" sheetId="4" r:id="rId8"/>
    <sheet name="Products" sheetId="5" r:id="rId9"/>
    <sheet name="Marketing_Spend" sheetId="6" r:id="rId10"/>
    <sheet name="Monthly_Targets" sheetId="7" r:id="rId11"/>
  </sheets>
  <definedNames>
    <definedName name="ExternalData_1" localSheetId="4" hidden="1">'Cleaned data'!$A$1:$W$721</definedName>
  </definedNames>
  <calcPr calcId="191029"/>
  <pivotCaches>
    <pivotCache cacheId="0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6" l="1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F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H9" i="6"/>
  <c r="J9" i="6" s="1"/>
  <c r="I3" i="6"/>
  <c r="I2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H2" i="6"/>
  <c r="J2" i="6" s="1"/>
  <c r="H3" i="6"/>
  <c r="J3" i="6" s="1"/>
  <c r="H4" i="6"/>
  <c r="J4" i="6" s="1"/>
  <c r="H5" i="6"/>
  <c r="J5" i="6" s="1"/>
  <c r="H6" i="6"/>
  <c r="J6" i="6" s="1"/>
  <c r="H7" i="6"/>
  <c r="J7" i="6" s="1"/>
  <c r="H8" i="6"/>
  <c r="J8" i="6" s="1"/>
  <c r="H10" i="6"/>
  <c r="J10" i="6" s="1"/>
  <c r="H11" i="6"/>
  <c r="J11" i="6" s="1"/>
  <c r="H12" i="6"/>
  <c r="J12" i="6" s="1"/>
  <c r="H13" i="6"/>
  <c r="J13" i="6" s="1"/>
  <c r="H14" i="6"/>
  <c r="J14" i="6" s="1"/>
  <c r="H15" i="6"/>
  <c r="J15" i="6" s="1"/>
  <c r="H16" i="6"/>
  <c r="J16" i="6" s="1"/>
  <c r="H17" i="6"/>
  <c r="J17" i="6" s="1"/>
  <c r="H18" i="6"/>
  <c r="J18" i="6" s="1"/>
  <c r="H19" i="6"/>
  <c r="J19" i="6" s="1"/>
  <c r="H20" i="6"/>
  <c r="J20" i="6" s="1"/>
  <c r="H21" i="6"/>
  <c r="J21" i="6" s="1"/>
  <c r="H22" i="6"/>
  <c r="J22" i="6" s="1"/>
  <c r="H23" i="6"/>
  <c r="J23" i="6" s="1"/>
  <c r="H24" i="6"/>
  <c r="J24" i="6" s="1"/>
  <c r="H25" i="6"/>
  <c r="J25" i="6" s="1"/>
  <c r="H26" i="6"/>
  <c r="J26" i="6" s="1"/>
  <c r="H27" i="6"/>
  <c r="J27" i="6" s="1"/>
  <c r="H28" i="6"/>
  <c r="J28" i="6" s="1"/>
  <c r="H29" i="6"/>
  <c r="J29" i="6" s="1"/>
  <c r="H30" i="6"/>
  <c r="J30" i="6" s="1"/>
  <c r="H31" i="6"/>
  <c r="J31" i="6" s="1"/>
  <c r="H32" i="6"/>
  <c r="J32" i="6" s="1"/>
  <c r="H33" i="6"/>
  <c r="J33" i="6" s="1"/>
  <c r="H34" i="6"/>
  <c r="J34" i="6" s="1"/>
  <c r="H35" i="6"/>
  <c r="J35" i="6" s="1"/>
  <c r="H36" i="6"/>
  <c r="J36" i="6" s="1"/>
  <c r="H37" i="6"/>
  <c r="J37" i="6" s="1"/>
  <c r="H38" i="6"/>
  <c r="J38" i="6" s="1"/>
  <c r="H39" i="6"/>
  <c r="J39" i="6" s="1"/>
  <c r="H40" i="6"/>
  <c r="J40" i="6" s="1"/>
  <c r="H41" i="6"/>
  <c r="J41" i="6" s="1"/>
  <c r="H42" i="6"/>
  <c r="J42" i="6" s="1"/>
  <c r="H43" i="6"/>
  <c r="J43" i="6" s="1"/>
  <c r="H44" i="6"/>
  <c r="J44" i="6" s="1"/>
  <c r="H45" i="6"/>
  <c r="J45" i="6" s="1"/>
  <c r="H46" i="6"/>
  <c r="J46" i="6" s="1"/>
  <c r="H47" i="6"/>
  <c r="J47" i="6" s="1"/>
  <c r="H48" i="6"/>
  <c r="J48" i="6" s="1"/>
  <c r="H49" i="6"/>
  <c r="J49" i="6" s="1"/>
  <c r="H50" i="6"/>
  <c r="J50" i="6" s="1"/>
  <c r="H51" i="6"/>
  <c r="J51" i="6" s="1"/>
  <c r="H52" i="6"/>
  <c r="J52" i="6" s="1"/>
  <c r="H53" i="6"/>
  <c r="J53" i="6" s="1"/>
  <c r="H54" i="6"/>
  <c r="J54" i="6" s="1"/>
  <c r="H55" i="6"/>
  <c r="J55" i="6" s="1"/>
  <c r="H56" i="6"/>
  <c r="J56" i="6" s="1"/>
  <c r="H57" i="6"/>
  <c r="J57" i="6" s="1"/>
  <c r="H58" i="6"/>
  <c r="J58" i="6" s="1"/>
  <c r="H59" i="6"/>
  <c r="J59" i="6" s="1"/>
  <c r="H60" i="6"/>
  <c r="J60" i="6" s="1"/>
  <c r="H61" i="6"/>
  <c r="J61" i="6" s="1"/>
  <c r="H62" i="6"/>
  <c r="J62" i="6" s="1"/>
  <c r="H63" i="6"/>
  <c r="J63" i="6" s="1"/>
  <c r="H64" i="6"/>
  <c r="J64" i="6" s="1"/>
  <c r="H65" i="6"/>
  <c r="J65" i="6" s="1"/>
  <c r="H66" i="6"/>
  <c r="J66" i="6" s="1"/>
  <c r="H67" i="6"/>
  <c r="J67" i="6" s="1"/>
  <c r="H68" i="6"/>
  <c r="J68" i="6" s="1"/>
  <c r="H69" i="6"/>
  <c r="J69" i="6" s="1"/>
  <c r="H70" i="6"/>
  <c r="J70" i="6" s="1"/>
  <c r="H71" i="6"/>
  <c r="J71" i="6" s="1"/>
  <c r="H72" i="6"/>
  <c r="J72" i="6" s="1"/>
  <c r="H73" i="6"/>
  <c r="J73" i="6" s="1"/>
  <c r="H74" i="6"/>
  <c r="J74" i="6" s="1"/>
  <c r="H75" i="6"/>
  <c r="J75" i="6" s="1"/>
  <c r="H76" i="6"/>
  <c r="J76" i="6" s="1"/>
  <c r="H77" i="6"/>
  <c r="J77" i="6" s="1"/>
  <c r="H78" i="6"/>
  <c r="J78" i="6" s="1"/>
  <c r="H79" i="6"/>
  <c r="J79" i="6" s="1"/>
  <c r="H80" i="6"/>
  <c r="J80" i="6" s="1"/>
  <c r="H81" i="6"/>
  <c r="J81" i="6" s="1"/>
  <c r="H82" i="6"/>
  <c r="J82" i="6" s="1"/>
  <c r="H83" i="6"/>
  <c r="J83" i="6" s="1"/>
  <c r="H84" i="6"/>
  <c r="J84" i="6" s="1"/>
  <c r="H85" i="6"/>
  <c r="J85" i="6" s="1"/>
  <c r="H86" i="6"/>
  <c r="J86" i="6" s="1"/>
  <c r="H87" i="6"/>
  <c r="J87" i="6" s="1"/>
  <c r="H88" i="6"/>
  <c r="J88" i="6" s="1"/>
  <c r="H89" i="6"/>
  <c r="J89" i="6" s="1"/>
  <c r="H90" i="6"/>
  <c r="J90" i="6" s="1"/>
  <c r="H91" i="6"/>
  <c r="J91" i="6" s="1"/>
  <c r="H92" i="6"/>
  <c r="J92" i="6" s="1"/>
  <c r="H93" i="6"/>
  <c r="J93" i="6" s="1"/>
  <c r="H94" i="6"/>
  <c r="J94" i="6" s="1"/>
  <c r="H95" i="6"/>
  <c r="J95" i="6" s="1"/>
  <c r="H96" i="6"/>
  <c r="J96" i="6" s="1"/>
  <c r="H97" i="6"/>
  <c r="J97" i="6" s="1"/>
  <c r="H98" i="6"/>
  <c r="J98" i="6" s="1"/>
  <c r="H99" i="6"/>
  <c r="J99" i="6" s="1"/>
  <c r="H100" i="6"/>
  <c r="J100" i="6" s="1"/>
  <c r="H101" i="6"/>
  <c r="J101" i="6" s="1"/>
  <c r="H102" i="6"/>
  <c r="J102" i="6" s="1"/>
  <c r="H103" i="6"/>
  <c r="J103" i="6" s="1"/>
  <c r="H104" i="6"/>
  <c r="J104" i="6" s="1"/>
  <c r="H105" i="6"/>
  <c r="J105" i="6" s="1"/>
  <c r="H106" i="6"/>
  <c r="J106" i="6" s="1"/>
  <c r="H107" i="6"/>
  <c r="J107" i="6" s="1"/>
  <c r="H108" i="6"/>
  <c r="J108" i="6" s="1"/>
  <c r="H109" i="6"/>
  <c r="J109" i="6" s="1"/>
  <c r="H110" i="6"/>
  <c r="J110" i="6" s="1"/>
  <c r="H111" i="6"/>
  <c r="J111" i="6" s="1"/>
  <c r="H112" i="6"/>
  <c r="J112" i="6" s="1"/>
  <c r="H113" i="6"/>
  <c r="J113" i="6" s="1"/>
  <c r="H114" i="6"/>
  <c r="J114" i="6" s="1"/>
  <c r="H115" i="6"/>
  <c r="J115" i="6" s="1"/>
  <c r="H116" i="6"/>
  <c r="J116" i="6" s="1"/>
  <c r="H117" i="6"/>
  <c r="J117" i="6" s="1"/>
  <c r="H118" i="6"/>
  <c r="J118" i="6" s="1"/>
  <c r="H119" i="6"/>
  <c r="J119" i="6" s="1"/>
  <c r="H120" i="6"/>
  <c r="J120" i="6" s="1"/>
  <c r="H121" i="6"/>
  <c r="J121" i="6" s="1"/>
  <c r="H122" i="6"/>
  <c r="J122" i="6" s="1"/>
  <c r="H123" i="6"/>
  <c r="J123" i="6" s="1"/>
  <c r="H124" i="6"/>
  <c r="J124" i="6" s="1"/>
  <c r="H125" i="6"/>
  <c r="J125" i="6" s="1"/>
  <c r="H126" i="6"/>
  <c r="J126" i="6" s="1"/>
  <c r="H127" i="6"/>
  <c r="J127" i="6" s="1"/>
  <c r="H128" i="6"/>
  <c r="J128" i="6" s="1"/>
  <c r="H129" i="6"/>
  <c r="J129" i="6" s="1"/>
  <c r="H130" i="6"/>
  <c r="J130" i="6" s="1"/>
  <c r="H131" i="6"/>
  <c r="J131" i="6" s="1"/>
  <c r="H132" i="6"/>
  <c r="J132" i="6" s="1"/>
  <c r="H133" i="6"/>
  <c r="J133" i="6" s="1"/>
  <c r="H134" i="6"/>
  <c r="J134" i="6" s="1"/>
  <c r="H135" i="6"/>
  <c r="J135" i="6" s="1"/>
  <c r="H136" i="6"/>
  <c r="J136" i="6" s="1"/>
  <c r="H137" i="6"/>
  <c r="J137" i="6" s="1"/>
  <c r="H138" i="6"/>
  <c r="J138" i="6" s="1"/>
  <c r="H139" i="6"/>
  <c r="J139" i="6" s="1"/>
  <c r="H140" i="6"/>
  <c r="J140" i="6" s="1"/>
  <c r="H141" i="6"/>
  <c r="J141" i="6" s="1"/>
  <c r="H142" i="6"/>
  <c r="J142" i="6" s="1"/>
  <c r="H143" i="6"/>
  <c r="J143" i="6" s="1"/>
  <c r="H144" i="6"/>
  <c r="J144" i="6" s="1"/>
  <c r="H145" i="6"/>
  <c r="J145" i="6" s="1"/>
  <c r="H146" i="6"/>
  <c r="J146" i="6" s="1"/>
  <c r="H147" i="6"/>
  <c r="J147" i="6" s="1"/>
  <c r="H148" i="6"/>
  <c r="J148" i="6" s="1"/>
  <c r="H149" i="6"/>
  <c r="J149" i="6" s="1"/>
  <c r="H150" i="6"/>
  <c r="J150" i="6" s="1"/>
  <c r="H151" i="6"/>
  <c r="J151" i="6" s="1"/>
  <c r="H152" i="6"/>
  <c r="J152" i="6" s="1"/>
  <c r="H153" i="6"/>
  <c r="J153" i="6" s="1"/>
  <c r="H154" i="6"/>
  <c r="J154" i="6" s="1"/>
  <c r="H155" i="6"/>
  <c r="J155" i="6" s="1"/>
  <c r="H156" i="6"/>
  <c r="J156" i="6" s="1"/>
  <c r="H157" i="6"/>
  <c r="J157" i="6" s="1"/>
  <c r="H158" i="6"/>
  <c r="J158" i="6" s="1"/>
  <c r="H159" i="6"/>
  <c r="J159" i="6" s="1"/>
  <c r="H160" i="6"/>
  <c r="J160" i="6" s="1"/>
  <c r="H161" i="6"/>
  <c r="J161" i="6" s="1"/>
  <c r="H162" i="6"/>
  <c r="J162" i="6" s="1"/>
  <c r="H163" i="6"/>
  <c r="J163" i="6" s="1"/>
  <c r="H164" i="6"/>
  <c r="J164" i="6" s="1"/>
  <c r="H165" i="6"/>
  <c r="J165" i="6" s="1"/>
  <c r="H166" i="6"/>
  <c r="J166" i="6" s="1"/>
  <c r="H167" i="6"/>
  <c r="J167" i="6" s="1"/>
  <c r="H168" i="6"/>
  <c r="J168" i="6" s="1"/>
  <c r="H169" i="6"/>
  <c r="J169" i="6" s="1"/>
  <c r="H170" i="6"/>
  <c r="J170" i="6" s="1"/>
  <c r="H171" i="6"/>
  <c r="J171" i="6" s="1"/>
  <c r="H172" i="6"/>
  <c r="J172" i="6" s="1"/>
  <c r="H173" i="6"/>
  <c r="J173" i="6" s="1"/>
  <c r="H174" i="6"/>
  <c r="J174" i="6" s="1"/>
  <c r="H175" i="6"/>
  <c r="J175" i="6" s="1"/>
  <c r="H176" i="6"/>
  <c r="J176" i="6" s="1"/>
  <c r="H177" i="6"/>
  <c r="J177" i="6" s="1"/>
  <c r="H178" i="6"/>
  <c r="J178" i="6" s="1"/>
  <c r="H179" i="6"/>
  <c r="J179" i="6" s="1"/>
  <c r="H180" i="6"/>
  <c r="J180" i="6" s="1"/>
  <c r="H181" i="6"/>
  <c r="J181" i="6" s="1"/>
  <c r="H182" i="6"/>
  <c r="J182" i="6" s="1"/>
  <c r="H183" i="6"/>
  <c r="J183" i="6" s="1"/>
  <c r="H184" i="6"/>
  <c r="J184" i="6" s="1"/>
  <c r="H185" i="6"/>
  <c r="J185" i="6" s="1"/>
  <c r="H186" i="6"/>
  <c r="J186" i="6" s="1"/>
  <c r="H187" i="6"/>
  <c r="J187" i="6" s="1"/>
  <c r="H188" i="6"/>
  <c r="J188" i="6" s="1"/>
  <c r="H189" i="6"/>
  <c r="J189" i="6" s="1"/>
  <c r="H190" i="6"/>
  <c r="J190" i="6" s="1"/>
  <c r="H191" i="6"/>
  <c r="J191" i="6" s="1"/>
  <c r="H192" i="6"/>
  <c r="J192" i="6" s="1"/>
  <c r="H193" i="6"/>
  <c r="J193" i="6" s="1"/>
  <c r="H194" i="6"/>
  <c r="J194" i="6" s="1"/>
  <c r="H195" i="6"/>
  <c r="J195" i="6" s="1"/>
  <c r="H196" i="6"/>
  <c r="J196" i="6" s="1"/>
  <c r="H197" i="6"/>
  <c r="J197" i="6" s="1"/>
  <c r="H198" i="6"/>
  <c r="J198" i="6" s="1"/>
  <c r="H199" i="6"/>
  <c r="J199" i="6" s="1"/>
  <c r="H200" i="6"/>
  <c r="J200" i="6" s="1"/>
  <c r="H201" i="6"/>
  <c r="J201" i="6" s="1"/>
  <c r="H202" i="6"/>
  <c r="J202" i="6" s="1"/>
  <c r="H203" i="6"/>
  <c r="J203" i="6" s="1"/>
  <c r="H204" i="6"/>
  <c r="J204" i="6" s="1"/>
  <c r="H205" i="6"/>
  <c r="J205" i="6" s="1"/>
  <c r="H206" i="6"/>
  <c r="J206" i="6" s="1"/>
  <c r="H207" i="6"/>
  <c r="J207" i="6" s="1"/>
  <c r="H208" i="6"/>
  <c r="J208" i="6" s="1"/>
  <c r="H209" i="6"/>
  <c r="J209" i="6" s="1"/>
  <c r="H210" i="6"/>
  <c r="J210" i="6" s="1"/>
  <c r="H211" i="6"/>
  <c r="J211" i="6" s="1"/>
  <c r="H212" i="6"/>
  <c r="J212" i="6" s="1"/>
  <c r="H213" i="6"/>
  <c r="J213" i="6" s="1"/>
  <c r="H214" i="6"/>
  <c r="J214" i="6" s="1"/>
  <c r="H215" i="6"/>
  <c r="J215" i="6" s="1"/>
  <c r="H216" i="6"/>
  <c r="J216" i="6" s="1"/>
  <c r="H217" i="6"/>
  <c r="J217" i="6" s="1"/>
  <c r="H218" i="6"/>
  <c r="J218" i="6" s="1"/>
  <c r="H219" i="6"/>
  <c r="J219" i="6" s="1"/>
  <c r="H220" i="6"/>
  <c r="J220" i="6" s="1"/>
  <c r="H221" i="6"/>
  <c r="J221" i="6" s="1"/>
  <c r="H222" i="6"/>
  <c r="J222" i="6" s="1"/>
  <c r="H223" i="6"/>
  <c r="J223" i="6" s="1"/>
  <c r="H224" i="6"/>
  <c r="J224" i="6" s="1"/>
  <c r="H225" i="6"/>
  <c r="J225" i="6" s="1"/>
  <c r="H226" i="6"/>
  <c r="J226" i="6" s="1"/>
  <c r="H227" i="6"/>
  <c r="J227" i="6" s="1"/>
  <c r="H228" i="6"/>
  <c r="J228" i="6" s="1"/>
  <c r="H229" i="6"/>
  <c r="J229" i="6" s="1"/>
  <c r="H230" i="6"/>
  <c r="J230" i="6" s="1"/>
  <c r="H231" i="6"/>
  <c r="J231" i="6" s="1"/>
  <c r="H232" i="6"/>
  <c r="J232" i="6" s="1"/>
  <c r="H233" i="6"/>
  <c r="J233" i="6" s="1"/>
  <c r="H234" i="6"/>
  <c r="J234" i="6" s="1"/>
  <c r="H235" i="6"/>
  <c r="J235" i="6" s="1"/>
  <c r="H236" i="6"/>
  <c r="J236" i="6" s="1"/>
  <c r="H237" i="6"/>
  <c r="J237" i="6" s="1"/>
  <c r="H238" i="6"/>
  <c r="J238" i="6" s="1"/>
  <c r="H239" i="6"/>
  <c r="J239" i="6" s="1"/>
  <c r="H240" i="6"/>
  <c r="J240" i="6" s="1"/>
  <c r="H241" i="6"/>
  <c r="J241" i="6" s="1"/>
  <c r="H242" i="6"/>
  <c r="J242" i="6" s="1"/>
  <c r="H243" i="6"/>
  <c r="J243" i="6" s="1"/>
  <c r="H244" i="6"/>
  <c r="J244" i="6" s="1"/>
  <c r="H245" i="6"/>
  <c r="J245" i="6" s="1"/>
  <c r="H246" i="6"/>
  <c r="J246" i="6" s="1"/>
  <c r="H247" i="6"/>
  <c r="J247" i="6" s="1"/>
  <c r="H248" i="6"/>
  <c r="J248" i="6" s="1"/>
  <c r="H249" i="6"/>
  <c r="J249" i="6" s="1"/>
  <c r="H250" i="6"/>
  <c r="J250" i="6" s="1"/>
  <c r="H251" i="6"/>
  <c r="J251" i="6" s="1"/>
  <c r="H252" i="6"/>
  <c r="J252" i="6" s="1"/>
  <c r="H253" i="6"/>
  <c r="J253" i="6" s="1"/>
  <c r="H254" i="6"/>
  <c r="J254" i="6" s="1"/>
  <c r="H255" i="6"/>
  <c r="J255" i="6" s="1"/>
  <c r="H256" i="6"/>
  <c r="J256" i="6" s="1"/>
  <c r="H257" i="6"/>
  <c r="J257" i="6" s="1"/>
  <c r="H258" i="6"/>
  <c r="J258" i="6" s="1"/>
  <c r="H259" i="6"/>
  <c r="J259" i="6" s="1"/>
  <c r="H260" i="6"/>
  <c r="J260" i="6" s="1"/>
  <c r="H261" i="6"/>
  <c r="J261" i="6" s="1"/>
  <c r="H262" i="6"/>
  <c r="J262" i="6" s="1"/>
  <c r="H263" i="6"/>
  <c r="J263" i="6" s="1"/>
  <c r="H264" i="6"/>
  <c r="J264" i="6" s="1"/>
  <c r="H265" i="6"/>
  <c r="J265" i="6" s="1"/>
  <c r="H266" i="6"/>
  <c r="J266" i="6" s="1"/>
  <c r="H267" i="6"/>
  <c r="J267" i="6" s="1"/>
  <c r="H268" i="6"/>
  <c r="J268" i="6" s="1"/>
  <c r="H269" i="6"/>
  <c r="J269" i="6" s="1"/>
  <c r="H270" i="6"/>
  <c r="J270" i="6" s="1"/>
  <c r="H271" i="6"/>
  <c r="J271" i="6" s="1"/>
  <c r="H272" i="6"/>
  <c r="J272" i="6" s="1"/>
  <c r="H273" i="6"/>
  <c r="J273" i="6" s="1"/>
  <c r="H274" i="6"/>
  <c r="J274" i="6" s="1"/>
  <c r="H275" i="6"/>
  <c r="J275" i="6" s="1"/>
  <c r="H276" i="6"/>
  <c r="J276" i="6" s="1"/>
  <c r="H277" i="6"/>
  <c r="J277" i="6" s="1"/>
  <c r="H278" i="6"/>
  <c r="J278" i="6" s="1"/>
  <c r="H279" i="6"/>
  <c r="J279" i="6" s="1"/>
  <c r="H280" i="6"/>
  <c r="J280" i="6" s="1"/>
  <c r="H281" i="6"/>
  <c r="J281" i="6" s="1"/>
  <c r="H282" i="6"/>
  <c r="J282" i="6" s="1"/>
  <c r="H283" i="6"/>
  <c r="J283" i="6" s="1"/>
  <c r="H284" i="6"/>
  <c r="J284" i="6" s="1"/>
  <c r="H285" i="6"/>
  <c r="J285" i="6" s="1"/>
  <c r="H286" i="6"/>
  <c r="J286" i="6" s="1"/>
  <c r="H287" i="6"/>
  <c r="J287" i="6" s="1"/>
  <c r="H288" i="6"/>
  <c r="J288" i="6" s="1"/>
  <c r="H289" i="6"/>
  <c r="J289" i="6" s="1"/>
  <c r="H290" i="6"/>
  <c r="J290" i="6" s="1"/>
  <c r="H291" i="6"/>
  <c r="J291" i="6" s="1"/>
  <c r="H292" i="6"/>
  <c r="J292" i="6" s="1"/>
  <c r="H293" i="6"/>
  <c r="J293" i="6" s="1"/>
  <c r="H294" i="6"/>
  <c r="J294" i="6" s="1"/>
  <c r="H295" i="6"/>
  <c r="J295" i="6" s="1"/>
  <c r="H296" i="6"/>
  <c r="J296" i="6" s="1"/>
  <c r="H297" i="6"/>
  <c r="J297" i="6" s="1"/>
  <c r="H298" i="6"/>
  <c r="J298" i="6" s="1"/>
  <c r="H299" i="6"/>
  <c r="J299" i="6" s="1"/>
  <c r="H300" i="6"/>
  <c r="J300" i="6" s="1"/>
  <c r="H301" i="6"/>
  <c r="J301" i="6" s="1"/>
  <c r="H302" i="6"/>
  <c r="J302" i="6" s="1"/>
  <c r="H303" i="6"/>
  <c r="J303" i="6" s="1"/>
  <c r="H304" i="6"/>
  <c r="J304" i="6" s="1"/>
  <c r="H305" i="6"/>
  <c r="J305" i="6" s="1"/>
  <c r="H306" i="6"/>
  <c r="J306" i="6" s="1"/>
  <c r="H307" i="6"/>
  <c r="J307" i="6" s="1"/>
  <c r="H308" i="6"/>
  <c r="J308" i="6" s="1"/>
  <c r="H309" i="6"/>
  <c r="J309" i="6" s="1"/>
  <c r="H310" i="6"/>
  <c r="J310" i="6" s="1"/>
  <c r="H311" i="6"/>
  <c r="J311" i="6" s="1"/>
  <c r="H312" i="6"/>
  <c r="J312" i="6" s="1"/>
  <c r="H313" i="6"/>
  <c r="J313" i="6" s="1"/>
  <c r="H314" i="6"/>
  <c r="J314" i="6" s="1"/>
  <c r="H315" i="6"/>
  <c r="J315" i="6" s="1"/>
  <c r="H316" i="6"/>
  <c r="J316" i="6" s="1"/>
  <c r="H317" i="6"/>
  <c r="J317" i="6" s="1"/>
  <c r="H318" i="6"/>
  <c r="J318" i="6" s="1"/>
  <c r="H319" i="6"/>
  <c r="J319" i="6" s="1"/>
  <c r="H320" i="6"/>
  <c r="J320" i="6" s="1"/>
  <c r="H321" i="6"/>
  <c r="J321" i="6" s="1"/>
  <c r="H322" i="6"/>
  <c r="J322" i="6" s="1"/>
  <c r="H323" i="6"/>
  <c r="J323" i="6" s="1"/>
  <c r="H324" i="6"/>
  <c r="J324" i="6" s="1"/>
  <c r="H325" i="6"/>
  <c r="J325" i="6" s="1"/>
  <c r="H326" i="6"/>
  <c r="J326" i="6" s="1"/>
  <c r="H327" i="6"/>
  <c r="J327" i="6" s="1"/>
  <c r="H328" i="6"/>
  <c r="J328" i="6" s="1"/>
  <c r="H329" i="6"/>
  <c r="J329" i="6" s="1"/>
  <c r="H330" i="6"/>
  <c r="J330" i="6" s="1"/>
  <c r="H331" i="6"/>
  <c r="J331" i="6" s="1"/>
  <c r="H332" i="6"/>
  <c r="J332" i="6" s="1"/>
  <c r="H333" i="6"/>
  <c r="J333" i="6" s="1"/>
  <c r="H334" i="6"/>
  <c r="J334" i="6" s="1"/>
  <c r="H335" i="6"/>
  <c r="J335" i="6" s="1"/>
  <c r="H336" i="6"/>
  <c r="J336" i="6" s="1"/>
  <c r="H337" i="6"/>
  <c r="J337" i="6" s="1"/>
  <c r="H338" i="6"/>
  <c r="J338" i="6" s="1"/>
  <c r="H339" i="6"/>
  <c r="J339" i="6" s="1"/>
  <c r="H340" i="6"/>
  <c r="J340" i="6" s="1"/>
  <c r="H341" i="6"/>
  <c r="J341" i="6" s="1"/>
  <c r="H342" i="6"/>
  <c r="J342" i="6" s="1"/>
  <c r="H343" i="6"/>
  <c r="J343" i="6" s="1"/>
  <c r="H344" i="6"/>
  <c r="J344" i="6" s="1"/>
  <c r="H345" i="6"/>
  <c r="J345" i="6" s="1"/>
  <c r="H346" i="6"/>
  <c r="J346" i="6" s="1"/>
  <c r="H347" i="6"/>
  <c r="J347" i="6" s="1"/>
  <c r="H348" i="6"/>
  <c r="J348" i="6" s="1"/>
  <c r="H349" i="6"/>
  <c r="J349" i="6" s="1"/>
  <c r="H350" i="6"/>
  <c r="J350" i="6" s="1"/>
  <c r="H351" i="6"/>
  <c r="J351" i="6" s="1"/>
  <c r="H352" i="6"/>
  <c r="J352" i="6" s="1"/>
  <c r="H353" i="6"/>
  <c r="J353" i="6" s="1"/>
  <c r="H354" i="6"/>
  <c r="J354" i="6" s="1"/>
  <c r="H355" i="6"/>
  <c r="J355" i="6" s="1"/>
  <c r="H356" i="6"/>
  <c r="J356" i="6" s="1"/>
  <c r="H357" i="6"/>
  <c r="J357" i="6" s="1"/>
  <c r="H358" i="6"/>
  <c r="J358" i="6" s="1"/>
  <c r="H359" i="6"/>
  <c r="J359" i="6" s="1"/>
  <c r="H360" i="6"/>
  <c r="J360" i="6" s="1"/>
  <c r="H361" i="6"/>
  <c r="J361" i="6" s="1"/>
  <c r="H362" i="6"/>
  <c r="J362" i="6" s="1"/>
  <c r="H363" i="6"/>
  <c r="J363" i="6" s="1"/>
  <c r="H364" i="6"/>
  <c r="J364" i="6" s="1"/>
  <c r="H365" i="6"/>
  <c r="J365" i="6" s="1"/>
  <c r="H366" i="6"/>
  <c r="J366" i="6" s="1"/>
  <c r="H367" i="6"/>
  <c r="J367" i="6" s="1"/>
  <c r="H368" i="6"/>
  <c r="J368" i="6" s="1"/>
  <c r="H369" i="6"/>
  <c r="J369" i="6" s="1"/>
  <c r="H370" i="6"/>
  <c r="J370" i="6" s="1"/>
  <c r="H371" i="6"/>
  <c r="J371" i="6" s="1"/>
  <c r="H372" i="6"/>
  <c r="J372" i="6" s="1"/>
  <c r="H373" i="6"/>
  <c r="J373" i="6" s="1"/>
  <c r="H374" i="6"/>
  <c r="J374" i="6" s="1"/>
  <c r="H375" i="6"/>
  <c r="J375" i="6" s="1"/>
  <c r="H376" i="6"/>
  <c r="J376" i="6" s="1"/>
  <c r="H377" i="6"/>
  <c r="J377" i="6" s="1"/>
  <c r="H378" i="6"/>
  <c r="J378" i="6" s="1"/>
  <c r="H379" i="6"/>
  <c r="J379" i="6" s="1"/>
  <c r="H380" i="6"/>
  <c r="J380" i="6" s="1"/>
  <c r="H381" i="6"/>
  <c r="J381" i="6" s="1"/>
  <c r="H382" i="6"/>
  <c r="J382" i="6" s="1"/>
  <c r="H383" i="6"/>
  <c r="J383" i="6" s="1"/>
  <c r="H384" i="6"/>
  <c r="J384" i="6" s="1"/>
  <c r="H385" i="6"/>
  <c r="J385" i="6" s="1"/>
  <c r="H386" i="6"/>
  <c r="J386" i="6" s="1"/>
  <c r="H387" i="6"/>
  <c r="J387" i="6" s="1"/>
  <c r="H388" i="6"/>
  <c r="J388" i="6" s="1"/>
  <c r="H389" i="6"/>
  <c r="J389" i="6" s="1"/>
  <c r="H390" i="6"/>
  <c r="J390" i="6" s="1"/>
  <c r="H391" i="6"/>
  <c r="J391" i="6" s="1"/>
  <c r="H392" i="6"/>
  <c r="J392" i="6" s="1"/>
  <c r="H393" i="6"/>
  <c r="J393" i="6" s="1"/>
  <c r="H394" i="6"/>
  <c r="J394" i="6" s="1"/>
  <c r="H395" i="6"/>
  <c r="J395" i="6" s="1"/>
  <c r="H396" i="6"/>
  <c r="J396" i="6" s="1"/>
  <c r="H397" i="6"/>
  <c r="J397" i="6" s="1"/>
  <c r="H398" i="6"/>
  <c r="J398" i="6" s="1"/>
  <c r="H399" i="6"/>
  <c r="J399" i="6" s="1"/>
  <c r="H400" i="6"/>
  <c r="J400" i="6" s="1"/>
  <c r="H401" i="6"/>
  <c r="J401" i="6" s="1"/>
  <c r="H402" i="6"/>
  <c r="J402" i="6" s="1"/>
  <c r="H403" i="6"/>
  <c r="J403" i="6" s="1"/>
  <c r="H404" i="6"/>
  <c r="J404" i="6" s="1"/>
  <c r="H405" i="6"/>
  <c r="J405" i="6" s="1"/>
  <c r="H406" i="6"/>
  <c r="J406" i="6" s="1"/>
  <c r="H407" i="6"/>
  <c r="J407" i="6" s="1"/>
  <c r="H408" i="6"/>
  <c r="J408" i="6" s="1"/>
  <c r="H409" i="6"/>
  <c r="J409" i="6" s="1"/>
  <c r="H410" i="6"/>
  <c r="J410" i="6" s="1"/>
  <c r="H411" i="6"/>
  <c r="J411" i="6" s="1"/>
  <c r="H412" i="6"/>
  <c r="J412" i="6" s="1"/>
  <c r="H413" i="6"/>
  <c r="J413" i="6" s="1"/>
  <c r="H414" i="6"/>
  <c r="J414" i="6" s="1"/>
  <c r="H415" i="6"/>
  <c r="J415" i="6" s="1"/>
  <c r="H416" i="6"/>
  <c r="J416" i="6" s="1"/>
  <c r="H417" i="6"/>
  <c r="J417" i="6" s="1"/>
  <c r="H418" i="6"/>
  <c r="J418" i="6" s="1"/>
  <c r="H419" i="6"/>
  <c r="J419" i="6" s="1"/>
  <c r="H420" i="6"/>
  <c r="J420" i="6" s="1"/>
  <c r="H421" i="6"/>
  <c r="J421" i="6" s="1"/>
  <c r="H422" i="6"/>
  <c r="J422" i="6" s="1"/>
  <c r="H423" i="6"/>
  <c r="J423" i="6" s="1"/>
  <c r="H424" i="6"/>
  <c r="J424" i="6" s="1"/>
  <c r="H425" i="6"/>
  <c r="J425" i="6" s="1"/>
  <c r="H426" i="6"/>
  <c r="J426" i="6" s="1"/>
  <c r="H427" i="6"/>
  <c r="J427" i="6" s="1"/>
  <c r="H428" i="6"/>
  <c r="J428" i="6" s="1"/>
  <c r="H429" i="6"/>
  <c r="J429" i="6" s="1"/>
  <c r="H430" i="6"/>
  <c r="J430" i="6" s="1"/>
  <c r="H431" i="6"/>
  <c r="J431" i="6" s="1"/>
  <c r="H432" i="6"/>
  <c r="J432" i="6" s="1"/>
  <c r="H433" i="6"/>
  <c r="J433" i="6" s="1"/>
  <c r="H434" i="6"/>
  <c r="J434" i="6" s="1"/>
  <c r="H435" i="6"/>
  <c r="J435" i="6" s="1"/>
  <c r="H436" i="6"/>
  <c r="J436" i="6" s="1"/>
  <c r="H437" i="6"/>
  <c r="J437" i="6" s="1"/>
  <c r="H438" i="6"/>
  <c r="J438" i="6" s="1"/>
  <c r="H439" i="6"/>
  <c r="J439" i="6" s="1"/>
  <c r="H440" i="6"/>
  <c r="J440" i="6" s="1"/>
  <c r="H441" i="6"/>
  <c r="J441" i="6" s="1"/>
  <c r="H442" i="6"/>
  <c r="J442" i="6" s="1"/>
  <c r="H443" i="6"/>
  <c r="J443" i="6" s="1"/>
  <c r="H444" i="6"/>
  <c r="J444" i="6" s="1"/>
  <c r="H445" i="6"/>
  <c r="J445" i="6" s="1"/>
  <c r="H446" i="6"/>
  <c r="J446" i="6" s="1"/>
  <c r="H447" i="6"/>
  <c r="J447" i="6" s="1"/>
  <c r="H448" i="6"/>
  <c r="J448" i="6" s="1"/>
  <c r="H449" i="6"/>
  <c r="J449" i="6" s="1"/>
  <c r="H450" i="6"/>
  <c r="J450" i="6" s="1"/>
  <c r="H451" i="6"/>
  <c r="J451" i="6" s="1"/>
  <c r="H452" i="6"/>
  <c r="J452" i="6" s="1"/>
  <c r="H453" i="6"/>
  <c r="J453" i="6" s="1"/>
  <c r="H454" i="6"/>
  <c r="J454" i="6" s="1"/>
  <c r="H455" i="6"/>
  <c r="J455" i="6" s="1"/>
  <c r="H456" i="6"/>
  <c r="J456" i="6" s="1"/>
  <c r="H457" i="6"/>
  <c r="J457" i="6" s="1"/>
  <c r="H458" i="6"/>
  <c r="J458" i="6" s="1"/>
  <c r="H459" i="6"/>
  <c r="J459" i="6" s="1"/>
  <c r="H460" i="6"/>
  <c r="J460" i="6" s="1"/>
  <c r="H461" i="6"/>
  <c r="J461" i="6" s="1"/>
  <c r="H462" i="6"/>
  <c r="J462" i="6" s="1"/>
  <c r="H463" i="6"/>
  <c r="J463" i="6" s="1"/>
  <c r="H464" i="6"/>
  <c r="J464" i="6" s="1"/>
  <c r="H465" i="6"/>
  <c r="J465" i="6" s="1"/>
  <c r="H466" i="6"/>
  <c r="J466" i="6" s="1"/>
  <c r="H467" i="6"/>
  <c r="J467" i="6" s="1"/>
  <c r="H468" i="6"/>
  <c r="J468" i="6" s="1"/>
  <c r="H469" i="6"/>
  <c r="J469" i="6" s="1"/>
  <c r="H470" i="6"/>
  <c r="J470" i="6" s="1"/>
  <c r="H471" i="6"/>
  <c r="J471" i="6" s="1"/>
  <c r="H472" i="6"/>
  <c r="J472" i="6" s="1"/>
  <c r="H473" i="6"/>
  <c r="J473" i="6" s="1"/>
  <c r="H474" i="6"/>
  <c r="J474" i="6" s="1"/>
  <c r="H475" i="6"/>
  <c r="J475" i="6" s="1"/>
  <c r="H476" i="6"/>
  <c r="J476" i="6" s="1"/>
  <c r="H477" i="6"/>
  <c r="J477" i="6" s="1"/>
  <c r="H478" i="6"/>
  <c r="J478" i="6" s="1"/>
  <c r="H479" i="6"/>
  <c r="J479" i="6" s="1"/>
  <c r="H480" i="6"/>
  <c r="J480" i="6" s="1"/>
  <c r="H481" i="6"/>
  <c r="J481" i="6" s="1"/>
  <c r="F2" i="18"/>
  <c r="F3" i="18"/>
  <c r="F4" i="18"/>
  <c r="F5" i="18"/>
  <c r="F6" i="18"/>
  <c r="F7" i="18"/>
  <c r="F8" i="18"/>
  <c r="F9" i="18"/>
  <c r="F10" i="18"/>
  <c r="F11" i="18"/>
  <c r="F12" i="18"/>
  <c r="F13" i="18"/>
  <c r="E2" i="18"/>
  <c r="E3" i="18"/>
  <c r="E4" i="18"/>
  <c r="E5" i="18"/>
  <c r="E6" i="18"/>
  <c r="E7" i="18"/>
  <c r="E8" i="18"/>
  <c r="E9" i="18"/>
  <c r="E10" i="18"/>
  <c r="E11" i="18"/>
  <c r="E12" i="18"/>
  <c r="E13" i="18"/>
  <c r="D2" i="18"/>
  <c r="D3" i="18"/>
  <c r="D4" i="18"/>
  <c r="D5" i="18"/>
  <c r="D6" i="18"/>
  <c r="D7" i="18"/>
  <c r="D8" i="18"/>
  <c r="D9" i="18"/>
  <c r="D10" i="18"/>
  <c r="D11" i="18"/>
  <c r="D12" i="18"/>
  <c r="D13" i="18"/>
  <c r="C2" i="18" a="1"/>
  <c r="C2" i="18" s="1"/>
  <c r="C3" i="18" a="1"/>
  <c r="C3" i="18" s="1"/>
  <c r="C4" i="18" a="1"/>
  <c r="C4" i="18" s="1"/>
  <c r="C5" i="18" a="1"/>
  <c r="C5" i="18"/>
  <c r="C6" i="18" a="1"/>
  <c r="C6" i="18" s="1"/>
  <c r="C7" i="18" a="1"/>
  <c r="C7" i="18" s="1"/>
  <c r="C8" i="18" a="1"/>
  <c r="C8" i="18" s="1"/>
  <c r="C9" i="18" a="1"/>
  <c r="C9" i="18"/>
  <c r="C10" i="18" a="1"/>
  <c r="C10" i="18" s="1"/>
  <c r="C11" i="18" a="1"/>
  <c r="C11" i="18" s="1"/>
  <c r="C12" i="18" a="1"/>
  <c r="C12" i="18" s="1"/>
  <c r="C13" i="18" a="1"/>
  <c r="C13" i="18" s="1"/>
  <c r="F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E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B5" i="14"/>
  <c r="B7" i="14"/>
  <c r="AI7" i="13"/>
  <c r="AI6" i="13"/>
  <c r="AI5" i="13"/>
  <c r="AI4" i="13"/>
  <c r="AI2" i="13"/>
  <c r="AI3" i="13"/>
  <c r="AI8" i="13"/>
  <c r="AI9" i="13"/>
  <c r="AI10" i="13"/>
  <c r="AI11" i="13"/>
  <c r="AI12" i="13"/>
  <c r="AI13" i="13"/>
  <c r="AI14" i="13"/>
  <c r="AI15" i="13"/>
  <c r="AI16" i="13"/>
  <c r="AI17" i="13"/>
  <c r="AI18" i="13"/>
  <c r="AI19" i="13"/>
  <c r="AI20" i="13"/>
  <c r="AI21" i="13"/>
  <c r="AI22" i="13"/>
  <c r="AI23" i="13"/>
  <c r="AI24" i="13"/>
  <c r="AI25" i="13"/>
  <c r="AI26" i="13"/>
  <c r="AI27" i="13"/>
  <c r="AI28" i="13"/>
  <c r="AI29" i="13"/>
  <c r="AI30" i="13"/>
  <c r="AI31" i="13"/>
  <c r="AI32" i="13"/>
  <c r="AI33" i="13"/>
  <c r="AI34" i="13"/>
  <c r="AI35" i="13"/>
  <c r="AI36" i="13"/>
  <c r="AI37" i="13"/>
  <c r="AI38" i="13"/>
  <c r="AI39" i="13"/>
  <c r="AI40" i="13"/>
  <c r="AI41" i="13"/>
  <c r="AI42" i="13"/>
  <c r="AI43" i="13"/>
  <c r="AI44" i="13"/>
  <c r="AI45" i="13"/>
  <c r="AI46" i="13"/>
  <c r="AI47" i="13"/>
  <c r="AI48" i="13"/>
  <c r="AI49" i="13"/>
  <c r="AI50" i="13"/>
  <c r="AI51" i="13"/>
  <c r="AI52" i="13"/>
  <c r="AI53" i="13"/>
  <c r="AI54" i="13"/>
  <c r="AI55" i="13"/>
  <c r="AI56" i="13"/>
  <c r="AI57" i="13"/>
  <c r="AI58" i="13"/>
  <c r="AI59" i="13"/>
  <c r="AI60" i="13"/>
  <c r="AI61" i="13"/>
  <c r="AI62" i="13"/>
  <c r="AI63" i="13"/>
  <c r="AI64" i="13"/>
  <c r="AI65" i="13"/>
  <c r="AI66" i="13"/>
  <c r="AI67" i="13"/>
  <c r="AI68" i="13"/>
  <c r="AI69" i="13"/>
  <c r="AI70" i="13"/>
  <c r="AI71" i="13"/>
  <c r="AI72" i="13"/>
  <c r="AI73" i="13"/>
  <c r="AI74" i="13"/>
  <c r="AI75" i="13"/>
  <c r="AI76" i="13"/>
  <c r="AI77" i="13"/>
  <c r="AI78" i="13"/>
  <c r="AI79" i="13"/>
  <c r="AI80" i="13"/>
  <c r="AI81" i="13"/>
  <c r="AI82" i="13"/>
  <c r="AI83" i="13"/>
  <c r="AI84" i="13"/>
  <c r="AI85" i="13"/>
  <c r="AI86" i="13"/>
  <c r="AI87" i="13"/>
  <c r="AI88" i="13"/>
  <c r="AI89" i="13"/>
  <c r="AI90" i="13"/>
  <c r="AI91" i="13"/>
  <c r="AI92" i="13"/>
  <c r="AI93" i="13"/>
  <c r="AI94" i="13"/>
  <c r="AI95" i="13"/>
  <c r="AI96" i="13"/>
  <c r="AI97" i="13"/>
  <c r="AI98" i="13"/>
  <c r="AI99" i="13"/>
  <c r="AI100" i="13"/>
  <c r="AI101" i="13"/>
  <c r="AI102" i="13"/>
  <c r="AI103" i="13"/>
  <c r="AI104" i="13"/>
  <c r="AI105" i="13"/>
  <c r="AI106" i="13"/>
  <c r="AI107" i="13"/>
  <c r="AI108" i="13"/>
  <c r="AI109" i="13"/>
  <c r="AI110" i="13"/>
  <c r="AI111" i="13"/>
  <c r="AI112" i="13"/>
  <c r="AI113" i="13"/>
  <c r="AI114" i="13"/>
  <c r="AI115" i="13"/>
  <c r="AI116" i="13"/>
  <c r="AI117" i="13"/>
  <c r="AI118" i="13"/>
  <c r="AI119" i="13"/>
  <c r="AI120" i="13"/>
  <c r="AI121" i="13"/>
  <c r="AI122" i="13"/>
  <c r="AI123" i="13"/>
  <c r="AI124" i="13"/>
  <c r="AI125" i="13"/>
  <c r="AI126" i="13"/>
  <c r="AI127" i="13"/>
  <c r="AI128" i="13"/>
  <c r="AI129" i="13"/>
  <c r="AI130" i="13"/>
  <c r="AI131" i="13"/>
  <c r="AI132" i="13"/>
  <c r="AI133" i="13"/>
  <c r="AI134" i="13"/>
  <c r="AI135" i="13"/>
  <c r="AI136" i="13"/>
  <c r="AI137" i="13"/>
  <c r="AI138" i="13"/>
  <c r="AI139" i="13"/>
  <c r="AI140" i="13"/>
  <c r="AI141" i="13"/>
  <c r="AI142" i="13"/>
  <c r="AI143" i="13"/>
  <c r="AI144" i="13"/>
  <c r="AI145" i="13"/>
  <c r="AI146" i="13"/>
  <c r="AI147" i="13"/>
  <c r="AI148" i="13"/>
  <c r="AI149" i="13"/>
  <c r="AI150" i="13"/>
  <c r="AI151" i="13"/>
  <c r="AI152" i="13"/>
  <c r="AI153" i="13"/>
  <c r="AI154" i="13"/>
  <c r="AI155" i="13"/>
  <c r="AI156" i="13"/>
  <c r="AI157" i="13"/>
  <c r="AI158" i="13"/>
  <c r="AI159" i="13"/>
  <c r="AI160" i="13"/>
  <c r="AI161" i="13"/>
  <c r="AI162" i="13"/>
  <c r="AI163" i="13"/>
  <c r="AI164" i="13"/>
  <c r="AI165" i="13"/>
  <c r="AI166" i="13"/>
  <c r="AI167" i="13"/>
  <c r="AI168" i="13"/>
  <c r="AI169" i="13"/>
  <c r="AI170" i="13"/>
  <c r="AI171" i="13"/>
  <c r="AI172" i="13"/>
  <c r="AI173" i="13"/>
  <c r="AI174" i="13"/>
  <c r="AI175" i="13"/>
  <c r="AI176" i="13"/>
  <c r="AI177" i="13"/>
  <c r="AI178" i="13"/>
  <c r="AI179" i="13"/>
  <c r="AI180" i="13"/>
  <c r="AI181" i="13"/>
  <c r="AI182" i="13"/>
  <c r="AI183" i="13"/>
  <c r="AI184" i="13"/>
  <c r="AI185" i="13"/>
  <c r="AI186" i="13"/>
  <c r="AI187" i="13"/>
  <c r="AI188" i="13"/>
  <c r="AI189" i="13"/>
  <c r="AI190" i="13"/>
  <c r="AI191" i="13"/>
  <c r="AI192" i="13"/>
  <c r="AI193" i="13"/>
  <c r="AI194" i="13"/>
  <c r="AI195" i="13"/>
  <c r="AI196" i="13"/>
  <c r="AI197" i="13"/>
  <c r="AI198" i="13"/>
  <c r="AI199" i="13"/>
  <c r="AI200" i="13"/>
  <c r="AI201" i="13"/>
  <c r="AI202" i="13"/>
  <c r="AI203" i="13"/>
  <c r="AI204" i="13"/>
  <c r="AI205" i="13"/>
  <c r="AI206" i="13"/>
  <c r="AI207" i="13"/>
  <c r="AI208" i="13"/>
  <c r="AI209" i="13"/>
  <c r="AI210" i="13"/>
  <c r="AI211" i="13"/>
  <c r="AI212" i="13"/>
  <c r="AI213" i="13"/>
  <c r="AI214" i="13"/>
  <c r="AI215" i="13"/>
  <c r="AI216" i="13"/>
  <c r="AI217" i="13"/>
  <c r="AI218" i="13"/>
  <c r="AI219" i="13"/>
  <c r="AI220" i="13"/>
  <c r="AI221" i="13"/>
  <c r="AI222" i="13"/>
  <c r="AI223" i="13"/>
  <c r="AI224" i="13"/>
  <c r="AI225" i="13"/>
  <c r="AI226" i="13"/>
  <c r="AI227" i="13"/>
  <c r="AI228" i="13"/>
  <c r="AI229" i="13"/>
  <c r="AI230" i="13"/>
  <c r="AI231" i="13"/>
  <c r="AI232" i="13"/>
  <c r="AI233" i="13"/>
  <c r="AI234" i="13"/>
  <c r="AI235" i="13"/>
  <c r="AI236" i="13"/>
  <c r="AI237" i="13"/>
  <c r="AI238" i="13"/>
  <c r="AI239" i="13"/>
  <c r="AI240" i="13"/>
  <c r="AI241" i="13"/>
  <c r="AI242" i="13"/>
  <c r="AI243" i="13"/>
  <c r="AI244" i="13"/>
  <c r="AI245" i="13"/>
  <c r="AI246" i="13"/>
  <c r="AI247" i="13"/>
  <c r="AI248" i="13"/>
  <c r="AI249" i="13"/>
  <c r="AI250" i="13"/>
  <c r="AI251" i="13"/>
  <c r="AI252" i="13"/>
  <c r="AI253" i="13"/>
  <c r="AI254" i="13"/>
  <c r="AI255" i="13"/>
  <c r="AI256" i="13"/>
  <c r="AI257" i="13"/>
  <c r="AI258" i="13"/>
  <c r="AI259" i="13"/>
  <c r="AI260" i="13"/>
  <c r="AI261" i="13"/>
  <c r="AI262" i="13"/>
  <c r="AI263" i="13"/>
  <c r="AI264" i="13"/>
  <c r="AI265" i="13"/>
  <c r="AI266" i="13"/>
  <c r="AI267" i="13"/>
  <c r="AI268" i="13"/>
  <c r="AI269" i="13"/>
  <c r="AI270" i="13"/>
  <c r="AI271" i="13"/>
  <c r="AI272" i="13"/>
  <c r="AI273" i="13"/>
  <c r="AI274" i="13"/>
  <c r="AI275" i="13"/>
  <c r="AI276" i="13"/>
  <c r="AI277" i="13"/>
  <c r="AI278" i="13"/>
  <c r="AI279" i="13"/>
  <c r="AI280" i="13"/>
  <c r="AI281" i="13"/>
  <c r="AI282" i="13"/>
  <c r="AI283" i="13"/>
  <c r="AI284" i="13"/>
  <c r="AI285" i="13"/>
  <c r="AI286" i="13"/>
  <c r="AI287" i="13"/>
  <c r="AI288" i="13"/>
  <c r="AI289" i="13"/>
  <c r="AI290" i="13"/>
  <c r="AI291" i="13"/>
  <c r="AI292" i="13"/>
  <c r="AI293" i="13"/>
  <c r="AI294" i="13"/>
  <c r="AI295" i="13"/>
  <c r="AI296" i="13"/>
  <c r="AI297" i="13"/>
  <c r="AI298" i="13"/>
  <c r="AI299" i="13"/>
  <c r="AI300" i="13"/>
  <c r="AI301" i="13"/>
  <c r="AI302" i="13"/>
  <c r="AI303" i="13"/>
  <c r="AI304" i="13"/>
  <c r="AI305" i="13"/>
  <c r="AI306" i="13"/>
  <c r="AI307" i="13"/>
  <c r="AI308" i="13"/>
  <c r="AI309" i="13"/>
  <c r="AI310" i="13"/>
  <c r="AI311" i="13"/>
  <c r="AI312" i="13"/>
  <c r="AI313" i="13"/>
  <c r="AI314" i="13"/>
  <c r="AI315" i="13"/>
  <c r="AI316" i="13"/>
  <c r="AI317" i="13"/>
  <c r="AI318" i="13"/>
  <c r="AI319" i="13"/>
  <c r="AI320" i="13"/>
  <c r="AI321" i="13"/>
  <c r="AI322" i="13"/>
  <c r="AI323" i="13"/>
  <c r="AI324" i="13"/>
  <c r="AI325" i="13"/>
  <c r="AI326" i="13"/>
  <c r="AI327" i="13"/>
  <c r="AI328" i="13"/>
  <c r="AI329" i="13"/>
  <c r="AI330" i="13"/>
  <c r="AI331" i="13"/>
  <c r="AI332" i="13"/>
  <c r="AI333" i="13"/>
  <c r="AI334" i="13"/>
  <c r="AI335" i="13"/>
  <c r="AI336" i="13"/>
  <c r="AI337" i="13"/>
  <c r="AI338" i="13"/>
  <c r="AI339" i="13"/>
  <c r="AI340" i="13"/>
  <c r="AI341" i="13"/>
  <c r="AI342" i="13"/>
  <c r="AI343" i="13"/>
  <c r="AI344" i="13"/>
  <c r="AI345" i="13"/>
  <c r="AI346" i="13"/>
  <c r="AI347" i="13"/>
  <c r="AI348" i="13"/>
  <c r="AI349" i="13"/>
  <c r="AI350" i="13"/>
  <c r="AI351" i="13"/>
  <c r="AI352" i="13"/>
  <c r="AI353" i="13"/>
  <c r="AI354" i="13"/>
  <c r="AI355" i="13"/>
  <c r="AI356" i="13"/>
  <c r="AI357" i="13"/>
  <c r="AI358" i="13"/>
  <c r="AI359" i="13"/>
  <c r="AI360" i="13"/>
  <c r="AI361" i="13"/>
  <c r="AI362" i="13"/>
  <c r="AI363" i="13"/>
  <c r="AI364" i="13"/>
  <c r="AI365" i="13"/>
  <c r="AI366" i="13"/>
  <c r="AI367" i="13"/>
  <c r="AI368" i="13"/>
  <c r="AI369" i="13"/>
  <c r="AI370" i="13"/>
  <c r="AI371" i="13"/>
  <c r="AI372" i="13"/>
  <c r="AI373" i="13"/>
  <c r="AI374" i="13"/>
  <c r="AI375" i="13"/>
  <c r="AI376" i="13"/>
  <c r="AI377" i="13"/>
  <c r="AI378" i="13"/>
  <c r="AI379" i="13"/>
  <c r="AI380" i="13"/>
  <c r="AI381" i="13"/>
  <c r="AI382" i="13"/>
  <c r="AI383" i="13"/>
  <c r="AI384" i="13"/>
  <c r="AI385" i="13"/>
  <c r="AI386" i="13"/>
  <c r="AI387" i="13"/>
  <c r="AI388" i="13"/>
  <c r="AI389" i="13"/>
  <c r="AI390" i="13"/>
  <c r="AI391" i="13"/>
  <c r="AI392" i="13"/>
  <c r="AI393" i="13"/>
  <c r="AI394" i="13"/>
  <c r="AI395" i="13"/>
  <c r="AI396" i="13"/>
  <c r="AI397" i="13"/>
  <c r="AI398" i="13"/>
  <c r="AI399" i="13"/>
  <c r="AI400" i="13"/>
  <c r="AI401" i="13"/>
  <c r="AI402" i="13"/>
  <c r="AI403" i="13"/>
  <c r="AI404" i="13"/>
  <c r="AI405" i="13"/>
  <c r="AI406" i="13"/>
  <c r="AI407" i="13"/>
  <c r="AI408" i="13"/>
  <c r="AI409" i="13"/>
  <c r="AI410" i="13"/>
  <c r="AI411" i="13"/>
  <c r="AI412" i="13"/>
  <c r="AI413" i="13"/>
  <c r="AI414" i="13"/>
  <c r="AI415" i="13"/>
  <c r="AI416" i="13"/>
  <c r="AI417" i="13"/>
  <c r="AI418" i="13"/>
  <c r="AI419" i="13"/>
  <c r="AI420" i="13"/>
  <c r="AI421" i="13"/>
  <c r="AI422" i="13"/>
  <c r="AI423" i="13"/>
  <c r="AI424" i="13"/>
  <c r="AI425" i="13"/>
  <c r="AI426" i="13"/>
  <c r="AI427" i="13"/>
  <c r="AI428" i="13"/>
  <c r="AI429" i="13"/>
  <c r="AI430" i="13"/>
  <c r="AI431" i="13"/>
  <c r="AI432" i="13"/>
  <c r="AI433" i="13"/>
  <c r="AI434" i="13"/>
  <c r="AI435" i="13"/>
  <c r="AI436" i="13"/>
  <c r="AI437" i="13"/>
  <c r="AI438" i="13"/>
  <c r="AI439" i="13"/>
  <c r="AI440" i="13"/>
  <c r="AI441" i="13"/>
  <c r="AI442" i="13"/>
  <c r="AI443" i="13"/>
  <c r="AI444" i="13"/>
  <c r="AI445" i="13"/>
  <c r="AI446" i="13"/>
  <c r="AI447" i="13"/>
  <c r="AI448" i="13"/>
  <c r="AI449" i="13"/>
  <c r="AI450" i="13"/>
  <c r="AI451" i="13"/>
  <c r="AI452" i="13"/>
  <c r="AI453" i="13"/>
  <c r="AI454" i="13"/>
  <c r="AI455" i="13"/>
  <c r="AI456" i="13"/>
  <c r="AI457" i="13"/>
  <c r="AI458" i="13"/>
  <c r="AI459" i="13"/>
  <c r="AI460" i="13"/>
  <c r="AI461" i="13"/>
  <c r="AI462" i="13"/>
  <c r="AI463" i="13"/>
  <c r="AI464" i="13"/>
  <c r="AI465" i="13"/>
  <c r="AI466" i="13"/>
  <c r="AI467" i="13"/>
  <c r="AI468" i="13"/>
  <c r="AI469" i="13"/>
  <c r="AI470" i="13"/>
  <c r="AI471" i="13"/>
  <c r="AI472" i="13"/>
  <c r="AI473" i="13"/>
  <c r="AI474" i="13"/>
  <c r="AI475" i="13"/>
  <c r="AI476" i="13"/>
  <c r="AI477" i="13"/>
  <c r="AI478" i="13"/>
  <c r="AI479" i="13"/>
  <c r="AI480" i="13"/>
  <c r="AI481" i="13"/>
  <c r="AI482" i="13"/>
  <c r="AI483" i="13"/>
  <c r="AI484" i="13"/>
  <c r="AI485" i="13"/>
  <c r="AI486" i="13"/>
  <c r="AI487" i="13"/>
  <c r="AI488" i="13"/>
  <c r="AI489" i="13"/>
  <c r="AI490" i="13"/>
  <c r="AI491" i="13"/>
  <c r="AI492" i="13"/>
  <c r="AI493" i="13"/>
  <c r="AI494" i="13"/>
  <c r="AI495" i="13"/>
  <c r="AI496" i="13"/>
  <c r="AI497" i="13"/>
  <c r="AI498" i="13"/>
  <c r="AI499" i="13"/>
  <c r="AI500" i="13"/>
  <c r="AI501" i="13"/>
  <c r="AI502" i="13"/>
  <c r="AI503" i="13"/>
  <c r="AI504" i="13"/>
  <c r="AI505" i="13"/>
  <c r="AI506" i="13"/>
  <c r="AI507" i="13"/>
  <c r="AI508" i="13"/>
  <c r="AI509" i="13"/>
  <c r="AI510" i="13"/>
  <c r="AI511" i="13"/>
  <c r="AI512" i="13"/>
  <c r="AI513" i="13"/>
  <c r="AI514" i="13"/>
  <c r="AI515" i="13"/>
  <c r="AI516" i="13"/>
  <c r="AI517" i="13"/>
  <c r="AI518" i="13"/>
  <c r="AI519" i="13"/>
  <c r="AI520" i="13"/>
  <c r="AI521" i="13"/>
  <c r="AI522" i="13"/>
  <c r="AI523" i="13"/>
  <c r="AI524" i="13"/>
  <c r="AI525" i="13"/>
  <c r="AI526" i="13"/>
  <c r="AI527" i="13"/>
  <c r="AI528" i="13"/>
  <c r="AI529" i="13"/>
  <c r="AI530" i="13"/>
  <c r="AI531" i="13"/>
  <c r="AI532" i="13"/>
  <c r="AI533" i="13"/>
  <c r="AI534" i="13"/>
  <c r="AI535" i="13"/>
  <c r="AI536" i="13"/>
  <c r="AI537" i="13"/>
  <c r="AI538" i="13"/>
  <c r="AI539" i="13"/>
  <c r="AI540" i="13"/>
  <c r="AI541" i="13"/>
  <c r="AI542" i="13"/>
  <c r="AI543" i="13"/>
  <c r="AI544" i="13"/>
  <c r="AI545" i="13"/>
  <c r="AI546" i="13"/>
  <c r="AI547" i="13"/>
  <c r="AI548" i="13"/>
  <c r="AI549" i="13"/>
  <c r="AI550" i="13"/>
  <c r="AI551" i="13"/>
  <c r="AI552" i="13"/>
  <c r="AI553" i="13"/>
  <c r="AI554" i="13"/>
  <c r="AI555" i="13"/>
  <c r="AI556" i="13"/>
  <c r="AI557" i="13"/>
  <c r="AI558" i="13"/>
  <c r="AI559" i="13"/>
  <c r="AI560" i="13"/>
  <c r="AI561" i="13"/>
  <c r="AI562" i="13"/>
  <c r="AI563" i="13"/>
  <c r="AI564" i="13"/>
  <c r="AI565" i="13"/>
  <c r="AI566" i="13"/>
  <c r="AI567" i="13"/>
  <c r="AI568" i="13"/>
  <c r="AI569" i="13"/>
  <c r="AI570" i="13"/>
  <c r="AI571" i="13"/>
  <c r="AI572" i="13"/>
  <c r="AI573" i="13"/>
  <c r="AI574" i="13"/>
  <c r="AI575" i="13"/>
  <c r="AI576" i="13"/>
  <c r="AI577" i="13"/>
  <c r="AI578" i="13"/>
  <c r="AI579" i="13"/>
  <c r="AI580" i="13"/>
  <c r="AI581" i="13"/>
  <c r="AI582" i="13"/>
  <c r="AI583" i="13"/>
  <c r="AI584" i="13"/>
  <c r="AI585" i="13"/>
  <c r="AI586" i="13"/>
  <c r="AI587" i="13"/>
  <c r="AI588" i="13"/>
  <c r="AI589" i="13"/>
  <c r="AI590" i="13"/>
  <c r="AI591" i="13"/>
  <c r="AI592" i="13"/>
  <c r="AI593" i="13"/>
  <c r="AI594" i="13"/>
  <c r="AI595" i="13"/>
  <c r="AI596" i="13"/>
  <c r="AI597" i="13"/>
  <c r="AI598" i="13"/>
  <c r="AI599" i="13"/>
  <c r="AI600" i="13"/>
  <c r="AI601" i="13"/>
  <c r="AI602" i="13"/>
  <c r="AI603" i="13"/>
  <c r="AI604" i="13"/>
  <c r="AI605" i="13"/>
  <c r="AI606" i="13"/>
  <c r="AI607" i="13"/>
  <c r="AI608" i="13"/>
  <c r="AI609" i="13"/>
  <c r="AI610" i="13"/>
  <c r="AI611" i="13"/>
  <c r="AI612" i="13"/>
  <c r="AI613" i="13"/>
  <c r="AI614" i="13"/>
  <c r="AI615" i="13"/>
  <c r="AI616" i="13"/>
  <c r="AI617" i="13"/>
  <c r="AI618" i="13"/>
  <c r="AI619" i="13"/>
  <c r="AI620" i="13"/>
  <c r="AI621" i="13"/>
  <c r="AI622" i="13"/>
  <c r="AI623" i="13"/>
  <c r="AI624" i="13"/>
  <c r="AI625" i="13"/>
  <c r="AI626" i="13"/>
  <c r="AI627" i="13"/>
  <c r="AI628" i="13"/>
  <c r="AI629" i="13"/>
  <c r="AI630" i="13"/>
  <c r="AI631" i="13"/>
  <c r="AI632" i="13"/>
  <c r="AI633" i="13"/>
  <c r="AI634" i="13"/>
  <c r="AI635" i="13"/>
  <c r="AI636" i="13"/>
  <c r="AI637" i="13"/>
  <c r="AI638" i="13"/>
  <c r="AI639" i="13"/>
  <c r="AI640" i="13"/>
  <c r="AI641" i="13"/>
  <c r="AI642" i="13"/>
  <c r="AI643" i="13"/>
  <c r="AI644" i="13"/>
  <c r="AI645" i="13"/>
  <c r="AI646" i="13"/>
  <c r="AI647" i="13"/>
  <c r="AI648" i="13"/>
  <c r="AI649" i="13"/>
  <c r="AI650" i="13"/>
  <c r="AI651" i="13"/>
  <c r="AI652" i="13"/>
  <c r="AI653" i="13"/>
  <c r="AI654" i="13"/>
  <c r="AI655" i="13"/>
  <c r="AI656" i="13"/>
  <c r="AI657" i="13"/>
  <c r="AI658" i="13"/>
  <c r="AI659" i="13"/>
  <c r="AI660" i="13"/>
  <c r="AI661" i="13"/>
  <c r="AI662" i="13"/>
  <c r="AI663" i="13"/>
  <c r="AI664" i="13"/>
  <c r="AI665" i="13"/>
  <c r="AI666" i="13"/>
  <c r="AI667" i="13"/>
  <c r="AI668" i="13"/>
  <c r="AI669" i="13"/>
  <c r="AI670" i="13"/>
  <c r="AI671" i="13"/>
  <c r="AI672" i="13"/>
  <c r="AI673" i="13"/>
  <c r="AI674" i="13"/>
  <c r="AI675" i="13"/>
  <c r="AI676" i="13"/>
  <c r="AI677" i="13"/>
  <c r="AI678" i="13"/>
  <c r="AI679" i="13"/>
  <c r="AI680" i="13"/>
  <c r="AI681" i="13"/>
  <c r="AI682" i="13"/>
  <c r="AI683" i="13"/>
  <c r="AI684" i="13"/>
  <c r="AI685" i="13"/>
  <c r="AI686" i="13"/>
  <c r="AI687" i="13"/>
  <c r="AI688" i="13"/>
  <c r="AI689" i="13"/>
  <c r="AI690" i="13"/>
  <c r="AI691" i="13"/>
  <c r="AI692" i="13"/>
  <c r="AI693" i="13"/>
  <c r="AI694" i="13"/>
  <c r="AI695" i="13"/>
  <c r="AI696" i="13"/>
  <c r="AI697" i="13"/>
  <c r="AI698" i="13"/>
  <c r="AI699" i="13"/>
  <c r="AI700" i="13"/>
  <c r="AI701" i="13"/>
  <c r="AI702" i="13"/>
  <c r="AI703" i="13"/>
  <c r="AI704" i="13"/>
  <c r="AI705" i="13"/>
  <c r="AI706" i="13"/>
  <c r="AI707" i="13"/>
  <c r="AI708" i="13"/>
  <c r="AI709" i="13"/>
  <c r="AI710" i="13"/>
  <c r="AI711" i="13"/>
  <c r="AI712" i="13"/>
  <c r="AI713" i="13"/>
  <c r="AI714" i="13"/>
  <c r="AI715" i="13"/>
  <c r="AI716" i="13"/>
  <c r="AI717" i="13"/>
  <c r="AI718" i="13"/>
  <c r="AI719" i="13"/>
  <c r="AI720" i="13"/>
  <c r="AI721" i="13"/>
  <c r="AJ2" i="13"/>
  <c r="AJ3" i="13"/>
  <c r="AJ4" i="13"/>
  <c r="AJ5" i="13"/>
  <c r="AJ6" i="13"/>
  <c r="AJ7" i="13"/>
  <c r="AJ8" i="13"/>
  <c r="AJ9" i="13"/>
  <c r="AJ10" i="13"/>
  <c r="AJ11" i="13"/>
  <c r="AJ12" i="13"/>
  <c r="AJ13" i="13"/>
  <c r="AJ14" i="13"/>
  <c r="AJ15" i="13"/>
  <c r="AJ16" i="13"/>
  <c r="AJ17" i="13"/>
  <c r="AJ18" i="13"/>
  <c r="AJ19" i="13"/>
  <c r="AJ20" i="13"/>
  <c r="AJ21" i="13"/>
  <c r="AJ22" i="13"/>
  <c r="AJ23" i="13"/>
  <c r="AJ24" i="13"/>
  <c r="AJ25" i="13"/>
  <c r="AJ26" i="13"/>
  <c r="AJ27" i="13"/>
  <c r="AJ28" i="13"/>
  <c r="AJ29" i="13"/>
  <c r="AJ30" i="13"/>
  <c r="AJ31" i="13"/>
  <c r="AJ32" i="13"/>
  <c r="AJ33" i="13"/>
  <c r="AJ34" i="13"/>
  <c r="AJ35" i="13"/>
  <c r="AJ36" i="13"/>
  <c r="AJ37" i="13"/>
  <c r="AJ38" i="13"/>
  <c r="AJ39" i="13"/>
  <c r="AJ40" i="13"/>
  <c r="AJ41" i="13"/>
  <c r="AJ42" i="13"/>
  <c r="AJ43" i="13"/>
  <c r="AJ44" i="13"/>
  <c r="AJ45" i="13"/>
  <c r="AJ46" i="13"/>
  <c r="AJ47" i="13"/>
  <c r="AJ48" i="13"/>
  <c r="AJ49" i="13"/>
  <c r="AJ50" i="13"/>
  <c r="AJ51" i="13"/>
  <c r="AJ52" i="13"/>
  <c r="AJ53" i="13"/>
  <c r="AJ54" i="13"/>
  <c r="AJ55" i="13"/>
  <c r="AJ56" i="13"/>
  <c r="AJ57" i="13"/>
  <c r="AJ58" i="13"/>
  <c r="AJ59" i="13"/>
  <c r="AJ60" i="13"/>
  <c r="AJ61" i="13"/>
  <c r="AJ62" i="13"/>
  <c r="AJ63" i="13"/>
  <c r="AJ64" i="13"/>
  <c r="AJ65" i="13"/>
  <c r="AJ66" i="13"/>
  <c r="AJ67" i="13"/>
  <c r="AJ68" i="13"/>
  <c r="AJ69" i="13"/>
  <c r="AJ70" i="13"/>
  <c r="AJ71" i="13"/>
  <c r="AJ72" i="13"/>
  <c r="AJ73" i="13"/>
  <c r="AJ74" i="13"/>
  <c r="AJ75" i="13"/>
  <c r="AJ76" i="13"/>
  <c r="AJ77" i="13"/>
  <c r="AJ78" i="13"/>
  <c r="AJ79" i="13"/>
  <c r="AJ80" i="13"/>
  <c r="AJ81" i="13"/>
  <c r="AJ82" i="13"/>
  <c r="AJ83" i="13"/>
  <c r="AJ84" i="13"/>
  <c r="AJ85" i="13"/>
  <c r="AJ86" i="13"/>
  <c r="AJ87" i="13"/>
  <c r="AJ88" i="13"/>
  <c r="AJ89" i="13"/>
  <c r="AJ90" i="13"/>
  <c r="AJ91" i="13"/>
  <c r="AJ92" i="13"/>
  <c r="AJ93" i="13"/>
  <c r="AJ94" i="13"/>
  <c r="AJ95" i="13"/>
  <c r="AJ96" i="13"/>
  <c r="AJ97" i="13"/>
  <c r="AJ98" i="13"/>
  <c r="AJ99" i="13"/>
  <c r="AJ100" i="13"/>
  <c r="AJ101" i="13"/>
  <c r="AJ102" i="13"/>
  <c r="AJ103" i="13"/>
  <c r="AJ104" i="13"/>
  <c r="AJ105" i="13"/>
  <c r="AJ106" i="13"/>
  <c r="AJ107" i="13"/>
  <c r="AJ108" i="13"/>
  <c r="AJ109" i="13"/>
  <c r="AJ110" i="13"/>
  <c r="AJ111" i="13"/>
  <c r="AJ112" i="13"/>
  <c r="AJ113" i="13"/>
  <c r="AJ114" i="13"/>
  <c r="AJ115" i="13"/>
  <c r="AJ116" i="13"/>
  <c r="AJ117" i="13"/>
  <c r="AJ118" i="13"/>
  <c r="AJ119" i="13"/>
  <c r="AJ120" i="13"/>
  <c r="AJ121" i="13"/>
  <c r="AJ122" i="13"/>
  <c r="AJ123" i="13"/>
  <c r="AJ124" i="13"/>
  <c r="AJ125" i="13"/>
  <c r="AJ126" i="13"/>
  <c r="AJ127" i="13"/>
  <c r="AJ128" i="13"/>
  <c r="AJ129" i="13"/>
  <c r="AJ130" i="13"/>
  <c r="AJ131" i="13"/>
  <c r="AJ132" i="13"/>
  <c r="AJ133" i="13"/>
  <c r="AJ134" i="13"/>
  <c r="AJ135" i="13"/>
  <c r="AJ136" i="13"/>
  <c r="AJ137" i="13"/>
  <c r="AJ138" i="13"/>
  <c r="AJ139" i="13"/>
  <c r="AJ140" i="13"/>
  <c r="AJ141" i="13"/>
  <c r="AJ142" i="13"/>
  <c r="AJ143" i="13"/>
  <c r="AJ144" i="13"/>
  <c r="AJ145" i="13"/>
  <c r="AJ146" i="13"/>
  <c r="AJ147" i="13"/>
  <c r="AJ148" i="13"/>
  <c r="AJ149" i="13"/>
  <c r="AJ150" i="13"/>
  <c r="AJ151" i="13"/>
  <c r="AJ152" i="13"/>
  <c r="AJ153" i="13"/>
  <c r="AJ154" i="13"/>
  <c r="AJ155" i="13"/>
  <c r="AJ156" i="13"/>
  <c r="AJ157" i="13"/>
  <c r="AJ158" i="13"/>
  <c r="AJ159" i="13"/>
  <c r="AJ160" i="13"/>
  <c r="AJ161" i="13"/>
  <c r="AJ162" i="13"/>
  <c r="AJ163" i="13"/>
  <c r="AJ164" i="13"/>
  <c r="AJ165" i="13"/>
  <c r="AJ166" i="13"/>
  <c r="AJ167" i="13"/>
  <c r="AJ168" i="13"/>
  <c r="AJ169" i="13"/>
  <c r="AJ170" i="13"/>
  <c r="AJ171" i="13"/>
  <c r="AJ172" i="13"/>
  <c r="AJ173" i="13"/>
  <c r="AJ174" i="13"/>
  <c r="AJ175" i="13"/>
  <c r="AJ176" i="13"/>
  <c r="AJ177" i="13"/>
  <c r="AJ178" i="13"/>
  <c r="AJ179" i="13"/>
  <c r="AJ180" i="13"/>
  <c r="AJ181" i="13"/>
  <c r="AJ182" i="13"/>
  <c r="AJ183" i="13"/>
  <c r="AJ184" i="13"/>
  <c r="AJ185" i="13"/>
  <c r="AJ186" i="13"/>
  <c r="AJ187" i="13"/>
  <c r="AJ188" i="13"/>
  <c r="AJ189" i="13"/>
  <c r="AJ190" i="13"/>
  <c r="AJ191" i="13"/>
  <c r="AJ192" i="13"/>
  <c r="AJ193" i="13"/>
  <c r="AJ194" i="13"/>
  <c r="AJ195" i="13"/>
  <c r="AJ196" i="13"/>
  <c r="AJ197" i="13"/>
  <c r="AJ198" i="13"/>
  <c r="AJ199" i="13"/>
  <c r="AJ200" i="13"/>
  <c r="AJ201" i="13"/>
  <c r="AJ202" i="13"/>
  <c r="AJ203" i="13"/>
  <c r="AJ204" i="13"/>
  <c r="AJ205" i="13"/>
  <c r="AJ206" i="13"/>
  <c r="AJ207" i="13"/>
  <c r="AJ208" i="13"/>
  <c r="AJ209" i="13"/>
  <c r="AJ210" i="13"/>
  <c r="AJ211" i="13"/>
  <c r="AJ212" i="13"/>
  <c r="AJ213" i="13"/>
  <c r="AJ214" i="13"/>
  <c r="AJ215" i="13"/>
  <c r="AJ216" i="13"/>
  <c r="AJ217" i="13"/>
  <c r="AJ218" i="13"/>
  <c r="AJ219" i="13"/>
  <c r="AJ220" i="13"/>
  <c r="AJ221" i="13"/>
  <c r="AJ222" i="13"/>
  <c r="AJ223" i="13"/>
  <c r="AJ224" i="13"/>
  <c r="AJ225" i="13"/>
  <c r="AJ226" i="13"/>
  <c r="AJ227" i="13"/>
  <c r="AJ228" i="13"/>
  <c r="AJ229" i="13"/>
  <c r="AJ230" i="13"/>
  <c r="AJ231" i="13"/>
  <c r="AJ232" i="13"/>
  <c r="AJ233" i="13"/>
  <c r="AJ234" i="13"/>
  <c r="AJ235" i="13"/>
  <c r="AJ236" i="13"/>
  <c r="AJ237" i="13"/>
  <c r="AJ238" i="13"/>
  <c r="AJ239" i="13"/>
  <c r="AJ240" i="13"/>
  <c r="AJ241" i="13"/>
  <c r="AJ242" i="13"/>
  <c r="AJ243" i="13"/>
  <c r="AJ244" i="13"/>
  <c r="AJ245" i="13"/>
  <c r="AJ246" i="13"/>
  <c r="AJ247" i="13"/>
  <c r="AJ248" i="13"/>
  <c r="AJ249" i="13"/>
  <c r="AJ250" i="13"/>
  <c r="AJ251" i="13"/>
  <c r="AJ252" i="13"/>
  <c r="AJ253" i="13"/>
  <c r="AJ254" i="13"/>
  <c r="AJ255" i="13"/>
  <c r="AJ256" i="13"/>
  <c r="AJ257" i="13"/>
  <c r="AJ258" i="13"/>
  <c r="AJ259" i="13"/>
  <c r="AJ260" i="13"/>
  <c r="AJ261" i="13"/>
  <c r="AJ262" i="13"/>
  <c r="AJ263" i="13"/>
  <c r="AJ264" i="13"/>
  <c r="AJ265" i="13"/>
  <c r="AJ266" i="13"/>
  <c r="AJ267" i="13"/>
  <c r="AJ268" i="13"/>
  <c r="AJ269" i="13"/>
  <c r="AJ270" i="13"/>
  <c r="AJ271" i="13"/>
  <c r="AJ272" i="13"/>
  <c r="AJ273" i="13"/>
  <c r="AJ274" i="13"/>
  <c r="AJ275" i="13"/>
  <c r="AJ276" i="13"/>
  <c r="AJ277" i="13"/>
  <c r="AJ278" i="13"/>
  <c r="AJ279" i="13"/>
  <c r="AJ280" i="13"/>
  <c r="AJ281" i="13"/>
  <c r="AJ282" i="13"/>
  <c r="AJ283" i="13"/>
  <c r="AJ284" i="13"/>
  <c r="AJ285" i="13"/>
  <c r="AJ286" i="13"/>
  <c r="AJ287" i="13"/>
  <c r="AJ288" i="13"/>
  <c r="AJ289" i="13"/>
  <c r="AJ290" i="13"/>
  <c r="AJ291" i="13"/>
  <c r="AJ292" i="13"/>
  <c r="AJ293" i="13"/>
  <c r="AJ294" i="13"/>
  <c r="AJ295" i="13"/>
  <c r="AJ296" i="13"/>
  <c r="AJ297" i="13"/>
  <c r="AJ298" i="13"/>
  <c r="AJ299" i="13"/>
  <c r="AJ300" i="13"/>
  <c r="AJ301" i="13"/>
  <c r="AJ302" i="13"/>
  <c r="AJ303" i="13"/>
  <c r="AJ304" i="13"/>
  <c r="AJ305" i="13"/>
  <c r="AJ306" i="13"/>
  <c r="AJ307" i="13"/>
  <c r="AJ308" i="13"/>
  <c r="AJ309" i="13"/>
  <c r="AJ310" i="13"/>
  <c r="AJ311" i="13"/>
  <c r="AJ312" i="13"/>
  <c r="AJ313" i="13"/>
  <c r="AJ314" i="13"/>
  <c r="AJ315" i="13"/>
  <c r="AJ316" i="13"/>
  <c r="AJ317" i="13"/>
  <c r="AJ318" i="13"/>
  <c r="AJ319" i="13"/>
  <c r="AJ320" i="13"/>
  <c r="AJ321" i="13"/>
  <c r="AJ322" i="13"/>
  <c r="AJ323" i="13"/>
  <c r="AJ324" i="13"/>
  <c r="AJ325" i="13"/>
  <c r="AJ326" i="13"/>
  <c r="AJ327" i="13"/>
  <c r="AJ328" i="13"/>
  <c r="AJ329" i="13"/>
  <c r="AJ330" i="13"/>
  <c r="AJ331" i="13"/>
  <c r="AJ332" i="13"/>
  <c r="AJ333" i="13"/>
  <c r="AJ334" i="13"/>
  <c r="AJ335" i="13"/>
  <c r="AJ336" i="13"/>
  <c r="AJ337" i="13"/>
  <c r="AJ338" i="13"/>
  <c r="AJ339" i="13"/>
  <c r="AJ340" i="13"/>
  <c r="AJ341" i="13"/>
  <c r="AJ342" i="13"/>
  <c r="AJ343" i="13"/>
  <c r="AJ344" i="13"/>
  <c r="AJ345" i="13"/>
  <c r="AJ346" i="13"/>
  <c r="AJ347" i="13"/>
  <c r="AJ348" i="13"/>
  <c r="AJ349" i="13"/>
  <c r="AJ350" i="13"/>
  <c r="AJ351" i="13"/>
  <c r="AJ352" i="13"/>
  <c r="AJ353" i="13"/>
  <c r="AJ354" i="13"/>
  <c r="AJ355" i="13"/>
  <c r="AJ356" i="13"/>
  <c r="AJ357" i="13"/>
  <c r="AJ358" i="13"/>
  <c r="AJ359" i="13"/>
  <c r="AJ360" i="13"/>
  <c r="AJ361" i="13"/>
  <c r="AJ362" i="13"/>
  <c r="AJ363" i="13"/>
  <c r="AJ364" i="13"/>
  <c r="AJ365" i="13"/>
  <c r="AJ366" i="13"/>
  <c r="AJ367" i="13"/>
  <c r="AJ368" i="13"/>
  <c r="AJ369" i="13"/>
  <c r="AJ370" i="13"/>
  <c r="AJ371" i="13"/>
  <c r="AJ372" i="13"/>
  <c r="AJ373" i="13"/>
  <c r="AJ374" i="13"/>
  <c r="AJ375" i="13"/>
  <c r="AJ376" i="13"/>
  <c r="AJ377" i="13"/>
  <c r="AJ378" i="13"/>
  <c r="AJ379" i="13"/>
  <c r="AJ380" i="13"/>
  <c r="AJ381" i="13"/>
  <c r="AJ382" i="13"/>
  <c r="AJ383" i="13"/>
  <c r="AJ384" i="13"/>
  <c r="AJ385" i="13"/>
  <c r="AJ386" i="13"/>
  <c r="AJ387" i="13"/>
  <c r="AJ388" i="13"/>
  <c r="AJ389" i="13"/>
  <c r="AJ390" i="13"/>
  <c r="AJ391" i="13"/>
  <c r="AJ392" i="13"/>
  <c r="AJ393" i="13"/>
  <c r="AJ394" i="13"/>
  <c r="AJ395" i="13"/>
  <c r="AJ396" i="13"/>
  <c r="AJ397" i="13"/>
  <c r="AJ398" i="13"/>
  <c r="AJ399" i="13"/>
  <c r="AJ400" i="13"/>
  <c r="AJ401" i="13"/>
  <c r="AJ402" i="13"/>
  <c r="AJ403" i="13"/>
  <c r="AJ404" i="13"/>
  <c r="AJ405" i="13"/>
  <c r="AJ406" i="13"/>
  <c r="AJ407" i="13"/>
  <c r="AJ408" i="13"/>
  <c r="AJ409" i="13"/>
  <c r="AJ410" i="13"/>
  <c r="AJ411" i="13"/>
  <c r="AJ412" i="13"/>
  <c r="AJ413" i="13"/>
  <c r="AJ414" i="13"/>
  <c r="AJ415" i="13"/>
  <c r="AJ416" i="13"/>
  <c r="AJ417" i="13"/>
  <c r="AJ418" i="13"/>
  <c r="AJ419" i="13"/>
  <c r="AJ420" i="13"/>
  <c r="AJ421" i="13"/>
  <c r="AJ422" i="13"/>
  <c r="AJ423" i="13"/>
  <c r="AJ424" i="13"/>
  <c r="AJ425" i="13"/>
  <c r="AJ426" i="13"/>
  <c r="AJ427" i="13"/>
  <c r="AJ428" i="13"/>
  <c r="AJ429" i="13"/>
  <c r="AJ430" i="13"/>
  <c r="AJ431" i="13"/>
  <c r="AJ432" i="13"/>
  <c r="AJ433" i="13"/>
  <c r="AJ434" i="13"/>
  <c r="AJ435" i="13"/>
  <c r="AJ436" i="13"/>
  <c r="AJ437" i="13"/>
  <c r="AJ438" i="13"/>
  <c r="AJ439" i="13"/>
  <c r="AJ440" i="13"/>
  <c r="AJ441" i="13"/>
  <c r="AJ442" i="13"/>
  <c r="AJ443" i="13"/>
  <c r="AJ444" i="13"/>
  <c r="AJ445" i="13"/>
  <c r="AJ446" i="13"/>
  <c r="AJ447" i="13"/>
  <c r="AJ448" i="13"/>
  <c r="AJ449" i="13"/>
  <c r="AJ450" i="13"/>
  <c r="AJ451" i="13"/>
  <c r="AJ452" i="13"/>
  <c r="AJ453" i="13"/>
  <c r="AJ454" i="13"/>
  <c r="AJ455" i="13"/>
  <c r="AJ456" i="13"/>
  <c r="AJ457" i="13"/>
  <c r="AJ458" i="13"/>
  <c r="AJ459" i="13"/>
  <c r="AJ460" i="13"/>
  <c r="AJ461" i="13"/>
  <c r="AJ462" i="13"/>
  <c r="AJ463" i="13"/>
  <c r="AJ464" i="13"/>
  <c r="AJ465" i="13"/>
  <c r="AJ466" i="13"/>
  <c r="AJ467" i="13"/>
  <c r="AJ468" i="13"/>
  <c r="AJ469" i="13"/>
  <c r="AJ470" i="13"/>
  <c r="AJ471" i="13"/>
  <c r="AJ472" i="13"/>
  <c r="AJ473" i="13"/>
  <c r="AJ474" i="13"/>
  <c r="AJ475" i="13"/>
  <c r="AJ476" i="13"/>
  <c r="AJ477" i="13"/>
  <c r="AJ478" i="13"/>
  <c r="AJ479" i="13"/>
  <c r="AJ480" i="13"/>
  <c r="AJ481" i="13"/>
  <c r="AJ482" i="13"/>
  <c r="AJ483" i="13"/>
  <c r="AJ484" i="13"/>
  <c r="AJ485" i="13"/>
  <c r="AJ486" i="13"/>
  <c r="AJ487" i="13"/>
  <c r="AJ488" i="13"/>
  <c r="AJ489" i="13"/>
  <c r="AJ490" i="13"/>
  <c r="AJ491" i="13"/>
  <c r="AJ492" i="13"/>
  <c r="AJ493" i="13"/>
  <c r="AJ494" i="13"/>
  <c r="AJ495" i="13"/>
  <c r="AJ496" i="13"/>
  <c r="AJ497" i="13"/>
  <c r="AJ498" i="13"/>
  <c r="AJ499" i="13"/>
  <c r="AJ500" i="13"/>
  <c r="AJ501" i="13"/>
  <c r="AJ502" i="13"/>
  <c r="AJ503" i="13"/>
  <c r="AJ504" i="13"/>
  <c r="AJ505" i="13"/>
  <c r="AJ506" i="13"/>
  <c r="AJ507" i="13"/>
  <c r="AJ508" i="13"/>
  <c r="AJ509" i="13"/>
  <c r="AJ510" i="13"/>
  <c r="AJ511" i="13"/>
  <c r="AJ512" i="13"/>
  <c r="AJ513" i="13"/>
  <c r="AJ514" i="13"/>
  <c r="AJ515" i="13"/>
  <c r="AJ516" i="13"/>
  <c r="AJ517" i="13"/>
  <c r="AJ518" i="13"/>
  <c r="AJ519" i="13"/>
  <c r="AJ520" i="13"/>
  <c r="AJ521" i="13"/>
  <c r="AJ522" i="13"/>
  <c r="AJ523" i="13"/>
  <c r="AJ524" i="13"/>
  <c r="AJ525" i="13"/>
  <c r="AJ526" i="13"/>
  <c r="AJ527" i="13"/>
  <c r="AJ528" i="13"/>
  <c r="AJ529" i="13"/>
  <c r="AJ530" i="13"/>
  <c r="AJ531" i="13"/>
  <c r="AJ532" i="13"/>
  <c r="AJ533" i="13"/>
  <c r="AJ534" i="13"/>
  <c r="AJ535" i="13"/>
  <c r="AJ536" i="13"/>
  <c r="AJ537" i="13"/>
  <c r="AJ538" i="13"/>
  <c r="AJ539" i="13"/>
  <c r="AJ540" i="13"/>
  <c r="AJ541" i="13"/>
  <c r="AJ542" i="13"/>
  <c r="AJ543" i="13"/>
  <c r="AJ544" i="13"/>
  <c r="AJ545" i="13"/>
  <c r="AJ546" i="13"/>
  <c r="AJ547" i="13"/>
  <c r="AJ548" i="13"/>
  <c r="AJ549" i="13"/>
  <c r="AJ550" i="13"/>
  <c r="AJ551" i="13"/>
  <c r="AJ552" i="13"/>
  <c r="AJ553" i="13"/>
  <c r="AJ554" i="13"/>
  <c r="AJ555" i="13"/>
  <c r="AJ556" i="13"/>
  <c r="AJ557" i="13"/>
  <c r="AJ558" i="13"/>
  <c r="AJ559" i="13"/>
  <c r="AJ560" i="13"/>
  <c r="AJ561" i="13"/>
  <c r="AJ562" i="13"/>
  <c r="AJ563" i="13"/>
  <c r="AJ564" i="13"/>
  <c r="AJ565" i="13"/>
  <c r="AJ566" i="13"/>
  <c r="AJ567" i="13"/>
  <c r="AJ568" i="13"/>
  <c r="AJ569" i="13"/>
  <c r="AJ570" i="13"/>
  <c r="AJ571" i="13"/>
  <c r="AJ572" i="13"/>
  <c r="AJ573" i="13"/>
  <c r="AJ574" i="13"/>
  <c r="AJ575" i="13"/>
  <c r="AJ576" i="13"/>
  <c r="AJ577" i="13"/>
  <c r="AJ578" i="13"/>
  <c r="AJ579" i="13"/>
  <c r="AJ580" i="13"/>
  <c r="AJ581" i="13"/>
  <c r="AJ582" i="13"/>
  <c r="AJ583" i="13"/>
  <c r="AJ584" i="13"/>
  <c r="AJ585" i="13"/>
  <c r="AJ586" i="13"/>
  <c r="AJ587" i="13"/>
  <c r="AJ588" i="13"/>
  <c r="AJ589" i="13"/>
  <c r="AJ590" i="13"/>
  <c r="AJ591" i="13"/>
  <c r="AJ592" i="13"/>
  <c r="AJ593" i="13"/>
  <c r="AJ594" i="13"/>
  <c r="AJ595" i="13"/>
  <c r="AJ596" i="13"/>
  <c r="AJ597" i="13"/>
  <c r="AJ598" i="13"/>
  <c r="AJ599" i="13"/>
  <c r="AJ600" i="13"/>
  <c r="AJ601" i="13"/>
  <c r="AJ602" i="13"/>
  <c r="AJ603" i="13"/>
  <c r="AJ604" i="13"/>
  <c r="AJ605" i="13"/>
  <c r="AJ606" i="13"/>
  <c r="AJ607" i="13"/>
  <c r="AJ608" i="13"/>
  <c r="AJ609" i="13"/>
  <c r="AJ610" i="13"/>
  <c r="AJ611" i="13"/>
  <c r="AJ612" i="13"/>
  <c r="AJ613" i="13"/>
  <c r="AJ614" i="13"/>
  <c r="AJ615" i="13"/>
  <c r="AJ616" i="13"/>
  <c r="AJ617" i="13"/>
  <c r="AJ618" i="13"/>
  <c r="AJ619" i="13"/>
  <c r="AJ620" i="13"/>
  <c r="AJ621" i="13"/>
  <c r="AJ622" i="13"/>
  <c r="AJ623" i="13"/>
  <c r="AJ624" i="13"/>
  <c r="AJ625" i="13"/>
  <c r="AJ626" i="13"/>
  <c r="AJ627" i="13"/>
  <c r="AJ628" i="13"/>
  <c r="AJ629" i="13"/>
  <c r="AJ630" i="13"/>
  <c r="AJ631" i="13"/>
  <c r="AJ632" i="13"/>
  <c r="AJ633" i="13"/>
  <c r="AJ634" i="13"/>
  <c r="AJ635" i="13"/>
  <c r="AJ636" i="13"/>
  <c r="AJ637" i="13"/>
  <c r="AJ638" i="13"/>
  <c r="AJ639" i="13"/>
  <c r="AJ640" i="13"/>
  <c r="AJ641" i="13"/>
  <c r="AJ642" i="13"/>
  <c r="AJ643" i="13"/>
  <c r="AJ644" i="13"/>
  <c r="AJ645" i="13"/>
  <c r="AJ646" i="13"/>
  <c r="AJ647" i="13"/>
  <c r="AJ648" i="13"/>
  <c r="AJ649" i="13"/>
  <c r="AJ650" i="13"/>
  <c r="AJ651" i="13"/>
  <c r="AJ652" i="13"/>
  <c r="AJ653" i="13"/>
  <c r="AJ654" i="13"/>
  <c r="AJ655" i="13"/>
  <c r="AJ656" i="13"/>
  <c r="AJ657" i="13"/>
  <c r="AJ658" i="13"/>
  <c r="AJ659" i="13"/>
  <c r="AJ660" i="13"/>
  <c r="AJ661" i="13"/>
  <c r="AJ662" i="13"/>
  <c r="AJ663" i="13"/>
  <c r="AJ664" i="13"/>
  <c r="AJ665" i="13"/>
  <c r="AJ666" i="13"/>
  <c r="AJ667" i="13"/>
  <c r="AJ668" i="13"/>
  <c r="AJ669" i="13"/>
  <c r="AJ670" i="13"/>
  <c r="AJ671" i="13"/>
  <c r="AJ672" i="13"/>
  <c r="AJ673" i="13"/>
  <c r="AJ674" i="13"/>
  <c r="AJ675" i="13"/>
  <c r="AJ676" i="13"/>
  <c r="AJ677" i="13"/>
  <c r="AJ678" i="13"/>
  <c r="AJ679" i="13"/>
  <c r="AJ680" i="13"/>
  <c r="AJ681" i="13"/>
  <c r="AJ682" i="13"/>
  <c r="AJ683" i="13"/>
  <c r="AJ684" i="13"/>
  <c r="AJ685" i="13"/>
  <c r="AJ686" i="13"/>
  <c r="AJ687" i="13"/>
  <c r="AJ688" i="13"/>
  <c r="AJ689" i="13"/>
  <c r="AJ690" i="13"/>
  <c r="AJ691" i="13"/>
  <c r="AJ692" i="13"/>
  <c r="AJ693" i="13"/>
  <c r="AJ694" i="13"/>
  <c r="AJ695" i="13"/>
  <c r="AJ696" i="13"/>
  <c r="AJ697" i="13"/>
  <c r="AJ698" i="13"/>
  <c r="AJ699" i="13"/>
  <c r="AJ700" i="13"/>
  <c r="AJ701" i="13"/>
  <c r="AJ702" i="13"/>
  <c r="AJ703" i="13"/>
  <c r="AJ704" i="13"/>
  <c r="AJ705" i="13"/>
  <c r="AJ706" i="13"/>
  <c r="AJ707" i="13"/>
  <c r="AJ708" i="13"/>
  <c r="AJ709" i="13"/>
  <c r="AJ710" i="13"/>
  <c r="AJ711" i="13"/>
  <c r="AJ712" i="13"/>
  <c r="AJ713" i="13"/>
  <c r="AJ714" i="13"/>
  <c r="AJ715" i="13"/>
  <c r="AJ716" i="13"/>
  <c r="AJ717" i="13"/>
  <c r="AJ718" i="13"/>
  <c r="AJ719" i="13"/>
  <c r="AJ720" i="13"/>
  <c r="AJ721" i="13"/>
  <c r="AG2" i="13"/>
  <c r="AH2" i="13" s="1"/>
  <c r="AG3" i="13"/>
  <c r="AH3" i="13" s="1"/>
  <c r="AG4" i="13"/>
  <c r="AH4" i="13" s="1"/>
  <c r="AG5" i="13"/>
  <c r="AH5" i="13" s="1"/>
  <c r="AG6" i="13"/>
  <c r="AH6" i="13" s="1"/>
  <c r="AG7" i="13"/>
  <c r="AH7" i="13" s="1"/>
  <c r="AG8" i="13"/>
  <c r="AH8" i="13" s="1"/>
  <c r="AG9" i="13"/>
  <c r="AH9" i="13" s="1"/>
  <c r="AG10" i="13"/>
  <c r="AH10" i="13" s="1"/>
  <c r="AG11" i="13"/>
  <c r="AH11" i="13" s="1"/>
  <c r="AG12" i="13"/>
  <c r="AH12" i="13" s="1"/>
  <c r="AG13" i="13"/>
  <c r="AH13" i="13" s="1"/>
  <c r="AG14" i="13"/>
  <c r="AH14" i="13" s="1"/>
  <c r="AG15" i="13"/>
  <c r="AH15" i="13" s="1"/>
  <c r="AG16" i="13"/>
  <c r="AH16" i="13" s="1"/>
  <c r="AG17" i="13"/>
  <c r="AH17" i="13" s="1"/>
  <c r="AG18" i="13"/>
  <c r="AH18" i="13" s="1"/>
  <c r="AG19" i="13"/>
  <c r="AH19" i="13" s="1"/>
  <c r="AG20" i="13"/>
  <c r="AH20" i="13" s="1"/>
  <c r="AG21" i="13"/>
  <c r="AH21" i="13" s="1"/>
  <c r="AG22" i="13"/>
  <c r="AH22" i="13" s="1"/>
  <c r="AG23" i="13"/>
  <c r="AH23" i="13" s="1"/>
  <c r="AG24" i="13"/>
  <c r="AH24" i="13" s="1"/>
  <c r="AG25" i="13"/>
  <c r="AH25" i="13" s="1"/>
  <c r="AG26" i="13"/>
  <c r="AH26" i="13" s="1"/>
  <c r="AG27" i="13"/>
  <c r="AH27" i="13" s="1"/>
  <c r="AG28" i="13"/>
  <c r="AH28" i="13" s="1"/>
  <c r="AG29" i="13"/>
  <c r="AH29" i="13" s="1"/>
  <c r="AG30" i="13"/>
  <c r="AH30" i="13" s="1"/>
  <c r="AG31" i="13"/>
  <c r="AH31" i="13" s="1"/>
  <c r="AG32" i="13"/>
  <c r="AH32" i="13" s="1"/>
  <c r="AG33" i="13"/>
  <c r="AH33" i="13" s="1"/>
  <c r="AG34" i="13"/>
  <c r="AH34" i="13" s="1"/>
  <c r="AG35" i="13"/>
  <c r="AH35" i="13" s="1"/>
  <c r="AG36" i="13"/>
  <c r="AH36" i="13" s="1"/>
  <c r="AG37" i="13"/>
  <c r="AH37" i="13" s="1"/>
  <c r="AG38" i="13"/>
  <c r="AH38" i="13" s="1"/>
  <c r="AG39" i="13"/>
  <c r="AH39" i="13" s="1"/>
  <c r="AG40" i="13"/>
  <c r="AH40" i="13" s="1"/>
  <c r="AG41" i="13"/>
  <c r="AH41" i="13" s="1"/>
  <c r="AG42" i="13"/>
  <c r="AH42" i="13" s="1"/>
  <c r="AG43" i="13"/>
  <c r="AH43" i="13" s="1"/>
  <c r="AG44" i="13"/>
  <c r="AH44" i="13" s="1"/>
  <c r="AG45" i="13"/>
  <c r="AH45" i="13" s="1"/>
  <c r="AG46" i="13"/>
  <c r="AH46" i="13" s="1"/>
  <c r="AG47" i="13"/>
  <c r="AH47" i="13" s="1"/>
  <c r="AG48" i="13"/>
  <c r="AH48" i="13" s="1"/>
  <c r="AG49" i="13"/>
  <c r="AH49" i="13" s="1"/>
  <c r="AG50" i="13"/>
  <c r="AH50" i="13" s="1"/>
  <c r="AG51" i="13"/>
  <c r="AH51" i="13" s="1"/>
  <c r="AG52" i="13"/>
  <c r="AH52" i="13" s="1"/>
  <c r="AG53" i="13"/>
  <c r="AH53" i="13" s="1"/>
  <c r="AG54" i="13"/>
  <c r="AH54" i="13" s="1"/>
  <c r="AG55" i="13"/>
  <c r="AH55" i="13" s="1"/>
  <c r="AG56" i="13"/>
  <c r="AH56" i="13" s="1"/>
  <c r="AG57" i="13"/>
  <c r="AH57" i="13" s="1"/>
  <c r="AG58" i="13"/>
  <c r="AH58" i="13" s="1"/>
  <c r="AG59" i="13"/>
  <c r="AH59" i="13" s="1"/>
  <c r="AG60" i="13"/>
  <c r="AH60" i="13" s="1"/>
  <c r="AG61" i="13"/>
  <c r="AH61" i="13" s="1"/>
  <c r="AG62" i="13"/>
  <c r="AH62" i="13" s="1"/>
  <c r="AG63" i="13"/>
  <c r="AH63" i="13" s="1"/>
  <c r="AG64" i="13"/>
  <c r="AH64" i="13" s="1"/>
  <c r="AG65" i="13"/>
  <c r="AH65" i="13" s="1"/>
  <c r="AG66" i="13"/>
  <c r="AH66" i="13" s="1"/>
  <c r="AG67" i="13"/>
  <c r="AH67" i="13" s="1"/>
  <c r="AG68" i="13"/>
  <c r="AH68" i="13" s="1"/>
  <c r="AG69" i="13"/>
  <c r="AH69" i="13" s="1"/>
  <c r="AG70" i="13"/>
  <c r="AH70" i="13" s="1"/>
  <c r="AG71" i="13"/>
  <c r="AH71" i="13" s="1"/>
  <c r="AG72" i="13"/>
  <c r="AH72" i="13" s="1"/>
  <c r="AG73" i="13"/>
  <c r="AH73" i="13" s="1"/>
  <c r="AG74" i="13"/>
  <c r="AH74" i="13" s="1"/>
  <c r="AG75" i="13"/>
  <c r="AH75" i="13" s="1"/>
  <c r="AG76" i="13"/>
  <c r="AH76" i="13" s="1"/>
  <c r="AG77" i="13"/>
  <c r="AH77" i="13" s="1"/>
  <c r="AG78" i="13"/>
  <c r="AH78" i="13" s="1"/>
  <c r="AG79" i="13"/>
  <c r="AH79" i="13" s="1"/>
  <c r="AG80" i="13"/>
  <c r="AH80" i="13" s="1"/>
  <c r="AG81" i="13"/>
  <c r="AH81" i="13" s="1"/>
  <c r="AG82" i="13"/>
  <c r="AH82" i="13" s="1"/>
  <c r="AG83" i="13"/>
  <c r="AH83" i="13" s="1"/>
  <c r="AG84" i="13"/>
  <c r="AH84" i="13" s="1"/>
  <c r="AG85" i="13"/>
  <c r="AH85" i="13" s="1"/>
  <c r="AG86" i="13"/>
  <c r="AH86" i="13" s="1"/>
  <c r="AG87" i="13"/>
  <c r="AH87" i="13" s="1"/>
  <c r="AG88" i="13"/>
  <c r="AH88" i="13" s="1"/>
  <c r="AG89" i="13"/>
  <c r="AH89" i="13" s="1"/>
  <c r="AG90" i="13"/>
  <c r="AH90" i="13" s="1"/>
  <c r="AG91" i="13"/>
  <c r="AH91" i="13" s="1"/>
  <c r="AG92" i="13"/>
  <c r="AH92" i="13" s="1"/>
  <c r="AG93" i="13"/>
  <c r="AH93" i="13" s="1"/>
  <c r="AG94" i="13"/>
  <c r="AH94" i="13" s="1"/>
  <c r="AG95" i="13"/>
  <c r="AH95" i="13" s="1"/>
  <c r="AG96" i="13"/>
  <c r="AH96" i="13" s="1"/>
  <c r="AG97" i="13"/>
  <c r="AH97" i="13" s="1"/>
  <c r="AG98" i="13"/>
  <c r="AH98" i="13" s="1"/>
  <c r="AG99" i="13"/>
  <c r="AH99" i="13" s="1"/>
  <c r="AG100" i="13"/>
  <c r="AH100" i="13" s="1"/>
  <c r="AG101" i="13"/>
  <c r="AH101" i="13" s="1"/>
  <c r="AG102" i="13"/>
  <c r="AH102" i="13" s="1"/>
  <c r="AG103" i="13"/>
  <c r="AH103" i="13" s="1"/>
  <c r="AG104" i="13"/>
  <c r="AH104" i="13" s="1"/>
  <c r="AG105" i="13"/>
  <c r="AH105" i="13" s="1"/>
  <c r="AG106" i="13"/>
  <c r="AH106" i="13" s="1"/>
  <c r="AG107" i="13"/>
  <c r="AH107" i="13" s="1"/>
  <c r="AG108" i="13"/>
  <c r="AH108" i="13" s="1"/>
  <c r="AG109" i="13"/>
  <c r="AH109" i="13" s="1"/>
  <c r="AG110" i="13"/>
  <c r="AH110" i="13" s="1"/>
  <c r="AG111" i="13"/>
  <c r="AH111" i="13" s="1"/>
  <c r="AG112" i="13"/>
  <c r="AH112" i="13" s="1"/>
  <c r="AG113" i="13"/>
  <c r="AH113" i="13" s="1"/>
  <c r="AG114" i="13"/>
  <c r="AH114" i="13" s="1"/>
  <c r="AG115" i="13"/>
  <c r="AH115" i="13" s="1"/>
  <c r="AG116" i="13"/>
  <c r="AH116" i="13" s="1"/>
  <c r="AG117" i="13"/>
  <c r="AH117" i="13" s="1"/>
  <c r="AG118" i="13"/>
  <c r="AH118" i="13" s="1"/>
  <c r="AG119" i="13"/>
  <c r="AH119" i="13" s="1"/>
  <c r="AG120" i="13"/>
  <c r="AH120" i="13" s="1"/>
  <c r="AG121" i="13"/>
  <c r="AH121" i="13" s="1"/>
  <c r="AG122" i="13"/>
  <c r="AH122" i="13" s="1"/>
  <c r="AG123" i="13"/>
  <c r="AH123" i="13" s="1"/>
  <c r="AG124" i="13"/>
  <c r="AH124" i="13" s="1"/>
  <c r="AG125" i="13"/>
  <c r="AH125" i="13" s="1"/>
  <c r="AG126" i="13"/>
  <c r="AH126" i="13" s="1"/>
  <c r="AG127" i="13"/>
  <c r="AH127" i="13" s="1"/>
  <c r="AG128" i="13"/>
  <c r="AH128" i="13" s="1"/>
  <c r="AG129" i="13"/>
  <c r="AH129" i="13" s="1"/>
  <c r="AG130" i="13"/>
  <c r="AH130" i="13" s="1"/>
  <c r="AG131" i="13"/>
  <c r="AH131" i="13" s="1"/>
  <c r="AG132" i="13"/>
  <c r="AH132" i="13" s="1"/>
  <c r="AG133" i="13"/>
  <c r="AH133" i="13" s="1"/>
  <c r="AG134" i="13"/>
  <c r="AH134" i="13" s="1"/>
  <c r="AG135" i="13"/>
  <c r="AH135" i="13" s="1"/>
  <c r="AG136" i="13"/>
  <c r="AH136" i="13" s="1"/>
  <c r="AG137" i="13"/>
  <c r="AH137" i="13" s="1"/>
  <c r="AG138" i="13"/>
  <c r="AH138" i="13" s="1"/>
  <c r="AG139" i="13"/>
  <c r="AH139" i="13" s="1"/>
  <c r="AG140" i="13"/>
  <c r="AH140" i="13" s="1"/>
  <c r="AG141" i="13"/>
  <c r="AH141" i="13" s="1"/>
  <c r="AG142" i="13"/>
  <c r="AH142" i="13" s="1"/>
  <c r="AG143" i="13"/>
  <c r="AH143" i="13" s="1"/>
  <c r="AG144" i="13"/>
  <c r="AH144" i="13" s="1"/>
  <c r="AG145" i="13"/>
  <c r="AH145" i="13" s="1"/>
  <c r="AG146" i="13"/>
  <c r="AH146" i="13" s="1"/>
  <c r="AG147" i="13"/>
  <c r="AH147" i="13" s="1"/>
  <c r="AG148" i="13"/>
  <c r="AH148" i="13" s="1"/>
  <c r="AG149" i="13"/>
  <c r="AH149" i="13" s="1"/>
  <c r="AG150" i="13"/>
  <c r="AH150" i="13" s="1"/>
  <c r="AG151" i="13"/>
  <c r="AH151" i="13" s="1"/>
  <c r="AG152" i="13"/>
  <c r="AH152" i="13" s="1"/>
  <c r="AG153" i="13"/>
  <c r="AH153" i="13" s="1"/>
  <c r="AG154" i="13"/>
  <c r="AH154" i="13" s="1"/>
  <c r="AG155" i="13"/>
  <c r="AH155" i="13" s="1"/>
  <c r="AG156" i="13"/>
  <c r="AH156" i="13" s="1"/>
  <c r="AG157" i="13"/>
  <c r="AH157" i="13" s="1"/>
  <c r="AG158" i="13"/>
  <c r="AH158" i="13" s="1"/>
  <c r="AG159" i="13"/>
  <c r="AH159" i="13" s="1"/>
  <c r="AG160" i="13"/>
  <c r="AH160" i="13" s="1"/>
  <c r="AG161" i="13"/>
  <c r="AH161" i="13" s="1"/>
  <c r="AG162" i="13"/>
  <c r="AH162" i="13" s="1"/>
  <c r="AG163" i="13"/>
  <c r="AH163" i="13" s="1"/>
  <c r="AG164" i="13"/>
  <c r="AH164" i="13" s="1"/>
  <c r="AG165" i="13"/>
  <c r="AH165" i="13" s="1"/>
  <c r="AG166" i="13"/>
  <c r="AH166" i="13" s="1"/>
  <c r="AG167" i="13"/>
  <c r="AH167" i="13" s="1"/>
  <c r="AG168" i="13"/>
  <c r="AH168" i="13" s="1"/>
  <c r="AG169" i="13"/>
  <c r="AH169" i="13" s="1"/>
  <c r="AG170" i="13"/>
  <c r="AH170" i="13" s="1"/>
  <c r="AG171" i="13"/>
  <c r="AH171" i="13" s="1"/>
  <c r="AG172" i="13"/>
  <c r="AH172" i="13" s="1"/>
  <c r="AG173" i="13"/>
  <c r="AH173" i="13" s="1"/>
  <c r="AG174" i="13"/>
  <c r="AH174" i="13" s="1"/>
  <c r="AG175" i="13"/>
  <c r="AH175" i="13" s="1"/>
  <c r="AG176" i="13"/>
  <c r="AH176" i="13" s="1"/>
  <c r="AG177" i="13"/>
  <c r="AH177" i="13" s="1"/>
  <c r="AG178" i="13"/>
  <c r="AH178" i="13" s="1"/>
  <c r="AG179" i="13"/>
  <c r="AH179" i="13" s="1"/>
  <c r="AG180" i="13"/>
  <c r="AH180" i="13" s="1"/>
  <c r="AG181" i="13"/>
  <c r="AH181" i="13" s="1"/>
  <c r="AG182" i="13"/>
  <c r="AH182" i="13" s="1"/>
  <c r="AG183" i="13"/>
  <c r="AH183" i="13" s="1"/>
  <c r="AG184" i="13"/>
  <c r="AH184" i="13" s="1"/>
  <c r="AG185" i="13"/>
  <c r="AH185" i="13" s="1"/>
  <c r="AG186" i="13"/>
  <c r="AH186" i="13" s="1"/>
  <c r="AG187" i="13"/>
  <c r="AH187" i="13" s="1"/>
  <c r="AG188" i="13"/>
  <c r="AH188" i="13" s="1"/>
  <c r="AG189" i="13"/>
  <c r="AH189" i="13" s="1"/>
  <c r="AG190" i="13"/>
  <c r="AH190" i="13" s="1"/>
  <c r="AG191" i="13"/>
  <c r="AH191" i="13" s="1"/>
  <c r="AG192" i="13"/>
  <c r="AH192" i="13" s="1"/>
  <c r="AG193" i="13"/>
  <c r="AH193" i="13" s="1"/>
  <c r="AG194" i="13"/>
  <c r="AH194" i="13" s="1"/>
  <c r="AG195" i="13"/>
  <c r="AH195" i="13" s="1"/>
  <c r="AG196" i="13"/>
  <c r="AH196" i="13" s="1"/>
  <c r="AG197" i="13"/>
  <c r="AH197" i="13" s="1"/>
  <c r="AG198" i="13"/>
  <c r="AH198" i="13" s="1"/>
  <c r="AG199" i="13"/>
  <c r="AH199" i="13" s="1"/>
  <c r="AG200" i="13"/>
  <c r="AH200" i="13" s="1"/>
  <c r="AG201" i="13"/>
  <c r="AH201" i="13" s="1"/>
  <c r="AG202" i="13"/>
  <c r="AH202" i="13" s="1"/>
  <c r="AG203" i="13"/>
  <c r="AH203" i="13" s="1"/>
  <c r="AG204" i="13"/>
  <c r="AH204" i="13" s="1"/>
  <c r="AG205" i="13"/>
  <c r="AH205" i="13" s="1"/>
  <c r="AG206" i="13"/>
  <c r="AH206" i="13" s="1"/>
  <c r="AG207" i="13"/>
  <c r="AH207" i="13" s="1"/>
  <c r="AG208" i="13"/>
  <c r="AH208" i="13" s="1"/>
  <c r="AG209" i="13"/>
  <c r="AH209" i="13" s="1"/>
  <c r="AG210" i="13"/>
  <c r="AH210" i="13" s="1"/>
  <c r="AG211" i="13"/>
  <c r="AH211" i="13" s="1"/>
  <c r="AG212" i="13"/>
  <c r="AH212" i="13" s="1"/>
  <c r="AG213" i="13"/>
  <c r="AH213" i="13" s="1"/>
  <c r="AG214" i="13"/>
  <c r="AH214" i="13" s="1"/>
  <c r="AG215" i="13"/>
  <c r="AH215" i="13" s="1"/>
  <c r="AG216" i="13"/>
  <c r="AH216" i="13" s="1"/>
  <c r="AG217" i="13"/>
  <c r="AH217" i="13" s="1"/>
  <c r="AG218" i="13"/>
  <c r="AH218" i="13" s="1"/>
  <c r="AG219" i="13"/>
  <c r="AH219" i="13" s="1"/>
  <c r="AG220" i="13"/>
  <c r="AH220" i="13" s="1"/>
  <c r="AG221" i="13"/>
  <c r="AH221" i="13" s="1"/>
  <c r="AG222" i="13"/>
  <c r="AH222" i="13" s="1"/>
  <c r="AG223" i="13"/>
  <c r="AH223" i="13" s="1"/>
  <c r="AG224" i="13"/>
  <c r="AH224" i="13" s="1"/>
  <c r="AG225" i="13"/>
  <c r="AH225" i="13" s="1"/>
  <c r="AG226" i="13"/>
  <c r="AH226" i="13" s="1"/>
  <c r="AG227" i="13"/>
  <c r="AH227" i="13" s="1"/>
  <c r="AG228" i="13"/>
  <c r="AH228" i="13" s="1"/>
  <c r="AG229" i="13"/>
  <c r="AH229" i="13" s="1"/>
  <c r="AG230" i="13"/>
  <c r="AH230" i="13" s="1"/>
  <c r="AG231" i="13"/>
  <c r="AH231" i="13" s="1"/>
  <c r="AG232" i="13"/>
  <c r="AH232" i="13" s="1"/>
  <c r="AG233" i="13"/>
  <c r="AH233" i="13" s="1"/>
  <c r="AG234" i="13"/>
  <c r="AH234" i="13" s="1"/>
  <c r="AG235" i="13"/>
  <c r="AH235" i="13" s="1"/>
  <c r="AG236" i="13"/>
  <c r="AH236" i="13" s="1"/>
  <c r="AG237" i="13"/>
  <c r="AH237" i="13" s="1"/>
  <c r="AG238" i="13"/>
  <c r="AH238" i="13" s="1"/>
  <c r="AG239" i="13"/>
  <c r="AH239" i="13" s="1"/>
  <c r="AG240" i="13"/>
  <c r="AH240" i="13" s="1"/>
  <c r="AG241" i="13"/>
  <c r="AH241" i="13" s="1"/>
  <c r="AG242" i="13"/>
  <c r="AH242" i="13" s="1"/>
  <c r="AG243" i="13"/>
  <c r="AH243" i="13" s="1"/>
  <c r="AG244" i="13"/>
  <c r="AH244" i="13" s="1"/>
  <c r="AG245" i="13"/>
  <c r="AH245" i="13" s="1"/>
  <c r="AG246" i="13"/>
  <c r="AH246" i="13" s="1"/>
  <c r="AG247" i="13"/>
  <c r="AH247" i="13" s="1"/>
  <c r="AG248" i="13"/>
  <c r="AH248" i="13" s="1"/>
  <c r="AG249" i="13"/>
  <c r="AH249" i="13" s="1"/>
  <c r="AG250" i="13"/>
  <c r="AH250" i="13" s="1"/>
  <c r="AG251" i="13"/>
  <c r="AH251" i="13" s="1"/>
  <c r="AG252" i="13"/>
  <c r="AH252" i="13" s="1"/>
  <c r="AG253" i="13"/>
  <c r="AH253" i="13" s="1"/>
  <c r="AG254" i="13"/>
  <c r="AH254" i="13" s="1"/>
  <c r="AG255" i="13"/>
  <c r="AH255" i="13" s="1"/>
  <c r="AG256" i="13"/>
  <c r="AH256" i="13" s="1"/>
  <c r="AG257" i="13"/>
  <c r="AH257" i="13" s="1"/>
  <c r="AG258" i="13"/>
  <c r="AH258" i="13" s="1"/>
  <c r="AG259" i="13"/>
  <c r="AH259" i="13" s="1"/>
  <c r="AG260" i="13"/>
  <c r="AH260" i="13" s="1"/>
  <c r="AG261" i="13"/>
  <c r="AH261" i="13" s="1"/>
  <c r="AG262" i="13"/>
  <c r="AH262" i="13" s="1"/>
  <c r="AG263" i="13"/>
  <c r="AH263" i="13" s="1"/>
  <c r="AG264" i="13"/>
  <c r="AH264" i="13" s="1"/>
  <c r="AG265" i="13"/>
  <c r="AH265" i="13" s="1"/>
  <c r="AG266" i="13"/>
  <c r="AH266" i="13" s="1"/>
  <c r="AG267" i="13"/>
  <c r="AH267" i="13" s="1"/>
  <c r="AG268" i="13"/>
  <c r="AH268" i="13" s="1"/>
  <c r="AG269" i="13"/>
  <c r="AH269" i="13" s="1"/>
  <c r="AG270" i="13"/>
  <c r="AH270" i="13" s="1"/>
  <c r="AG271" i="13"/>
  <c r="AH271" i="13" s="1"/>
  <c r="AG272" i="13"/>
  <c r="AH272" i="13" s="1"/>
  <c r="AG273" i="13"/>
  <c r="AH273" i="13" s="1"/>
  <c r="AG274" i="13"/>
  <c r="AH274" i="13" s="1"/>
  <c r="AG275" i="13"/>
  <c r="AH275" i="13" s="1"/>
  <c r="AG276" i="13"/>
  <c r="AH276" i="13" s="1"/>
  <c r="AG277" i="13"/>
  <c r="AH277" i="13" s="1"/>
  <c r="AG278" i="13"/>
  <c r="AH278" i="13" s="1"/>
  <c r="AG279" i="13"/>
  <c r="AH279" i="13" s="1"/>
  <c r="AG280" i="13"/>
  <c r="AH280" i="13" s="1"/>
  <c r="AG281" i="13"/>
  <c r="AH281" i="13" s="1"/>
  <c r="AG282" i="13"/>
  <c r="AH282" i="13" s="1"/>
  <c r="AG283" i="13"/>
  <c r="AH283" i="13" s="1"/>
  <c r="AG284" i="13"/>
  <c r="AH284" i="13" s="1"/>
  <c r="AG285" i="13"/>
  <c r="AH285" i="13" s="1"/>
  <c r="AG286" i="13"/>
  <c r="AH286" i="13" s="1"/>
  <c r="AG287" i="13"/>
  <c r="AH287" i="13" s="1"/>
  <c r="AG288" i="13"/>
  <c r="AH288" i="13" s="1"/>
  <c r="AG289" i="13"/>
  <c r="AH289" i="13" s="1"/>
  <c r="AG290" i="13"/>
  <c r="AH290" i="13" s="1"/>
  <c r="AG291" i="13"/>
  <c r="AH291" i="13" s="1"/>
  <c r="AG292" i="13"/>
  <c r="AH292" i="13" s="1"/>
  <c r="AG293" i="13"/>
  <c r="AH293" i="13" s="1"/>
  <c r="AG294" i="13"/>
  <c r="AH294" i="13" s="1"/>
  <c r="AG295" i="13"/>
  <c r="AH295" i="13" s="1"/>
  <c r="AG296" i="13"/>
  <c r="AH296" i="13" s="1"/>
  <c r="AG297" i="13"/>
  <c r="AH297" i="13" s="1"/>
  <c r="AG298" i="13"/>
  <c r="AH298" i="13" s="1"/>
  <c r="AG299" i="13"/>
  <c r="AH299" i="13" s="1"/>
  <c r="AG300" i="13"/>
  <c r="AH300" i="13" s="1"/>
  <c r="AG301" i="13"/>
  <c r="AH301" i="13" s="1"/>
  <c r="AG302" i="13"/>
  <c r="AH302" i="13" s="1"/>
  <c r="AG303" i="13"/>
  <c r="AH303" i="13" s="1"/>
  <c r="AG304" i="13"/>
  <c r="AH304" i="13" s="1"/>
  <c r="AG305" i="13"/>
  <c r="AH305" i="13" s="1"/>
  <c r="AG306" i="13"/>
  <c r="AH306" i="13" s="1"/>
  <c r="AG307" i="13"/>
  <c r="AH307" i="13" s="1"/>
  <c r="AG308" i="13"/>
  <c r="AH308" i="13" s="1"/>
  <c r="AG309" i="13"/>
  <c r="AH309" i="13" s="1"/>
  <c r="AG310" i="13"/>
  <c r="AH310" i="13" s="1"/>
  <c r="AG311" i="13"/>
  <c r="AH311" i="13" s="1"/>
  <c r="AG312" i="13"/>
  <c r="AH312" i="13" s="1"/>
  <c r="AG313" i="13"/>
  <c r="AH313" i="13" s="1"/>
  <c r="AG314" i="13"/>
  <c r="AH314" i="13" s="1"/>
  <c r="AG315" i="13"/>
  <c r="AH315" i="13" s="1"/>
  <c r="AG316" i="13"/>
  <c r="AH316" i="13" s="1"/>
  <c r="AG317" i="13"/>
  <c r="AH317" i="13" s="1"/>
  <c r="AG318" i="13"/>
  <c r="AH318" i="13" s="1"/>
  <c r="AG319" i="13"/>
  <c r="AH319" i="13" s="1"/>
  <c r="AG320" i="13"/>
  <c r="AH320" i="13" s="1"/>
  <c r="AG321" i="13"/>
  <c r="AH321" i="13" s="1"/>
  <c r="AG322" i="13"/>
  <c r="AH322" i="13" s="1"/>
  <c r="AG323" i="13"/>
  <c r="AH323" i="13" s="1"/>
  <c r="AG324" i="13"/>
  <c r="AH324" i="13" s="1"/>
  <c r="AG325" i="13"/>
  <c r="AH325" i="13" s="1"/>
  <c r="AG326" i="13"/>
  <c r="AH326" i="13" s="1"/>
  <c r="AG327" i="13"/>
  <c r="AH327" i="13" s="1"/>
  <c r="AG328" i="13"/>
  <c r="AH328" i="13" s="1"/>
  <c r="AG329" i="13"/>
  <c r="AH329" i="13" s="1"/>
  <c r="AG330" i="13"/>
  <c r="AH330" i="13" s="1"/>
  <c r="AG331" i="13"/>
  <c r="AH331" i="13" s="1"/>
  <c r="AG332" i="13"/>
  <c r="AH332" i="13" s="1"/>
  <c r="AG333" i="13"/>
  <c r="AH333" i="13" s="1"/>
  <c r="AG334" i="13"/>
  <c r="AH334" i="13" s="1"/>
  <c r="AG335" i="13"/>
  <c r="AH335" i="13" s="1"/>
  <c r="AG336" i="13"/>
  <c r="AH336" i="13" s="1"/>
  <c r="AG337" i="13"/>
  <c r="AH337" i="13" s="1"/>
  <c r="AG338" i="13"/>
  <c r="AH338" i="13" s="1"/>
  <c r="AG339" i="13"/>
  <c r="AH339" i="13" s="1"/>
  <c r="AG340" i="13"/>
  <c r="AH340" i="13" s="1"/>
  <c r="AG341" i="13"/>
  <c r="AH341" i="13" s="1"/>
  <c r="AG342" i="13"/>
  <c r="AH342" i="13" s="1"/>
  <c r="AG343" i="13"/>
  <c r="AH343" i="13" s="1"/>
  <c r="AG344" i="13"/>
  <c r="AH344" i="13" s="1"/>
  <c r="AG345" i="13"/>
  <c r="AH345" i="13" s="1"/>
  <c r="AG346" i="13"/>
  <c r="AH346" i="13" s="1"/>
  <c r="AG347" i="13"/>
  <c r="AH347" i="13" s="1"/>
  <c r="AG348" i="13"/>
  <c r="AH348" i="13" s="1"/>
  <c r="AG349" i="13"/>
  <c r="AH349" i="13" s="1"/>
  <c r="AG350" i="13"/>
  <c r="AH350" i="13" s="1"/>
  <c r="AG351" i="13"/>
  <c r="AH351" i="13" s="1"/>
  <c r="AG352" i="13"/>
  <c r="AH352" i="13" s="1"/>
  <c r="AG353" i="13"/>
  <c r="AH353" i="13" s="1"/>
  <c r="AG354" i="13"/>
  <c r="AH354" i="13" s="1"/>
  <c r="AG355" i="13"/>
  <c r="AH355" i="13" s="1"/>
  <c r="AG356" i="13"/>
  <c r="AH356" i="13" s="1"/>
  <c r="AG357" i="13"/>
  <c r="AH357" i="13" s="1"/>
  <c r="AG358" i="13"/>
  <c r="AH358" i="13" s="1"/>
  <c r="AG359" i="13"/>
  <c r="AH359" i="13" s="1"/>
  <c r="AG360" i="13"/>
  <c r="AH360" i="13" s="1"/>
  <c r="AG361" i="13"/>
  <c r="AH361" i="13" s="1"/>
  <c r="AG362" i="13"/>
  <c r="AH362" i="13" s="1"/>
  <c r="AG363" i="13"/>
  <c r="AH363" i="13" s="1"/>
  <c r="AG364" i="13"/>
  <c r="AH364" i="13" s="1"/>
  <c r="AG365" i="13"/>
  <c r="AH365" i="13" s="1"/>
  <c r="AG366" i="13"/>
  <c r="AH366" i="13" s="1"/>
  <c r="AG367" i="13"/>
  <c r="AH367" i="13" s="1"/>
  <c r="AG368" i="13"/>
  <c r="AH368" i="13" s="1"/>
  <c r="AG369" i="13"/>
  <c r="AH369" i="13" s="1"/>
  <c r="AG370" i="13"/>
  <c r="AH370" i="13" s="1"/>
  <c r="AG371" i="13"/>
  <c r="AH371" i="13" s="1"/>
  <c r="AG372" i="13"/>
  <c r="AH372" i="13" s="1"/>
  <c r="AG373" i="13"/>
  <c r="AH373" i="13" s="1"/>
  <c r="AG374" i="13"/>
  <c r="AH374" i="13" s="1"/>
  <c r="AG375" i="13"/>
  <c r="AH375" i="13" s="1"/>
  <c r="AG376" i="13"/>
  <c r="AH376" i="13" s="1"/>
  <c r="AG377" i="13"/>
  <c r="AH377" i="13" s="1"/>
  <c r="AG378" i="13"/>
  <c r="AH378" i="13" s="1"/>
  <c r="AG379" i="13"/>
  <c r="AH379" i="13" s="1"/>
  <c r="AG380" i="13"/>
  <c r="AH380" i="13" s="1"/>
  <c r="AG381" i="13"/>
  <c r="AH381" i="13" s="1"/>
  <c r="AG382" i="13"/>
  <c r="AH382" i="13" s="1"/>
  <c r="AG383" i="13"/>
  <c r="AH383" i="13" s="1"/>
  <c r="AG384" i="13"/>
  <c r="AH384" i="13" s="1"/>
  <c r="AG385" i="13"/>
  <c r="AH385" i="13" s="1"/>
  <c r="AG386" i="13"/>
  <c r="AH386" i="13" s="1"/>
  <c r="AG387" i="13"/>
  <c r="AH387" i="13" s="1"/>
  <c r="AG388" i="13"/>
  <c r="AH388" i="13" s="1"/>
  <c r="AG389" i="13"/>
  <c r="AH389" i="13" s="1"/>
  <c r="AG390" i="13"/>
  <c r="AH390" i="13" s="1"/>
  <c r="AG391" i="13"/>
  <c r="AH391" i="13" s="1"/>
  <c r="AG392" i="13"/>
  <c r="AH392" i="13" s="1"/>
  <c r="AG393" i="13"/>
  <c r="AH393" i="13" s="1"/>
  <c r="AG394" i="13"/>
  <c r="AH394" i="13" s="1"/>
  <c r="AG395" i="13"/>
  <c r="AH395" i="13" s="1"/>
  <c r="AG396" i="13"/>
  <c r="AH396" i="13" s="1"/>
  <c r="AG397" i="13"/>
  <c r="AH397" i="13" s="1"/>
  <c r="AG398" i="13"/>
  <c r="AH398" i="13" s="1"/>
  <c r="AG399" i="13"/>
  <c r="AH399" i="13" s="1"/>
  <c r="AG400" i="13"/>
  <c r="AH400" i="13" s="1"/>
  <c r="AG401" i="13"/>
  <c r="AH401" i="13" s="1"/>
  <c r="AG402" i="13"/>
  <c r="AH402" i="13" s="1"/>
  <c r="AG403" i="13"/>
  <c r="AH403" i="13" s="1"/>
  <c r="AG404" i="13"/>
  <c r="AH404" i="13" s="1"/>
  <c r="AG405" i="13"/>
  <c r="AH405" i="13" s="1"/>
  <c r="AG406" i="13"/>
  <c r="AH406" i="13" s="1"/>
  <c r="AG407" i="13"/>
  <c r="AH407" i="13" s="1"/>
  <c r="AG408" i="13"/>
  <c r="AH408" i="13" s="1"/>
  <c r="AG409" i="13"/>
  <c r="AH409" i="13" s="1"/>
  <c r="AG410" i="13"/>
  <c r="AH410" i="13" s="1"/>
  <c r="AG411" i="13"/>
  <c r="AH411" i="13" s="1"/>
  <c r="AG412" i="13"/>
  <c r="AH412" i="13" s="1"/>
  <c r="AG413" i="13"/>
  <c r="AH413" i="13" s="1"/>
  <c r="AG414" i="13"/>
  <c r="AH414" i="13" s="1"/>
  <c r="AG415" i="13"/>
  <c r="AH415" i="13" s="1"/>
  <c r="AG416" i="13"/>
  <c r="AH416" i="13" s="1"/>
  <c r="AG417" i="13"/>
  <c r="AH417" i="13" s="1"/>
  <c r="AG418" i="13"/>
  <c r="AH418" i="13" s="1"/>
  <c r="AG419" i="13"/>
  <c r="AH419" i="13" s="1"/>
  <c r="AG420" i="13"/>
  <c r="AH420" i="13" s="1"/>
  <c r="AG421" i="13"/>
  <c r="AH421" i="13" s="1"/>
  <c r="AG422" i="13"/>
  <c r="AH422" i="13" s="1"/>
  <c r="AG423" i="13"/>
  <c r="AH423" i="13" s="1"/>
  <c r="AG424" i="13"/>
  <c r="AH424" i="13" s="1"/>
  <c r="AG425" i="13"/>
  <c r="AH425" i="13" s="1"/>
  <c r="AG426" i="13"/>
  <c r="AH426" i="13" s="1"/>
  <c r="AG427" i="13"/>
  <c r="AH427" i="13" s="1"/>
  <c r="AG428" i="13"/>
  <c r="AH428" i="13" s="1"/>
  <c r="AG429" i="13"/>
  <c r="AH429" i="13" s="1"/>
  <c r="AG430" i="13"/>
  <c r="AH430" i="13" s="1"/>
  <c r="AG431" i="13"/>
  <c r="AH431" i="13" s="1"/>
  <c r="AG432" i="13"/>
  <c r="AH432" i="13" s="1"/>
  <c r="AG433" i="13"/>
  <c r="AH433" i="13" s="1"/>
  <c r="AG434" i="13"/>
  <c r="AH434" i="13" s="1"/>
  <c r="AG435" i="13"/>
  <c r="AH435" i="13" s="1"/>
  <c r="AG436" i="13"/>
  <c r="AH436" i="13" s="1"/>
  <c r="AG437" i="13"/>
  <c r="AH437" i="13" s="1"/>
  <c r="AG438" i="13"/>
  <c r="AH438" i="13" s="1"/>
  <c r="AG439" i="13"/>
  <c r="AH439" i="13" s="1"/>
  <c r="AG440" i="13"/>
  <c r="AH440" i="13" s="1"/>
  <c r="AG441" i="13"/>
  <c r="AH441" i="13" s="1"/>
  <c r="AG442" i="13"/>
  <c r="AH442" i="13" s="1"/>
  <c r="AG443" i="13"/>
  <c r="AH443" i="13" s="1"/>
  <c r="AG444" i="13"/>
  <c r="AH444" i="13" s="1"/>
  <c r="AG445" i="13"/>
  <c r="AH445" i="13" s="1"/>
  <c r="AG446" i="13"/>
  <c r="AH446" i="13" s="1"/>
  <c r="AG447" i="13"/>
  <c r="AH447" i="13" s="1"/>
  <c r="AG448" i="13"/>
  <c r="AH448" i="13" s="1"/>
  <c r="AG449" i="13"/>
  <c r="AH449" i="13" s="1"/>
  <c r="AG450" i="13"/>
  <c r="AH450" i="13" s="1"/>
  <c r="AG451" i="13"/>
  <c r="AH451" i="13" s="1"/>
  <c r="AG452" i="13"/>
  <c r="AH452" i="13" s="1"/>
  <c r="AG453" i="13"/>
  <c r="AH453" i="13" s="1"/>
  <c r="AG454" i="13"/>
  <c r="AH454" i="13" s="1"/>
  <c r="AG455" i="13"/>
  <c r="AH455" i="13" s="1"/>
  <c r="AG456" i="13"/>
  <c r="AH456" i="13" s="1"/>
  <c r="AG457" i="13"/>
  <c r="AH457" i="13" s="1"/>
  <c r="AG458" i="13"/>
  <c r="AH458" i="13" s="1"/>
  <c r="AG459" i="13"/>
  <c r="AH459" i="13" s="1"/>
  <c r="AG460" i="13"/>
  <c r="AH460" i="13" s="1"/>
  <c r="AG461" i="13"/>
  <c r="AH461" i="13" s="1"/>
  <c r="AG462" i="13"/>
  <c r="AH462" i="13" s="1"/>
  <c r="AG463" i="13"/>
  <c r="AH463" i="13" s="1"/>
  <c r="AG464" i="13"/>
  <c r="AH464" i="13" s="1"/>
  <c r="AG465" i="13"/>
  <c r="AH465" i="13" s="1"/>
  <c r="AG466" i="13"/>
  <c r="AH466" i="13" s="1"/>
  <c r="AG467" i="13"/>
  <c r="AH467" i="13" s="1"/>
  <c r="AG468" i="13"/>
  <c r="AH468" i="13" s="1"/>
  <c r="AG469" i="13"/>
  <c r="AH469" i="13" s="1"/>
  <c r="AG470" i="13"/>
  <c r="AH470" i="13" s="1"/>
  <c r="AG471" i="13"/>
  <c r="AH471" i="13" s="1"/>
  <c r="AG472" i="13"/>
  <c r="AH472" i="13" s="1"/>
  <c r="AG473" i="13"/>
  <c r="AH473" i="13" s="1"/>
  <c r="AG474" i="13"/>
  <c r="AH474" i="13" s="1"/>
  <c r="AG475" i="13"/>
  <c r="AH475" i="13" s="1"/>
  <c r="AG476" i="13"/>
  <c r="AH476" i="13" s="1"/>
  <c r="AG477" i="13"/>
  <c r="AH477" i="13" s="1"/>
  <c r="AG478" i="13"/>
  <c r="AH478" i="13" s="1"/>
  <c r="AG479" i="13"/>
  <c r="AH479" i="13" s="1"/>
  <c r="AG480" i="13"/>
  <c r="AH480" i="13" s="1"/>
  <c r="AG481" i="13"/>
  <c r="AH481" i="13" s="1"/>
  <c r="AG482" i="13"/>
  <c r="AH482" i="13" s="1"/>
  <c r="AG483" i="13"/>
  <c r="AH483" i="13" s="1"/>
  <c r="AG484" i="13"/>
  <c r="AH484" i="13" s="1"/>
  <c r="AG485" i="13"/>
  <c r="AH485" i="13" s="1"/>
  <c r="AG486" i="13"/>
  <c r="AH486" i="13" s="1"/>
  <c r="AG487" i="13"/>
  <c r="AH487" i="13" s="1"/>
  <c r="AG488" i="13"/>
  <c r="AH488" i="13" s="1"/>
  <c r="AG489" i="13"/>
  <c r="AH489" i="13" s="1"/>
  <c r="AG490" i="13"/>
  <c r="AH490" i="13" s="1"/>
  <c r="AG491" i="13"/>
  <c r="AH491" i="13" s="1"/>
  <c r="AG492" i="13"/>
  <c r="AH492" i="13" s="1"/>
  <c r="AG493" i="13"/>
  <c r="AH493" i="13" s="1"/>
  <c r="AG494" i="13"/>
  <c r="AH494" i="13" s="1"/>
  <c r="AG495" i="13"/>
  <c r="AH495" i="13" s="1"/>
  <c r="AG496" i="13"/>
  <c r="AH496" i="13" s="1"/>
  <c r="AG497" i="13"/>
  <c r="AH497" i="13" s="1"/>
  <c r="AG498" i="13"/>
  <c r="AH498" i="13" s="1"/>
  <c r="AG499" i="13"/>
  <c r="AH499" i="13" s="1"/>
  <c r="AG500" i="13"/>
  <c r="AH500" i="13" s="1"/>
  <c r="AG501" i="13"/>
  <c r="AH501" i="13" s="1"/>
  <c r="AG502" i="13"/>
  <c r="AH502" i="13" s="1"/>
  <c r="AG503" i="13"/>
  <c r="AH503" i="13" s="1"/>
  <c r="AG504" i="13"/>
  <c r="AH504" i="13" s="1"/>
  <c r="AG505" i="13"/>
  <c r="AH505" i="13" s="1"/>
  <c r="AG506" i="13"/>
  <c r="AH506" i="13" s="1"/>
  <c r="AG507" i="13"/>
  <c r="AH507" i="13" s="1"/>
  <c r="AG508" i="13"/>
  <c r="AH508" i="13" s="1"/>
  <c r="AG509" i="13"/>
  <c r="AH509" i="13" s="1"/>
  <c r="AG510" i="13"/>
  <c r="AH510" i="13" s="1"/>
  <c r="AG511" i="13"/>
  <c r="AH511" i="13" s="1"/>
  <c r="AG512" i="13"/>
  <c r="AH512" i="13" s="1"/>
  <c r="AG513" i="13"/>
  <c r="AH513" i="13" s="1"/>
  <c r="AG514" i="13"/>
  <c r="AH514" i="13" s="1"/>
  <c r="AG515" i="13"/>
  <c r="AH515" i="13" s="1"/>
  <c r="AG516" i="13"/>
  <c r="AH516" i="13" s="1"/>
  <c r="AG517" i="13"/>
  <c r="AH517" i="13" s="1"/>
  <c r="AG518" i="13"/>
  <c r="AH518" i="13" s="1"/>
  <c r="AG519" i="13"/>
  <c r="AH519" i="13" s="1"/>
  <c r="AG520" i="13"/>
  <c r="AH520" i="13" s="1"/>
  <c r="AG521" i="13"/>
  <c r="AH521" i="13" s="1"/>
  <c r="AG522" i="13"/>
  <c r="AH522" i="13" s="1"/>
  <c r="AG523" i="13"/>
  <c r="AH523" i="13" s="1"/>
  <c r="AG524" i="13"/>
  <c r="AH524" i="13" s="1"/>
  <c r="AG525" i="13"/>
  <c r="AH525" i="13" s="1"/>
  <c r="AG526" i="13"/>
  <c r="AH526" i="13" s="1"/>
  <c r="AG527" i="13"/>
  <c r="AH527" i="13" s="1"/>
  <c r="AG528" i="13"/>
  <c r="AH528" i="13" s="1"/>
  <c r="AG529" i="13"/>
  <c r="AH529" i="13" s="1"/>
  <c r="AG530" i="13"/>
  <c r="AH530" i="13" s="1"/>
  <c r="AG531" i="13"/>
  <c r="AH531" i="13" s="1"/>
  <c r="AG532" i="13"/>
  <c r="AH532" i="13" s="1"/>
  <c r="AG533" i="13"/>
  <c r="AH533" i="13" s="1"/>
  <c r="AG534" i="13"/>
  <c r="AH534" i="13" s="1"/>
  <c r="AG535" i="13"/>
  <c r="AH535" i="13" s="1"/>
  <c r="AG536" i="13"/>
  <c r="AH536" i="13" s="1"/>
  <c r="AG537" i="13"/>
  <c r="AH537" i="13" s="1"/>
  <c r="AG538" i="13"/>
  <c r="AH538" i="13" s="1"/>
  <c r="AG539" i="13"/>
  <c r="AH539" i="13" s="1"/>
  <c r="AG540" i="13"/>
  <c r="AH540" i="13" s="1"/>
  <c r="AG541" i="13"/>
  <c r="AH541" i="13" s="1"/>
  <c r="AG542" i="13"/>
  <c r="AH542" i="13" s="1"/>
  <c r="AG543" i="13"/>
  <c r="AH543" i="13" s="1"/>
  <c r="AG544" i="13"/>
  <c r="AH544" i="13" s="1"/>
  <c r="AG545" i="13"/>
  <c r="AH545" i="13" s="1"/>
  <c r="AG546" i="13"/>
  <c r="AH546" i="13" s="1"/>
  <c r="AG547" i="13"/>
  <c r="AH547" i="13" s="1"/>
  <c r="AG548" i="13"/>
  <c r="AH548" i="13" s="1"/>
  <c r="AG549" i="13"/>
  <c r="AH549" i="13" s="1"/>
  <c r="AG550" i="13"/>
  <c r="AH550" i="13" s="1"/>
  <c r="AG551" i="13"/>
  <c r="AH551" i="13" s="1"/>
  <c r="AG552" i="13"/>
  <c r="AH552" i="13" s="1"/>
  <c r="AG553" i="13"/>
  <c r="AH553" i="13" s="1"/>
  <c r="AG554" i="13"/>
  <c r="AH554" i="13" s="1"/>
  <c r="AG555" i="13"/>
  <c r="AH555" i="13" s="1"/>
  <c r="AG556" i="13"/>
  <c r="AH556" i="13" s="1"/>
  <c r="AG557" i="13"/>
  <c r="AH557" i="13" s="1"/>
  <c r="AG558" i="13"/>
  <c r="AH558" i="13" s="1"/>
  <c r="AG559" i="13"/>
  <c r="AH559" i="13" s="1"/>
  <c r="AG560" i="13"/>
  <c r="AH560" i="13" s="1"/>
  <c r="AG561" i="13"/>
  <c r="AH561" i="13" s="1"/>
  <c r="AG562" i="13"/>
  <c r="AH562" i="13" s="1"/>
  <c r="AG563" i="13"/>
  <c r="AH563" i="13" s="1"/>
  <c r="AG564" i="13"/>
  <c r="AH564" i="13" s="1"/>
  <c r="AG565" i="13"/>
  <c r="AH565" i="13" s="1"/>
  <c r="AG566" i="13"/>
  <c r="AH566" i="13" s="1"/>
  <c r="AG567" i="13"/>
  <c r="AH567" i="13" s="1"/>
  <c r="AG568" i="13"/>
  <c r="AH568" i="13" s="1"/>
  <c r="AG569" i="13"/>
  <c r="AH569" i="13" s="1"/>
  <c r="AG570" i="13"/>
  <c r="AH570" i="13" s="1"/>
  <c r="AG571" i="13"/>
  <c r="AH571" i="13" s="1"/>
  <c r="AG572" i="13"/>
  <c r="AH572" i="13" s="1"/>
  <c r="AG573" i="13"/>
  <c r="AH573" i="13" s="1"/>
  <c r="AG574" i="13"/>
  <c r="AH574" i="13" s="1"/>
  <c r="AG575" i="13"/>
  <c r="AH575" i="13" s="1"/>
  <c r="AG576" i="13"/>
  <c r="AH576" i="13" s="1"/>
  <c r="AG577" i="13"/>
  <c r="AH577" i="13" s="1"/>
  <c r="AG578" i="13"/>
  <c r="AH578" i="13" s="1"/>
  <c r="AG579" i="13"/>
  <c r="AH579" i="13" s="1"/>
  <c r="AG580" i="13"/>
  <c r="AH580" i="13" s="1"/>
  <c r="AG581" i="13"/>
  <c r="AH581" i="13" s="1"/>
  <c r="AG582" i="13"/>
  <c r="AH582" i="13" s="1"/>
  <c r="AG583" i="13"/>
  <c r="AH583" i="13" s="1"/>
  <c r="AG584" i="13"/>
  <c r="AH584" i="13" s="1"/>
  <c r="AG585" i="13"/>
  <c r="AH585" i="13" s="1"/>
  <c r="AG586" i="13"/>
  <c r="AH586" i="13" s="1"/>
  <c r="AG587" i="13"/>
  <c r="AH587" i="13" s="1"/>
  <c r="AG588" i="13"/>
  <c r="AH588" i="13" s="1"/>
  <c r="AG589" i="13"/>
  <c r="AH589" i="13" s="1"/>
  <c r="AG590" i="13"/>
  <c r="AH590" i="13" s="1"/>
  <c r="AG591" i="13"/>
  <c r="AH591" i="13" s="1"/>
  <c r="AG592" i="13"/>
  <c r="AH592" i="13" s="1"/>
  <c r="AG593" i="13"/>
  <c r="AH593" i="13" s="1"/>
  <c r="AG594" i="13"/>
  <c r="AH594" i="13" s="1"/>
  <c r="AG595" i="13"/>
  <c r="AH595" i="13" s="1"/>
  <c r="AG596" i="13"/>
  <c r="AH596" i="13" s="1"/>
  <c r="AG597" i="13"/>
  <c r="AH597" i="13" s="1"/>
  <c r="AG598" i="13"/>
  <c r="AH598" i="13" s="1"/>
  <c r="AG599" i="13"/>
  <c r="AH599" i="13" s="1"/>
  <c r="AG600" i="13"/>
  <c r="AH600" i="13" s="1"/>
  <c r="AG601" i="13"/>
  <c r="AH601" i="13" s="1"/>
  <c r="AG602" i="13"/>
  <c r="AH602" i="13" s="1"/>
  <c r="AG603" i="13"/>
  <c r="AH603" i="13" s="1"/>
  <c r="AG604" i="13"/>
  <c r="AH604" i="13" s="1"/>
  <c r="AG605" i="13"/>
  <c r="AH605" i="13" s="1"/>
  <c r="AG606" i="13"/>
  <c r="AH606" i="13" s="1"/>
  <c r="AG607" i="13"/>
  <c r="AH607" i="13" s="1"/>
  <c r="AG608" i="13"/>
  <c r="AH608" i="13" s="1"/>
  <c r="AG609" i="13"/>
  <c r="AH609" i="13" s="1"/>
  <c r="AG610" i="13"/>
  <c r="AH610" i="13" s="1"/>
  <c r="AG611" i="13"/>
  <c r="AH611" i="13" s="1"/>
  <c r="AG612" i="13"/>
  <c r="AH612" i="13" s="1"/>
  <c r="AG613" i="13"/>
  <c r="AH613" i="13" s="1"/>
  <c r="AG614" i="13"/>
  <c r="AH614" i="13" s="1"/>
  <c r="AG615" i="13"/>
  <c r="AH615" i="13" s="1"/>
  <c r="AG616" i="13"/>
  <c r="AH616" i="13" s="1"/>
  <c r="AG617" i="13"/>
  <c r="AH617" i="13" s="1"/>
  <c r="AG618" i="13"/>
  <c r="AH618" i="13" s="1"/>
  <c r="AG619" i="13"/>
  <c r="AH619" i="13" s="1"/>
  <c r="AG620" i="13"/>
  <c r="AH620" i="13" s="1"/>
  <c r="AG621" i="13"/>
  <c r="AH621" i="13" s="1"/>
  <c r="AG622" i="13"/>
  <c r="AH622" i="13" s="1"/>
  <c r="AG623" i="13"/>
  <c r="AH623" i="13" s="1"/>
  <c r="AG624" i="13"/>
  <c r="AH624" i="13" s="1"/>
  <c r="AG625" i="13"/>
  <c r="AH625" i="13" s="1"/>
  <c r="AG626" i="13"/>
  <c r="AH626" i="13" s="1"/>
  <c r="AG627" i="13"/>
  <c r="AH627" i="13" s="1"/>
  <c r="AG628" i="13"/>
  <c r="AH628" i="13" s="1"/>
  <c r="AG629" i="13"/>
  <c r="AH629" i="13" s="1"/>
  <c r="AG630" i="13"/>
  <c r="AH630" i="13" s="1"/>
  <c r="AG631" i="13"/>
  <c r="AH631" i="13" s="1"/>
  <c r="AG632" i="13"/>
  <c r="AH632" i="13" s="1"/>
  <c r="AG633" i="13"/>
  <c r="AH633" i="13" s="1"/>
  <c r="AG634" i="13"/>
  <c r="AH634" i="13" s="1"/>
  <c r="AG635" i="13"/>
  <c r="AH635" i="13" s="1"/>
  <c r="AG636" i="13"/>
  <c r="AH636" i="13" s="1"/>
  <c r="AG637" i="13"/>
  <c r="AH637" i="13" s="1"/>
  <c r="AG638" i="13"/>
  <c r="AH638" i="13" s="1"/>
  <c r="AG639" i="13"/>
  <c r="AH639" i="13" s="1"/>
  <c r="AG640" i="13"/>
  <c r="AH640" i="13" s="1"/>
  <c r="AG641" i="13"/>
  <c r="AH641" i="13" s="1"/>
  <c r="AG642" i="13"/>
  <c r="AH642" i="13" s="1"/>
  <c r="AG643" i="13"/>
  <c r="AH643" i="13" s="1"/>
  <c r="AG644" i="13"/>
  <c r="AH644" i="13" s="1"/>
  <c r="AG645" i="13"/>
  <c r="AH645" i="13" s="1"/>
  <c r="AG646" i="13"/>
  <c r="AH646" i="13" s="1"/>
  <c r="AG647" i="13"/>
  <c r="AH647" i="13" s="1"/>
  <c r="AG648" i="13"/>
  <c r="AH648" i="13" s="1"/>
  <c r="AG649" i="13"/>
  <c r="AH649" i="13" s="1"/>
  <c r="AG650" i="13"/>
  <c r="AH650" i="13" s="1"/>
  <c r="AG651" i="13"/>
  <c r="AH651" i="13" s="1"/>
  <c r="AG652" i="13"/>
  <c r="AH652" i="13" s="1"/>
  <c r="AG653" i="13"/>
  <c r="AH653" i="13" s="1"/>
  <c r="AG654" i="13"/>
  <c r="AH654" i="13" s="1"/>
  <c r="AG655" i="13"/>
  <c r="AH655" i="13" s="1"/>
  <c r="AG656" i="13"/>
  <c r="AH656" i="13" s="1"/>
  <c r="AG657" i="13"/>
  <c r="AH657" i="13" s="1"/>
  <c r="AG658" i="13"/>
  <c r="AH658" i="13" s="1"/>
  <c r="AG659" i="13"/>
  <c r="AH659" i="13" s="1"/>
  <c r="AG660" i="13"/>
  <c r="AH660" i="13" s="1"/>
  <c r="AG661" i="13"/>
  <c r="AH661" i="13" s="1"/>
  <c r="AG662" i="13"/>
  <c r="AH662" i="13" s="1"/>
  <c r="AG663" i="13"/>
  <c r="AH663" i="13" s="1"/>
  <c r="AG664" i="13"/>
  <c r="AH664" i="13" s="1"/>
  <c r="AG665" i="13"/>
  <c r="AH665" i="13" s="1"/>
  <c r="AG666" i="13"/>
  <c r="AH666" i="13" s="1"/>
  <c r="AG667" i="13"/>
  <c r="AH667" i="13" s="1"/>
  <c r="AG668" i="13"/>
  <c r="AH668" i="13" s="1"/>
  <c r="AG669" i="13"/>
  <c r="AH669" i="13" s="1"/>
  <c r="AG670" i="13"/>
  <c r="AH670" i="13" s="1"/>
  <c r="AG671" i="13"/>
  <c r="AH671" i="13" s="1"/>
  <c r="AG672" i="13"/>
  <c r="AH672" i="13" s="1"/>
  <c r="AG673" i="13"/>
  <c r="AH673" i="13" s="1"/>
  <c r="AG674" i="13"/>
  <c r="AH674" i="13" s="1"/>
  <c r="AG675" i="13"/>
  <c r="AH675" i="13" s="1"/>
  <c r="AG676" i="13"/>
  <c r="AH676" i="13" s="1"/>
  <c r="AG677" i="13"/>
  <c r="AH677" i="13" s="1"/>
  <c r="AG678" i="13"/>
  <c r="AH678" i="13" s="1"/>
  <c r="AG679" i="13"/>
  <c r="AH679" i="13" s="1"/>
  <c r="AG680" i="13"/>
  <c r="AH680" i="13" s="1"/>
  <c r="AG681" i="13"/>
  <c r="AH681" i="13" s="1"/>
  <c r="AG682" i="13"/>
  <c r="AH682" i="13" s="1"/>
  <c r="AG683" i="13"/>
  <c r="AH683" i="13" s="1"/>
  <c r="AG684" i="13"/>
  <c r="AH684" i="13" s="1"/>
  <c r="AG685" i="13"/>
  <c r="AH685" i="13" s="1"/>
  <c r="AG686" i="13"/>
  <c r="AH686" i="13" s="1"/>
  <c r="AG687" i="13"/>
  <c r="AH687" i="13" s="1"/>
  <c r="AG688" i="13"/>
  <c r="AH688" i="13" s="1"/>
  <c r="AG689" i="13"/>
  <c r="AH689" i="13" s="1"/>
  <c r="AG690" i="13"/>
  <c r="AH690" i="13" s="1"/>
  <c r="AG691" i="13"/>
  <c r="AH691" i="13" s="1"/>
  <c r="AG692" i="13"/>
  <c r="AH692" i="13" s="1"/>
  <c r="AG693" i="13"/>
  <c r="AH693" i="13" s="1"/>
  <c r="AG694" i="13"/>
  <c r="AH694" i="13" s="1"/>
  <c r="AG695" i="13"/>
  <c r="AH695" i="13" s="1"/>
  <c r="AG696" i="13"/>
  <c r="AH696" i="13" s="1"/>
  <c r="AG697" i="13"/>
  <c r="AH697" i="13" s="1"/>
  <c r="AG698" i="13"/>
  <c r="AH698" i="13" s="1"/>
  <c r="AG699" i="13"/>
  <c r="AH699" i="13" s="1"/>
  <c r="AG700" i="13"/>
  <c r="AH700" i="13" s="1"/>
  <c r="AG701" i="13"/>
  <c r="AH701" i="13" s="1"/>
  <c r="AG702" i="13"/>
  <c r="AH702" i="13" s="1"/>
  <c r="AG703" i="13"/>
  <c r="AH703" i="13" s="1"/>
  <c r="AG704" i="13"/>
  <c r="AH704" i="13" s="1"/>
  <c r="AG705" i="13"/>
  <c r="AH705" i="13" s="1"/>
  <c r="AG706" i="13"/>
  <c r="AH706" i="13" s="1"/>
  <c r="AG707" i="13"/>
  <c r="AH707" i="13" s="1"/>
  <c r="AG708" i="13"/>
  <c r="AH708" i="13" s="1"/>
  <c r="AG709" i="13"/>
  <c r="AH709" i="13" s="1"/>
  <c r="AG710" i="13"/>
  <c r="AH710" i="13" s="1"/>
  <c r="AG711" i="13"/>
  <c r="AH711" i="13" s="1"/>
  <c r="AG712" i="13"/>
  <c r="AH712" i="13" s="1"/>
  <c r="AG713" i="13"/>
  <c r="AH713" i="13" s="1"/>
  <c r="AG714" i="13"/>
  <c r="AH714" i="13" s="1"/>
  <c r="AG715" i="13"/>
  <c r="AH715" i="13" s="1"/>
  <c r="AG716" i="13"/>
  <c r="AH716" i="13" s="1"/>
  <c r="AG717" i="13"/>
  <c r="AH717" i="13" s="1"/>
  <c r="AG718" i="13"/>
  <c r="AH718" i="13" s="1"/>
  <c r="AG719" i="13"/>
  <c r="AH719" i="13" s="1"/>
  <c r="AG720" i="13"/>
  <c r="AH720" i="13" s="1"/>
  <c r="AG721" i="13"/>
  <c r="AH721" i="13" s="1"/>
  <c r="AB2" i="13"/>
  <c r="AB3" i="13"/>
  <c r="AB4" i="13"/>
  <c r="AB5" i="13"/>
  <c r="AB6" i="13"/>
  <c r="AB7" i="13"/>
  <c r="AB8" i="13"/>
  <c r="AB9" i="13"/>
  <c r="AB10" i="13"/>
  <c r="AB11" i="13"/>
  <c r="AB12" i="13"/>
  <c r="AB13" i="13"/>
  <c r="AB14" i="13"/>
  <c r="AB15" i="13"/>
  <c r="AB16" i="13"/>
  <c r="AB17" i="13"/>
  <c r="AB18" i="13"/>
  <c r="AB19" i="13"/>
  <c r="AB20" i="13"/>
  <c r="AB21" i="13"/>
  <c r="AB22" i="13"/>
  <c r="AB23" i="13"/>
  <c r="AB24" i="13"/>
  <c r="AB25" i="13"/>
  <c r="AB26" i="13"/>
  <c r="AB27" i="13"/>
  <c r="AB28" i="13"/>
  <c r="AB29" i="13"/>
  <c r="AB30" i="13"/>
  <c r="AB31" i="13"/>
  <c r="AB32" i="13"/>
  <c r="AB33" i="13"/>
  <c r="AB34" i="13"/>
  <c r="AB35" i="13"/>
  <c r="AB36" i="13"/>
  <c r="AB37" i="13"/>
  <c r="AB38" i="13"/>
  <c r="AB39" i="13"/>
  <c r="AB40" i="13"/>
  <c r="AB41" i="13"/>
  <c r="AB42" i="13"/>
  <c r="AB43" i="13"/>
  <c r="AB44" i="13"/>
  <c r="AB45" i="13"/>
  <c r="AB46" i="13"/>
  <c r="AB47" i="13"/>
  <c r="AB48" i="13"/>
  <c r="AB49" i="13"/>
  <c r="AB50" i="13"/>
  <c r="AB51" i="13"/>
  <c r="AB52" i="13"/>
  <c r="AB53" i="13"/>
  <c r="AB54" i="13"/>
  <c r="AB55" i="13"/>
  <c r="AB56" i="13"/>
  <c r="AB57" i="13"/>
  <c r="AB58" i="13"/>
  <c r="AB59" i="13"/>
  <c r="AB60" i="13"/>
  <c r="AB61" i="13"/>
  <c r="AB62" i="13"/>
  <c r="AB63" i="13"/>
  <c r="AB64" i="13"/>
  <c r="AB65" i="13"/>
  <c r="AB66" i="13"/>
  <c r="AB67" i="13"/>
  <c r="AB68" i="13"/>
  <c r="AB69" i="13"/>
  <c r="AB70" i="13"/>
  <c r="AB71" i="13"/>
  <c r="AB72" i="13"/>
  <c r="AB73" i="13"/>
  <c r="AB74" i="13"/>
  <c r="AB75" i="13"/>
  <c r="AB76" i="13"/>
  <c r="AB77" i="13"/>
  <c r="AB78" i="13"/>
  <c r="AB79" i="13"/>
  <c r="AB80" i="13"/>
  <c r="AB81" i="13"/>
  <c r="AB82" i="13"/>
  <c r="AB83" i="13"/>
  <c r="AB84" i="13"/>
  <c r="AB85" i="13"/>
  <c r="AB86" i="13"/>
  <c r="AB87" i="13"/>
  <c r="AB88" i="13"/>
  <c r="AB89" i="13"/>
  <c r="AB90" i="13"/>
  <c r="AB91" i="13"/>
  <c r="AB92" i="13"/>
  <c r="AB93" i="13"/>
  <c r="AB94" i="13"/>
  <c r="AB95" i="13"/>
  <c r="AB96" i="13"/>
  <c r="AB97" i="13"/>
  <c r="AB98" i="13"/>
  <c r="AB99" i="13"/>
  <c r="AB100" i="13"/>
  <c r="AB101" i="13"/>
  <c r="AB102" i="13"/>
  <c r="AB103" i="13"/>
  <c r="AB104" i="13"/>
  <c r="AB105" i="13"/>
  <c r="AB106" i="13"/>
  <c r="AB107" i="13"/>
  <c r="AB108" i="13"/>
  <c r="AB109" i="13"/>
  <c r="AB110" i="13"/>
  <c r="AB111" i="13"/>
  <c r="AB112" i="13"/>
  <c r="AB113" i="13"/>
  <c r="AB114" i="13"/>
  <c r="AB115" i="13"/>
  <c r="AB116" i="13"/>
  <c r="AB117" i="13"/>
  <c r="AB118" i="13"/>
  <c r="AB119" i="13"/>
  <c r="AB120" i="13"/>
  <c r="AB121" i="13"/>
  <c r="AB122" i="13"/>
  <c r="AB123" i="13"/>
  <c r="AB124" i="13"/>
  <c r="AB125" i="13"/>
  <c r="AB126" i="13"/>
  <c r="AB127" i="13"/>
  <c r="AB128" i="13"/>
  <c r="AB129" i="13"/>
  <c r="AB130" i="13"/>
  <c r="AB131" i="13"/>
  <c r="AB132" i="13"/>
  <c r="AB133" i="13"/>
  <c r="AB134" i="13"/>
  <c r="AB135" i="13"/>
  <c r="AB136" i="13"/>
  <c r="AB137" i="13"/>
  <c r="AB138" i="13"/>
  <c r="AB139" i="13"/>
  <c r="AB140" i="13"/>
  <c r="AB141" i="13"/>
  <c r="AB142" i="13"/>
  <c r="AB143" i="13"/>
  <c r="AB144" i="13"/>
  <c r="AB145" i="13"/>
  <c r="AB146" i="13"/>
  <c r="AB147" i="13"/>
  <c r="AB148" i="13"/>
  <c r="AB149" i="13"/>
  <c r="AB150" i="13"/>
  <c r="AB151" i="13"/>
  <c r="AB152" i="13"/>
  <c r="AB153" i="13"/>
  <c r="AB154" i="13"/>
  <c r="AB155" i="13"/>
  <c r="AB156" i="13"/>
  <c r="AB157" i="13"/>
  <c r="AB158" i="13"/>
  <c r="AB159" i="13"/>
  <c r="AB160" i="13"/>
  <c r="AB161" i="13"/>
  <c r="AB162" i="13"/>
  <c r="AB163" i="13"/>
  <c r="AB164" i="13"/>
  <c r="AB165" i="13"/>
  <c r="AB166" i="13"/>
  <c r="AB167" i="13"/>
  <c r="AB168" i="13"/>
  <c r="AB169" i="13"/>
  <c r="AB170" i="13"/>
  <c r="AB171" i="13"/>
  <c r="AB172" i="13"/>
  <c r="AB173" i="13"/>
  <c r="AB174" i="13"/>
  <c r="AB175" i="13"/>
  <c r="AB176" i="13"/>
  <c r="AB177" i="13"/>
  <c r="AB178" i="13"/>
  <c r="AB179" i="13"/>
  <c r="AB180" i="13"/>
  <c r="AB181" i="13"/>
  <c r="AB182" i="13"/>
  <c r="AB183" i="13"/>
  <c r="AB184" i="13"/>
  <c r="AB185" i="13"/>
  <c r="AB186" i="13"/>
  <c r="AB187" i="13"/>
  <c r="AB188" i="13"/>
  <c r="AB189" i="13"/>
  <c r="AB190" i="13"/>
  <c r="AB191" i="13"/>
  <c r="AB192" i="13"/>
  <c r="AB193" i="13"/>
  <c r="AB194" i="13"/>
  <c r="AB195" i="13"/>
  <c r="AB196" i="13"/>
  <c r="AB197" i="13"/>
  <c r="AB198" i="13"/>
  <c r="AB199" i="13"/>
  <c r="AB200" i="13"/>
  <c r="AB201" i="13"/>
  <c r="AB202" i="13"/>
  <c r="AB203" i="13"/>
  <c r="AB204" i="13"/>
  <c r="AB205" i="13"/>
  <c r="AB206" i="13"/>
  <c r="AB207" i="13"/>
  <c r="AB208" i="13"/>
  <c r="AB209" i="13"/>
  <c r="AB210" i="13"/>
  <c r="AB211" i="13"/>
  <c r="AB212" i="13"/>
  <c r="AB213" i="13"/>
  <c r="AB214" i="13"/>
  <c r="AB215" i="13"/>
  <c r="AB216" i="13"/>
  <c r="AB217" i="13"/>
  <c r="AB218" i="13"/>
  <c r="AB219" i="13"/>
  <c r="AB220" i="13"/>
  <c r="AB221" i="13"/>
  <c r="AB222" i="13"/>
  <c r="AB223" i="13"/>
  <c r="AB224" i="13"/>
  <c r="AB225" i="13"/>
  <c r="AB226" i="13"/>
  <c r="AB227" i="13"/>
  <c r="AB228" i="13"/>
  <c r="AB229" i="13"/>
  <c r="AB230" i="13"/>
  <c r="AB231" i="13"/>
  <c r="AB232" i="13"/>
  <c r="AB233" i="13"/>
  <c r="AB234" i="13"/>
  <c r="AB235" i="13"/>
  <c r="AB236" i="13"/>
  <c r="AB237" i="13"/>
  <c r="AB238" i="13"/>
  <c r="AB239" i="13"/>
  <c r="AB240" i="13"/>
  <c r="AB241" i="13"/>
  <c r="AB242" i="13"/>
  <c r="AB243" i="13"/>
  <c r="AB244" i="13"/>
  <c r="AB245" i="13"/>
  <c r="AB246" i="13"/>
  <c r="AB247" i="13"/>
  <c r="AB248" i="13"/>
  <c r="AB249" i="13"/>
  <c r="AB250" i="13"/>
  <c r="AB251" i="13"/>
  <c r="AB252" i="13"/>
  <c r="AB253" i="13"/>
  <c r="AB254" i="13"/>
  <c r="AB255" i="13"/>
  <c r="AB256" i="13"/>
  <c r="AB257" i="13"/>
  <c r="AB258" i="13"/>
  <c r="AB259" i="13"/>
  <c r="AB260" i="13"/>
  <c r="AB261" i="13"/>
  <c r="AB262" i="13"/>
  <c r="AB263" i="13"/>
  <c r="AB264" i="13"/>
  <c r="AB265" i="13"/>
  <c r="AB266" i="13"/>
  <c r="AB267" i="13"/>
  <c r="AB268" i="13"/>
  <c r="AB269" i="13"/>
  <c r="AB270" i="13"/>
  <c r="AB271" i="13"/>
  <c r="AB272" i="13"/>
  <c r="AB273" i="13"/>
  <c r="AB274" i="13"/>
  <c r="AB275" i="13"/>
  <c r="AB276" i="13"/>
  <c r="AB277" i="13"/>
  <c r="AB278" i="13"/>
  <c r="AB279" i="13"/>
  <c r="AB280" i="13"/>
  <c r="AB281" i="13"/>
  <c r="AB282" i="13"/>
  <c r="AB283" i="13"/>
  <c r="AB284" i="13"/>
  <c r="AB285" i="13"/>
  <c r="AB286" i="13"/>
  <c r="AB287" i="13"/>
  <c r="AB288" i="13"/>
  <c r="AB289" i="13"/>
  <c r="AB290" i="13"/>
  <c r="AB291" i="13"/>
  <c r="AB292" i="13"/>
  <c r="AB293" i="13"/>
  <c r="AB294" i="13"/>
  <c r="AB295" i="13"/>
  <c r="AB296" i="13"/>
  <c r="AB297" i="13"/>
  <c r="AB298" i="13"/>
  <c r="AB299" i="13"/>
  <c r="AB300" i="13"/>
  <c r="AB301" i="13"/>
  <c r="AB302" i="13"/>
  <c r="AB303" i="13"/>
  <c r="AB304" i="13"/>
  <c r="AB305" i="13"/>
  <c r="AB306" i="13"/>
  <c r="AB307" i="13"/>
  <c r="AB308" i="13"/>
  <c r="AB309" i="13"/>
  <c r="AB310" i="13"/>
  <c r="AB311" i="13"/>
  <c r="AB312" i="13"/>
  <c r="AB313" i="13"/>
  <c r="AB314" i="13"/>
  <c r="AB315" i="13"/>
  <c r="AB316" i="13"/>
  <c r="AB317" i="13"/>
  <c r="AB318" i="13"/>
  <c r="AB319" i="13"/>
  <c r="AB320" i="13"/>
  <c r="AB321" i="13"/>
  <c r="AB322" i="13"/>
  <c r="AB323" i="13"/>
  <c r="AB324" i="13"/>
  <c r="AB325" i="13"/>
  <c r="AB326" i="13"/>
  <c r="AB327" i="13"/>
  <c r="AB328" i="13"/>
  <c r="AB329" i="13"/>
  <c r="AB330" i="13"/>
  <c r="AB331" i="13"/>
  <c r="AB332" i="13"/>
  <c r="AB333" i="13"/>
  <c r="AB334" i="13"/>
  <c r="AB335" i="13"/>
  <c r="AB336" i="13"/>
  <c r="AB337" i="13"/>
  <c r="AB338" i="13"/>
  <c r="AB339" i="13"/>
  <c r="AB340" i="13"/>
  <c r="AB341" i="13"/>
  <c r="AB342" i="13"/>
  <c r="AB343" i="13"/>
  <c r="AB344" i="13"/>
  <c r="AB345" i="13"/>
  <c r="AB346" i="13"/>
  <c r="AB347" i="13"/>
  <c r="AB348" i="13"/>
  <c r="AB349" i="13"/>
  <c r="AB350" i="13"/>
  <c r="AB351" i="13"/>
  <c r="AB352" i="13"/>
  <c r="AB353" i="13"/>
  <c r="AB354" i="13"/>
  <c r="AB355" i="13"/>
  <c r="AB356" i="13"/>
  <c r="AB357" i="13"/>
  <c r="AB358" i="13"/>
  <c r="AB359" i="13"/>
  <c r="AB360" i="13"/>
  <c r="AB361" i="13"/>
  <c r="AB362" i="13"/>
  <c r="AB363" i="13"/>
  <c r="AB364" i="13"/>
  <c r="AB365" i="13"/>
  <c r="AB366" i="13"/>
  <c r="AB367" i="13"/>
  <c r="AB368" i="13"/>
  <c r="AB369" i="13"/>
  <c r="AB370" i="13"/>
  <c r="AB371" i="13"/>
  <c r="AB372" i="13"/>
  <c r="AB373" i="13"/>
  <c r="AB374" i="13"/>
  <c r="AB375" i="13"/>
  <c r="AB376" i="13"/>
  <c r="AB377" i="13"/>
  <c r="AB378" i="13"/>
  <c r="AB379" i="13"/>
  <c r="AB380" i="13"/>
  <c r="AB381" i="13"/>
  <c r="AB382" i="13"/>
  <c r="AB383" i="13"/>
  <c r="AB384" i="13"/>
  <c r="AB385" i="13"/>
  <c r="AB386" i="13"/>
  <c r="AB387" i="13"/>
  <c r="AB388" i="13"/>
  <c r="AB389" i="13"/>
  <c r="AB390" i="13"/>
  <c r="AB391" i="13"/>
  <c r="AB392" i="13"/>
  <c r="AB393" i="13"/>
  <c r="AB394" i="13"/>
  <c r="AB395" i="13"/>
  <c r="AB396" i="13"/>
  <c r="AB397" i="13"/>
  <c r="AB398" i="13"/>
  <c r="AB399" i="13"/>
  <c r="AB400" i="13"/>
  <c r="AB401" i="13"/>
  <c r="AB402" i="13"/>
  <c r="AB403" i="13"/>
  <c r="AB404" i="13"/>
  <c r="AB405" i="13"/>
  <c r="AB406" i="13"/>
  <c r="AB407" i="13"/>
  <c r="AB408" i="13"/>
  <c r="AB409" i="13"/>
  <c r="AB410" i="13"/>
  <c r="AB411" i="13"/>
  <c r="AB412" i="13"/>
  <c r="AB413" i="13"/>
  <c r="AB414" i="13"/>
  <c r="AB415" i="13"/>
  <c r="AB416" i="13"/>
  <c r="AB417" i="13"/>
  <c r="AB418" i="13"/>
  <c r="AB419" i="13"/>
  <c r="AB420" i="13"/>
  <c r="AB421" i="13"/>
  <c r="AB422" i="13"/>
  <c r="AB423" i="13"/>
  <c r="AB424" i="13"/>
  <c r="AB425" i="13"/>
  <c r="AB426" i="13"/>
  <c r="AB427" i="13"/>
  <c r="AB428" i="13"/>
  <c r="AB429" i="13"/>
  <c r="AB430" i="13"/>
  <c r="AB431" i="13"/>
  <c r="AB432" i="13"/>
  <c r="AB433" i="13"/>
  <c r="AB434" i="13"/>
  <c r="AB435" i="13"/>
  <c r="AB436" i="13"/>
  <c r="AB437" i="13"/>
  <c r="AB438" i="13"/>
  <c r="AB439" i="13"/>
  <c r="AB440" i="13"/>
  <c r="AB441" i="13"/>
  <c r="AB442" i="13"/>
  <c r="AB443" i="13"/>
  <c r="AB444" i="13"/>
  <c r="AB445" i="13"/>
  <c r="AB446" i="13"/>
  <c r="AB447" i="13"/>
  <c r="AB448" i="13"/>
  <c r="AB449" i="13"/>
  <c r="AB450" i="13"/>
  <c r="AB451" i="13"/>
  <c r="AB452" i="13"/>
  <c r="AB453" i="13"/>
  <c r="AB454" i="13"/>
  <c r="AB455" i="13"/>
  <c r="AB456" i="13"/>
  <c r="AB457" i="13"/>
  <c r="AB458" i="13"/>
  <c r="AB459" i="13"/>
  <c r="AB460" i="13"/>
  <c r="AB461" i="13"/>
  <c r="AB462" i="13"/>
  <c r="AB463" i="13"/>
  <c r="AB464" i="13"/>
  <c r="AB465" i="13"/>
  <c r="AB466" i="13"/>
  <c r="AB467" i="13"/>
  <c r="AB468" i="13"/>
  <c r="AB469" i="13"/>
  <c r="AB470" i="13"/>
  <c r="AB471" i="13"/>
  <c r="AB472" i="13"/>
  <c r="AB473" i="13"/>
  <c r="AB474" i="13"/>
  <c r="AB475" i="13"/>
  <c r="AB476" i="13"/>
  <c r="AB477" i="13"/>
  <c r="AB478" i="13"/>
  <c r="AB479" i="13"/>
  <c r="AB480" i="13"/>
  <c r="AB481" i="13"/>
  <c r="AB482" i="13"/>
  <c r="AB483" i="13"/>
  <c r="AB484" i="13"/>
  <c r="AB485" i="13"/>
  <c r="AB486" i="13"/>
  <c r="AB487" i="13"/>
  <c r="AB488" i="13"/>
  <c r="AB489" i="13"/>
  <c r="AB490" i="13"/>
  <c r="AB491" i="13"/>
  <c r="AB492" i="13"/>
  <c r="AB493" i="13"/>
  <c r="AB494" i="13"/>
  <c r="AB495" i="13"/>
  <c r="AB496" i="13"/>
  <c r="AB497" i="13"/>
  <c r="AB498" i="13"/>
  <c r="AB499" i="13"/>
  <c r="AB500" i="13"/>
  <c r="AB501" i="13"/>
  <c r="AB502" i="13"/>
  <c r="AB503" i="13"/>
  <c r="AB504" i="13"/>
  <c r="AB505" i="13"/>
  <c r="AB506" i="13"/>
  <c r="AB507" i="13"/>
  <c r="AB508" i="13"/>
  <c r="AB509" i="13"/>
  <c r="AB510" i="13"/>
  <c r="AB511" i="13"/>
  <c r="AB512" i="13"/>
  <c r="AB513" i="13"/>
  <c r="AB514" i="13"/>
  <c r="AB515" i="13"/>
  <c r="AB516" i="13"/>
  <c r="AB517" i="13"/>
  <c r="AB518" i="13"/>
  <c r="AB519" i="13"/>
  <c r="AB520" i="13"/>
  <c r="AB521" i="13"/>
  <c r="AB522" i="13"/>
  <c r="AB523" i="13"/>
  <c r="AB524" i="13"/>
  <c r="AB525" i="13"/>
  <c r="AB526" i="13"/>
  <c r="AB527" i="13"/>
  <c r="AB528" i="13"/>
  <c r="AB529" i="13"/>
  <c r="AB530" i="13"/>
  <c r="AB531" i="13"/>
  <c r="AB532" i="13"/>
  <c r="AB533" i="13"/>
  <c r="AB534" i="13"/>
  <c r="AB535" i="13"/>
  <c r="AB536" i="13"/>
  <c r="AB537" i="13"/>
  <c r="AB538" i="13"/>
  <c r="AB539" i="13"/>
  <c r="AB540" i="13"/>
  <c r="AB541" i="13"/>
  <c r="AB542" i="13"/>
  <c r="AB543" i="13"/>
  <c r="AB544" i="13"/>
  <c r="AB545" i="13"/>
  <c r="AB546" i="13"/>
  <c r="AB547" i="13"/>
  <c r="AB548" i="13"/>
  <c r="AB549" i="13"/>
  <c r="AB550" i="13"/>
  <c r="AB551" i="13"/>
  <c r="AB552" i="13"/>
  <c r="AB553" i="13"/>
  <c r="AB554" i="13"/>
  <c r="AB555" i="13"/>
  <c r="AB556" i="13"/>
  <c r="AB557" i="13"/>
  <c r="AB558" i="13"/>
  <c r="AB559" i="13"/>
  <c r="AB560" i="13"/>
  <c r="AB561" i="13"/>
  <c r="AB562" i="13"/>
  <c r="AB563" i="13"/>
  <c r="AB564" i="13"/>
  <c r="AB565" i="13"/>
  <c r="AB566" i="13"/>
  <c r="AB567" i="13"/>
  <c r="AB568" i="13"/>
  <c r="AB569" i="13"/>
  <c r="AB570" i="13"/>
  <c r="AB571" i="13"/>
  <c r="AB572" i="13"/>
  <c r="AB573" i="13"/>
  <c r="AB574" i="13"/>
  <c r="AB575" i="13"/>
  <c r="AB576" i="13"/>
  <c r="AB577" i="13"/>
  <c r="AB578" i="13"/>
  <c r="AB579" i="13"/>
  <c r="AB580" i="13"/>
  <c r="AB581" i="13"/>
  <c r="AB582" i="13"/>
  <c r="AB583" i="13"/>
  <c r="AB584" i="13"/>
  <c r="AB585" i="13"/>
  <c r="AB586" i="13"/>
  <c r="AB587" i="13"/>
  <c r="AB588" i="13"/>
  <c r="AB589" i="13"/>
  <c r="AB590" i="13"/>
  <c r="AB591" i="13"/>
  <c r="AB592" i="13"/>
  <c r="AB593" i="13"/>
  <c r="AB594" i="13"/>
  <c r="AB595" i="13"/>
  <c r="AB596" i="13"/>
  <c r="AB597" i="13"/>
  <c r="AB598" i="13"/>
  <c r="AB599" i="13"/>
  <c r="AB600" i="13"/>
  <c r="AB601" i="13"/>
  <c r="AB602" i="13"/>
  <c r="AB603" i="13"/>
  <c r="AB604" i="13"/>
  <c r="AB605" i="13"/>
  <c r="AB606" i="13"/>
  <c r="AB607" i="13"/>
  <c r="AB608" i="13"/>
  <c r="AB609" i="13"/>
  <c r="AB610" i="13"/>
  <c r="AB611" i="13"/>
  <c r="AB612" i="13"/>
  <c r="AB613" i="13"/>
  <c r="AB614" i="13"/>
  <c r="AB615" i="13"/>
  <c r="AB616" i="13"/>
  <c r="AB617" i="13"/>
  <c r="AB618" i="13"/>
  <c r="AB619" i="13"/>
  <c r="AB620" i="13"/>
  <c r="AB621" i="13"/>
  <c r="AB622" i="13"/>
  <c r="AB623" i="13"/>
  <c r="AB624" i="13"/>
  <c r="AB625" i="13"/>
  <c r="AB626" i="13"/>
  <c r="AB627" i="13"/>
  <c r="AB628" i="13"/>
  <c r="AB629" i="13"/>
  <c r="AB630" i="13"/>
  <c r="AB631" i="13"/>
  <c r="AB632" i="13"/>
  <c r="AB633" i="13"/>
  <c r="AB634" i="13"/>
  <c r="AB635" i="13"/>
  <c r="AB636" i="13"/>
  <c r="AB637" i="13"/>
  <c r="AB638" i="13"/>
  <c r="AB639" i="13"/>
  <c r="AB640" i="13"/>
  <c r="AB641" i="13"/>
  <c r="AB642" i="13"/>
  <c r="AB643" i="13"/>
  <c r="AB644" i="13"/>
  <c r="AB645" i="13"/>
  <c r="AB646" i="13"/>
  <c r="AB647" i="13"/>
  <c r="AB648" i="13"/>
  <c r="AB649" i="13"/>
  <c r="AB650" i="13"/>
  <c r="AB651" i="13"/>
  <c r="AB652" i="13"/>
  <c r="AB653" i="13"/>
  <c r="AB654" i="13"/>
  <c r="AB655" i="13"/>
  <c r="AB656" i="13"/>
  <c r="AB657" i="13"/>
  <c r="AB658" i="13"/>
  <c r="AB659" i="13"/>
  <c r="AB660" i="13"/>
  <c r="AB661" i="13"/>
  <c r="AB662" i="13"/>
  <c r="AB663" i="13"/>
  <c r="AB664" i="13"/>
  <c r="AB665" i="13"/>
  <c r="AB666" i="13"/>
  <c r="AB667" i="13"/>
  <c r="AB668" i="13"/>
  <c r="AB669" i="13"/>
  <c r="AB670" i="13"/>
  <c r="AB671" i="13"/>
  <c r="AB672" i="13"/>
  <c r="AB673" i="13"/>
  <c r="AB674" i="13"/>
  <c r="AB675" i="13"/>
  <c r="AB676" i="13"/>
  <c r="AB677" i="13"/>
  <c r="AB678" i="13"/>
  <c r="AB679" i="13"/>
  <c r="AB680" i="13"/>
  <c r="AB681" i="13"/>
  <c r="AB682" i="13"/>
  <c r="AB683" i="13"/>
  <c r="AB684" i="13"/>
  <c r="AB685" i="13"/>
  <c r="AB686" i="13"/>
  <c r="AB687" i="13"/>
  <c r="AB688" i="13"/>
  <c r="AB689" i="13"/>
  <c r="AB690" i="13"/>
  <c r="AB691" i="13"/>
  <c r="AB692" i="13"/>
  <c r="AB693" i="13"/>
  <c r="AB694" i="13"/>
  <c r="AB695" i="13"/>
  <c r="AB696" i="13"/>
  <c r="AB697" i="13"/>
  <c r="AB698" i="13"/>
  <c r="AB699" i="13"/>
  <c r="AB700" i="13"/>
  <c r="AB701" i="13"/>
  <c r="AB702" i="13"/>
  <c r="AB703" i="13"/>
  <c r="AB704" i="13"/>
  <c r="AB705" i="13"/>
  <c r="AB706" i="13"/>
  <c r="AB707" i="13"/>
  <c r="AB708" i="13"/>
  <c r="AB709" i="13"/>
  <c r="AB710" i="13"/>
  <c r="AB711" i="13"/>
  <c r="AB712" i="13"/>
  <c r="AB713" i="13"/>
  <c r="AB714" i="13"/>
  <c r="AB715" i="13"/>
  <c r="AB716" i="13"/>
  <c r="AB717" i="13"/>
  <c r="AB718" i="13"/>
  <c r="AB719" i="13"/>
  <c r="AB720" i="13"/>
  <c r="AB721" i="13"/>
  <c r="AA2" i="13"/>
  <c r="AC2" i="13" s="1"/>
  <c r="AA3" i="13"/>
  <c r="AC3" i="13" s="1"/>
  <c r="AA4" i="13"/>
  <c r="AC4" i="13" s="1"/>
  <c r="AA5" i="13"/>
  <c r="AC5" i="13" s="1"/>
  <c r="AA6" i="13"/>
  <c r="AC6" i="13" s="1"/>
  <c r="AA7" i="13"/>
  <c r="AC7" i="13" s="1"/>
  <c r="AA8" i="13"/>
  <c r="AC8" i="13" s="1"/>
  <c r="AA9" i="13"/>
  <c r="AC9" i="13" s="1"/>
  <c r="AA10" i="13"/>
  <c r="AC10" i="13" s="1"/>
  <c r="AA11" i="13"/>
  <c r="AC11" i="13" s="1"/>
  <c r="AA12" i="13"/>
  <c r="AC12" i="13" s="1"/>
  <c r="AA13" i="13"/>
  <c r="AC13" i="13" s="1"/>
  <c r="AA14" i="13"/>
  <c r="AC14" i="13" s="1"/>
  <c r="AA15" i="13"/>
  <c r="AC15" i="13" s="1"/>
  <c r="AA16" i="13"/>
  <c r="AC16" i="13" s="1"/>
  <c r="AA17" i="13"/>
  <c r="AC17" i="13" s="1"/>
  <c r="AA18" i="13"/>
  <c r="AC18" i="13" s="1"/>
  <c r="AA19" i="13"/>
  <c r="AC19" i="13" s="1"/>
  <c r="AA20" i="13"/>
  <c r="AC20" i="13" s="1"/>
  <c r="AA21" i="13"/>
  <c r="AC21" i="13" s="1"/>
  <c r="AA22" i="13"/>
  <c r="AC22" i="13" s="1"/>
  <c r="AA23" i="13"/>
  <c r="AC23" i="13" s="1"/>
  <c r="AA24" i="13"/>
  <c r="AC24" i="13" s="1"/>
  <c r="AA25" i="13"/>
  <c r="AC25" i="13" s="1"/>
  <c r="AA26" i="13"/>
  <c r="AC26" i="13" s="1"/>
  <c r="AA27" i="13"/>
  <c r="AC27" i="13" s="1"/>
  <c r="AA28" i="13"/>
  <c r="AC28" i="13" s="1"/>
  <c r="AA29" i="13"/>
  <c r="AC29" i="13" s="1"/>
  <c r="AA30" i="13"/>
  <c r="AC30" i="13" s="1"/>
  <c r="AA31" i="13"/>
  <c r="AC31" i="13" s="1"/>
  <c r="AA32" i="13"/>
  <c r="AC32" i="13" s="1"/>
  <c r="AA33" i="13"/>
  <c r="AC33" i="13" s="1"/>
  <c r="AA34" i="13"/>
  <c r="AC34" i="13" s="1"/>
  <c r="AA35" i="13"/>
  <c r="AC35" i="13" s="1"/>
  <c r="AA36" i="13"/>
  <c r="AC36" i="13" s="1"/>
  <c r="AA37" i="13"/>
  <c r="AC37" i="13" s="1"/>
  <c r="AA38" i="13"/>
  <c r="AC38" i="13" s="1"/>
  <c r="AA39" i="13"/>
  <c r="AC39" i="13" s="1"/>
  <c r="AA40" i="13"/>
  <c r="AC40" i="13" s="1"/>
  <c r="AA41" i="13"/>
  <c r="AC41" i="13" s="1"/>
  <c r="AA42" i="13"/>
  <c r="AC42" i="13" s="1"/>
  <c r="AA43" i="13"/>
  <c r="AC43" i="13" s="1"/>
  <c r="AA44" i="13"/>
  <c r="AC44" i="13" s="1"/>
  <c r="AA45" i="13"/>
  <c r="AC45" i="13" s="1"/>
  <c r="AA46" i="13"/>
  <c r="AC46" i="13" s="1"/>
  <c r="AA47" i="13"/>
  <c r="AC47" i="13" s="1"/>
  <c r="AA48" i="13"/>
  <c r="AC48" i="13" s="1"/>
  <c r="AA49" i="13"/>
  <c r="AC49" i="13" s="1"/>
  <c r="AA50" i="13"/>
  <c r="AC50" i="13" s="1"/>
  <c r="AA51" i="13"/>
  <c r="AC51" i="13" s="1"/>
  <c r="AA52" i="13"/>
  <c r="AC52" i="13" s="1"/>
  <c r="AA53" i="13"/>
  <c r="AC53" i="13" s="1"/>
  <c r="AA54" i="13"/>
  <c r="AC54" i="13" s="1"/>
  <c r="AA55" i="13"/>
  <c r="AC55" i="13" s="1"/>
  <c r="AA56" i="13"/>
  <c r="AC56" i="13" s="1"/>
  <c r="AA57" i="13"/>
  <c r="AC57" i="13" s="1"/>
  <c r="AA58" i="13"/>
  <c r="AC58" i="13" s="1"/>
  <c r="AA59" i="13"/>
  <c r="AC59" i="13" s="1"/>
  <c r="AA60" i="13"/>
  <c r="AC60" i="13" s="1"/>
  <c r="AA61" i="13"/>
  <c r="AC61" i="13" s="1"/>
  <c r="AA62" i="13"/>
  <c r="AC62" i="13" s="1"/>
  <c r="AA63" i="13"/>
  <c r="AC63" i="13" s="1"/>
  <c r="AA64" i="13"/>
  <c r="AC64" i="13" s="1"/>
  <c r="AA65" i="13"/>
  <c r="AC65" i="13" s="1"/>
  <c r="AA66" i="13"/>
  <c r="AC66" i="13" s="1"/>
  <c r="AA67" i="13"/>
  <c r="AC67" i="13" s="1"/>
  <c r="AA68" i="13"/>
  <c r="AC68" i="13" s="1"/>
  <c r="AA69" i="13"/>
  <c r="AC69" i="13" s="1"/>
  <c r="AA70" i="13"/>
  <c r="AC70" i="13" s="1"/>
  <c r="AA71" i="13"/>
  <c r="AC71" i="13" s="1"/>
  <c r="AA72" i="13"/>
  <c r="AC72" i="13" s="1"/>
  <c r="AA73" i="13"/>
  <c r="AC73" i="13" s="1"/>
  <c r="AA74" i="13"/>
  <c r="AC74" i="13" s="1"/>
  <c r="AA75" i="13"/>
  <c r="AC75" i="13" s="1"/>
  <c r="AA76" i="13"/>
  <c r="AC76" i="13" s="1"/>
  <c r="AA77" i="13"/>
  <c r="AC77" i="13" s="1"/>
  <c r="AA78" i="13"/>
  <c r="AC78" i="13" s="1"/>
  <c r="AA79" i="13"/>
  <c r="AC79" i="13" s="1"/>
  <c r="AA80" i="13"/>
  <c r="AC80" i="13" s="1"/>
  <c r="AA81" i="13"/>
  <c r="AC81" i="13" s="1"/>
  <c r="AA82" i="13"/>
  <c r="AC82" i="13" s="1"/>
  <c r="AA83" i="13"/>
  <c r="AC83" i="13" s="1"/>
  <c r="AA84" i="13"/>
  <c r="AC84" i="13" s="1"/>
  <c r="AA85" i="13"/>
  <c r="AC85" i="13" s="1"/>
  <c r="AA86" i="13"/>
  <c r="AC86" i="13" s="1"/>
  <c r="AA87" i="13"/>
  <c r="AC87" i="13" s="1"/>
  <c r="AA88" i="13"/>
  <c r="AC88" i="13" s="1"/>
  <c r="AA89" i="13"/>
  <c r="AC89" i="13" s="1"/>
  <c r="AA90" i="13"/>
  <c r="AC90" i="13" s="1"/>
  <c r="AA91" i="13"/>
  <c r="AC91" i="13" s="1"/>
  <c r="AA92" i="13"/>
  <c r="AC92" i="13" s="1"/>
  <c r="AA93" i="13"/>
  <c r="AC93" i="13" s="1"/>
  <c r="AA94" i="13"/>
  <c r="AC94" i="13" s="1"/>
  <c r="AA95" i="13"/>
  <c r="AC95" i="13" s="1"/>
  <c r="AA96" i="13"/>
  <c r="AC96" i="13" s="1"/>
  <c r="AA97" i="13"/>
  <c r="AC97" i="13" s="1"/>
  <c r="AA98" i="13"/>
  <c r="AC98" i="13" s="1"/>
  <c r="AA99" i="13"/>
  <c r="AC99" i="13" s="1"/>
  <c r="AA100" i="13"/>
  <c r="AC100" i="13" s="1"/>
  <c r="AA101" i="13"/>
  <c r="AC101" i="13" s="1"/>
  <c r="AA102" i="13"/>
  <c r="AC102" i="13" s="1"/>
  <c r="AA103" i="13"/>
  <c r="AC103" i="13" s="1"/>
  <c r="AA104" i="13"/>
  <c r="AC104" i="13" s="1"/>
  <c r="AA105" i="13"/>
  <c r="AC105" i="13" s="1"/>
  <c r="AA106" i="13"/>
  <c r="AC106" i="13" s="1"/>
  <c r="AA107" i="13"/>
  <c r="AC107" i="13" s="1"/>
  <c r="AA108" i="13"/>
  <c r="AC108" i="13" s="1"/>
  <c r="AA109" i="13"/>
  <c r="AC109" i="13" s="1"/>
  <c r="AA110" i="13"/>
  <c r="AC110" i="13" s="1"/>
  <c r="AA111" i="13"/>
  <c r="AC111" i="13" s="1"/>
  <c r="AA112" i="13"/>
  <c r="AC112" i="13" s="1"/>
  <c r="AA113" i="13"/>
  <c r="AC113" i="13" s="1"/>
  <c r="AA114" i="13"/>
  <c r="AC114" i="13" s="1"/>
  <c r="AA115" i="13"/>
  <c r="AC115" i="13" s="1"/>
  <c r="AA116" i="13"/>
  <c r="AC116" i="13" s="1"/>
  <c r="AA117" i="13"/>
  <c r="AC117" i="13" s="1"/>
  <c r="AA118" i="13"/>
  <c r="AC118" i="13" s="1"/>
  <c r="AA119" i="13"/>
  <c r="AC119" i="13" s="1"/>
  <c r="AA120" i="13"/>
  <c r="AC120" i="13" s="1"/>
  <c r="AA121" i="13"/>
  <c r="AC121" i="13" s="1"/>
  <c r="AA122" i="13"/>
  <c r="AC122" i="13" s="1"/>
  <c r="AA123" i="13"/>
  <c r="AC123" i="13" s="1"/>
  <c r="AA124" i="13"/>
  <c r="AC124" i="13" s="1"/>
  <c r="AA125" i="13"/>
  <c r="AC125" i="13" s="1"/>
  <c r="AA126" i="13"/>
  <c r="AC126" i="13" s="1"/>
  <c r="AA127" i="13"/>
  <c r="AC127" i="13" s="1"/>
  <c r="AA128" i="13"/>
  <c r="AC128" i="13" s="1"/>
  <c r="AA129" i="13"/>
  <c r="AC129" i="13" s="1"/>
  <c r="AA130" i="13"/>
  <c r="AC130" i="13" s="1"/>
  <c r="AA131" i="13"/>
  <c r="AC131" i="13" s="1"/>
  <c r="AA132" i="13"/>
  <c r="AC132" i="13" s="1"/>
  <c r="AA133" i="13"/>
  <c r="AC133" i="13" s="1"/>
  <c r="AA134" i="13"/>
  <c r="AC134" i="13" s="1"/>
  <c r="AA135" i="13"/>
  <c r="AC135" i="13" s="1"/>
  <c r="AA136" i="13"/>
  <c r="AC136" i="13" s="1"/>
  <c r="AA137" i="13"/>
  <c r="AC137" i="13" s="1"/>
  <c r="AA138" i="13"/>
  <c r="AC138" i="13" s="1"/>
  <c r="AA139" i="13"/>
  <c r="AC139" i="13" s="1"/>
  <c r="AA140" i="13"/>
  <c r="AC140" i="13" s="1"/>
  <c r="AA141" i="13"/>
  <c r="AC141" i="13" s="1"/>
  <c r="AA142" i="13"/>
  <c r="AC142" i="13" s="1"/>
  <c r="AA143" i="13"/>
  <c r="AC143" i="13" s="1"/>
  <c r="AA144" i="13"/>
  <c r="AC144" i="13" s="1"/>
  <c r="AA145" i="13"/>
  <c r="AC145" i="13" s="1"/>
  <c r="AA146" i="13"/>
  <c r="AC146" i="13" s="1"/>
  <c r="AA147" i="13"/>
  <c r="AC147" i="13" s="1"/>
  <c r="AA148" i="13"/>
  <c r="AC148" i="13" s="1"/>
  <c r="AA149" i="13"/>
  <c r="AC149" i="13" s="1"/>
  <c r="AA150" i="13"/>
  <c r="AC150" i="13" s="1"/>
  <c r="AA151" i="13"/>
  <c r="AC151" i="13" s="1"/>
  <c r="AA152" i="13"/>
  <c r="AC152" i="13" s="1"/>
  <c r="AA153" i="13"/>
  <c r="AC153" i="13" s="1"/>
  <c r="AA154" i="13"/>
  <c r="AC154" i="13" s="1"/>
  <c r="AA155" i="13"/>
  <c r="AC155" i="13" s="1"/>
  <c r="AA156" i="13"/>
  <c r="AC156" i="13" s="1"/>
  <c r="AA157" i="13"/>
  <c r="AC157" i="13" s="1"/>
  <c r="AA158" i="13"/>
  <c r="AC158" i="13" s="1"/>
  <c r="AA159" i="13"/>
  <c r="AC159" i="13" s="1"/>
  <c r="AA160" i="13"/>
  <c r="AC160" i="13" s="1"/>
  <c r="AA161" i="13"/>
  <c r="AC161" i="13" s="1"/>
  <c r="AA162" i="13"/>
  <c r="AC162" i="13" s="1"/>
  <c r="AA163" i="13"/>
  <c r="AC163" i="13" s="1"/>
  <c r="AA164" i="13"/>
  <c r="AC164" i="13" s="1"/>
  <c r="AA165" i="13"/>
  <c r="AC165" i="13" s="1"/>
  <c r="AA166" i="13"/>
  <c r="AC166" i="13" s="1"/>
  <c r="AA167" i="13"/>
  <c r="AC167" i="13" s="1"/>
  <c r="AA168" i="13"/>
  <c r="AC168" i="13" s="1"/>
  <c r="AA169" i="13"/>
  <c r="AC169" i="13" s="1"/>
  <c r="AA170" i="13"/>
  <c r="AC170" i="13" s="1"/>
  <c r="AA171" i="13"/>
  <c r="AC171" i="13" s="1"/>
  <c r="AA172" i="13"/>
  <c r="AC172" i="13" s="1"/>
  <c r="AA173" i="13"/>
  <c r="AC173" i="13" s="1"/>
  <c r="AA174" i="13"/>
  <c r="AC174" i="13" s="1"/>
  <c r="AA175" i="13"/>
  <c r="AC175" i="13" s="1"/>
  <c r="AA176" i="13"/>
  <c r="AC176" i="13" s="1"/>
  <c r="AA177" i="13"/>
  <c r="AC177" i="13" s="1"/>
  <c r="AA178" i="13"/>
  <c r="AC178" i="13" s="1"/>
  <c r="AA179" i="13"/>
  <c r="AC179" i="13" s="1"/>
  <c r="AA180" i="13"/>
  <c r="AC180" i="13" s="1"/>
  <c r="AA181" i="13"/>
  <c r="AC181" i="13" s="1"/>
  <c r="AA182" i="13"/>
  <c r="AC182" i="13" s="1"/>
  <c r="AA183" i="13"/>
  <c r="AC183" i="13" s="1"/>
  <c r="AA184" i="13"/>
  <c r="AC184" i="13" s="1"/>
  <c r="AA185" i="13"/>
  <c r="AC185" i="13" s="1"/>
  <c r="AA186" i="13"/>
  <c r="AC186" i="13" s="1"/>
  <c r="AA187" i="13"/>
  <c r="AC187" i="13" s="1"/>
  <c r="AA188" i="13"/>
  <c r="AC188" i="13" s="1"/>
  <c r="AA189" i="13"/>
  <c r="AC189" i="13" s="1"/>
  <c r="AA190" i="13"/>
  <c r="AC190" i="13" s="1"/>
  <c r="AA191" i="13"/>
  <c r="AC191" i="13" s="1"/>
  <c r="AA192" i="13"/>
  <c r="AC192" i="13" s="1"/>
  <c r="AA193" i="13"/>
  <c r="AC193" i="13" s="1"/>
  <c r="AA194" i="13"/>
  <c r="AC194" i="13" s="1"/>
  <c r="AA195" i="13"/>
  <c r="AC195" i="13" s="1"/>
  <c r="AA196" i="13"/>
  <c r="AC196" i="13" s="1"/>
  <c r="AA197" i="13"/>
  <c r="AC197" i="13" s="1"/>
  <c r="AA198" i="13"/>
  <c r="AC198" i="13" s="1"/>
  <c r="AA199" i="13"/>
  <c r="AC199" i="13" s="1"/>
  <c r="AA200" i="13"/>
  <c r="AC200" i="13" s="1"/>
  <c r="AA201" i="13"/>
  <c r="AC201" i="13" s="1"/>
  <c r="AA202" i="13"/>
  <c r="AC202" i="13" s="1"/>
  <c r="AA203" i="13"/>
  <c r="AC203" i="13" s="1"/>
  <c r="AA204" i="13"/>
  <c r="AC204" i="13" s="1"/>
  <c r="AA205" i="13"/>
  <c r="AC205" i="13" s="1"/>
  <c r="AA206" i="13"/>
  <c r="AC206" i="13" s="1"/>
  <c r="AA207" i="13"/>
  <c r="AC207" i="13" s="1"/>
  <c r="AA208" i="13"/>
  <c r="AC208" i="13" s="1"/>
  <c r="AA209" i="13"/>
  <c r="AC209" i="13" s="1"/>
  <c r="AA210" i="13"/>
  <c r="AC210" i="13" s="1"/>
  <c r="AA211" i="13"/>
  <c r="AC211" i="13" s="1"/>
  <c r="AA212" i="13"/>
  <c r="AC212" i="13" s="1"/>
  <c r="AA213" i="13"/>
  <c r="AC213" i="13" s="1"/>
  <c r="AA214" i="13"/>
  <c r="AC214" i="13" s="1"/>
  <c r="AA215" i="13"/>
  <c r="AC215" i="13" s="1"/>
  <c r="AA216" i="13"/>
  <c r="AC216" i="13" s="1"/>
  <c r="AA217" i="13"/>
  <c r="AC217" i="13" s="1"/>
  <c r="AA218" i="13"/>
  <c r="AC218" i="13" s="1"/>
  <c r="AA219" i="13"/>
  <c r="AC219" i="13" s="1"/>
  <c r="AA220" i="13"/>
  <c r="AC220" i="13" s="1"/>
  <c r="AA221" i="13"/>
  <c r="AC221" i="13" s="1"/>
  <c r="AA222" i="13"/>
  <c r="AC222" i="13" s="1"/>
  <c r="AA223" i="13"/>
  <c r="AC223" i="13" s="1"/>
  <c r="AA224" i="13"/>
  <c r="AC224" i="13" s="1"/>
  <c r="AA225" i="13"/>
  <c r="AC225" i="13" s="1"/>
  <c r="AA226" i="13"/>
  <c r="AC226" i="13" s="1"/>
  <c r="AA227" i="13"/>
  <c r="AC227" i="13" s="1"/>
  <c r="AA228" i="13"/>
  <c r="AC228" i="13" s="1"/>
  <c r="AA229" i="13"/>
  <c r="AC229" i="13" s="1"/>
  <c r="AA230" i="13"/>
  <c r="AC230" i="13" s="1"/>
  <c r="AA231" i="13"/>
  <c r="AC231" i="13" s="1"/>
  <c r="AA232" i="13"/>
  <c r="AC232" i="13" s="1"/>
  <c r="AA233" i="13"/>
  <c r="AC233" i="13" s="1"/>
  <c r="AA234" i="13"/>
  <c r="AC234" i="13" s="1"/>
  <c r="AA235" i="13"/>
  <c r="AC235" i="13" s="1"/>
  <c r="AA236" i="13"/>
  <c r="AC236" i="13" s="1"/>
  <c r="AA237" i="13"/>
  <c r="AC237" i="13" s="1"/>
  <c r="AA238" i="13"/>
  <c r="AC238" i="13" s="1"/>
  <c r="AA239" i="13"/>
  <c r="AC239" i="13" s="1"/>
  <c r="AA240" i="13"/>
  <c r="AC240" i="13" s="1"/>
  <c r="AA241" i="13"/>
  <c r="AC241" i="13" s="1"/>
  <c r="AA242" i="13"/>
  <c r="AC242" i="13" s="1"/>
  <c r="AA243" i="13"/>
  <c r="AC243" i="13" s="1"/>
  <c r="AA244" i="13"/>
  <c r="AC244" i="13" s="1"/>
  <c r="AA245" i="13"/>
  <c r="AC245" i="13" s="1"/>
  <c r="AA246" i="13"/>
  <c r="AC246" i="13" s="1"/>
  <c r="AA247" i="13"/>
  <c r="AC247" i="13" s="1"/>
  <c r="AA248" i="13"/>
  <c r="AC248" i="13" s="1"/>
  <c r="AA249" i="13"/>
  <c r="AC249" i="13" s="1"/>
  <c r="AA250" i="13"/>
  <c r="AC250" i="13" s="1"/>
  <c r="AA251" i="13"/>
  <c r="AC251" i="13" s="1"/>
  <c r="AA252" i="13"/>
  <c r="AC252" i="13" s="1"/>
  <c r="AA253" i="13"/>
  <c r="AC253" i="13" s="1"/>
  <c r="AA254" i="13"/>
  <c r="AC254" i="13" s="1"/>
  <c r="AA255" i="13"/>
  <c r="AC255" i="13" s="1"/>
  <c r="AA256" i="13"/>
  <c r="AC256" i="13" s="1"/>
  <c r="AA257" i="13"/>
  <c r="AC257" i="13" s="1"/>
  <c r="AA258" i="13"/>
  <c r="AC258" i="13" s="1"/>
  <c r="AA259" i="13"/>
  <c r="AC259" i="13" s="1"/>
  <c r="AA260" i="13"/>
  <c r="AC260" i="13" s="1"/>
  <c r="AA261" i="13"/>
  <c r="AC261" i="13" s="1"/>
  <c r="AA262" i="13"/>
  <c r="AC262" i="13" s="1"/>
  <c r="AA263" i="13"/>
  <c r="AC263" i="13" s="1"/>
  <c r="AA264" i="13"/>
  <c r="AC264" i="13" s="1"/>
  <c r="AA265" i="13"/>
  <c r="AC265" i="13" s="1"/>
  <c r="AA266" i="13"/>
  <c r="AC266" i="13" s="1"/>
  <c r="AA267" i="13"/>
  <c r="AC267" i="13" s="1"/>
  <c r="AA268" i="13"/>
  <c r="AC268" i="13" s="1"/>
  <c r="AA269" i="13"/>
  <c r="AC269" i="13" s="1"/>
  <c r="AA270" i="13"/>
  <c r="AC270" i="13" s="1"/>
  <c r="AA271" i="13"/>
  <c r="AC271" i="13" s="1"/>
  <c r="AA272" i="13"/>
  <c r="AC272" i="13" s="1"/>
  <c r="AA273" i="13"/>
  <c r="AC273" i="13" s="1"/>
  <c r="AA274" i="13"/>
  <c r="AC274" i="13" s="1"/>
  <c r="AA275" i="13"/>
  <c r="AC275" i="13" s="1"/>
  <c r="AA276" i="13"/>
  <c r="AC276" i="13" s="1"/>
  <c r="AA277" i="13"/>
  <c r="AC277" i="13" s="1"/>
  <c r="AA278" i="13"/>
  <c r="AC278" i="13" s="1"/>
  <c r="AA279" i="13"/>
  <c r="AC279" i="13" s="1"/>
  <c r="AA280" i="13"/>
  <c r="AC280" i="13" s="1"/>
  <c r="AA281" i="13"/>
  <c r="AC281" i="13" s="1"/>
  <c r="AA282" i="13"/>
  <c r="AC282" i="13" s="1"/>
  <c r="AA283" i="13"/>
  <c r="AC283" i="13" s="1"/>
  <c r="AA284" i="13"/>
  <c r="AC284" i="13" s="1"/>
  <c r="AA285" i="13"/>
  <c r="AC285" i="13" s="1"/>
  <c r="AA286" i="13"/>
  <c r="AC286" i="13" s="1"/>
  <c r="AA287" i="13"/>
  <c r="AC287" i="13" s="1"/>
  <c r="AA288" i="13"/>
  <c r="AC288" i="13" s="1"/>
  <c r="AA289" i="13"/>
  <c r="AC289" i="13" s="1"/>
  <c r="AA290" i="13"/>
  <c r="AC290" i="13" s="1"/>
  <c r="AA291" i="13"/>
  <c r="AC291" i="13" s="1"/>
  <c r="AA292" i="13"/>
  <c r="AC292" i="13" s="1"/>
  <c r="AA293" i="13"/>
  <c r="AC293" i="13" s="1"/>
  <c r="AA294" i="13"/>
  <c r="AC294" i="13" s="1"/>
  <c r="AA295" i="13"/>
  <c r="AC295" i="13" s="1"/>
  <c r="AA296" i="13"/>
  <c r="AC296" i="13" s="1"/>
  <c r="AA297" i="13"/>
  <c r="AC297" i="13" s="1"/>
  <c r="AA298" i="13"/>
  <c r="AC298" i="13" s="1"/>
  <c r="AA299" i="13"/>
  <c r="AC299" i="13" s="1"/>
  <c r="AA300" i="13"/>
  <c r="AC300" i="13" s="1"/>
  <c r="AA301" i="13"/>
  <c r="AC301" i="13" s="1"/>
  <c r="AA302" i="13"/>
  <c r="AC302" i="13" s="1"/>
  <c r="AA303" i="13"/>
  <c r="AC303" i="13" s="1"/>
  <c r="AA304" i="13"/>
  <c r="AC304" i="13" s="1"/>
  <c r="AA305" i="13"/>
  <c r="AC305" i="13" s="1"/>
  <c r="AA306" i="13"/>
  <c r="AC306" i="13" s="1"/>
  <c r="AA307" i="13"/>
  <c r="AC307" i="13" s="1"/>
  <c r="AA308" i="13"/>
  <c r="AC308" i="13" s="1"/>
  <c r="AA309" i="13"/>
  <c r="AC309" i="13" s="1"/>
  <c r="AA310" i="13"/>
  <c r="AC310" i="13" s="1"/>
  <c r="AA311" i="13"/>
  <c r="AC311" i="13" s="1"/>
  <c r="AA312" i="13"/>
  <c r="AC312" i="13" s="1"/>
  <c r="AA313" i="13"/>
  <c r="AC313" i="13" s="1"/>
  <c r="AA314" i="13"/>
  <c r="AC314" i="13" s="1"/>
  <c r="AA315" i="13"/>
  <c r="AC315" i="13" s="1"/>
  <c r="AA316" i="13"/>
  <c r="AC316" i="13" s="1"/>
  <c r="AA317" i="13"/>
  <c r="AC317" i="13" s="1"/>
  <c r="AA318" i="13"/>
  <c r="AC318" i="13" s="1"/>
  <c r="AA319" i="13"/>
  <c r="AC319" i="13" s="1"/>
  <c r="AA320" i="13"/>
  <c r="AC320" i="13" s="1"/>
  <c r="AA321" i="13"/>
  <c r="AC321" i="13" s="1"/>
  <c r="AA322" i="13"/>
  <c r="AC322" i="13" s="1"/>
  <c r="AA323" i="13"/>
  <c r="AC323" i="13" s="1"/>
  <c r="AA324" i="13"/>
  <c r="AC324" i="13" s="1"/>
  <c r="AA325" i="13"/>
  <c r="AC325" i="13" s="1"/>
  <c r="AA326" i="13"/>
  <c r="AC326" i="13" s="1"/>
  <c r="AA327" i="13"/>
  <c r="AC327" i="13" s="1"/>
  <c r="AA328" i="13"/>
  <c r="AC328" i="13" s="1"/>
  <c r="AA329" i="13"/>
  <c r="AC329" i="13" s="1"/>
  <c r="AA330" i="13"/>
  <c r="AC330" i="13" s="1"/>
  <c r="AA331" i="13"/>
  <c r="AC331" i="13" s="1"/>
  <c r="AA332" i="13"/>
  <c r="AC332" i="13" s="1"/>
  <c r="AA333" i="13"/>
  <c r="AC333" i="13" s="1"/>
  <c r="AA334" i="13"/>
  <c r="AC334" i="13" s="1"/>
  <c r="AA335" i="13"/>
  <c r="AC335" i="13" s="1"/>
  <c r="AA336" i="13"/>
  <c r="AC336" i="13" s="1"/>
  <c r="AA337" i="13"/>
  <c r="AC337" i="13" s="1"/>
  <c r="AA338" i="13"/>
  <c r="AC338" i="13" s="1"/>
  <c r="AA339" i="13"/>
  <c r="AC339" i="13" s="1"/>
  <c r="AA340" i="13"/>
  <c r="AC340" i="13" s="1"/>
  <c r="AA341" i="13"/>
  <c r="AC341" i="13" s="1"/>
  <c r="AA342" i="13"/>
  <c r="AC342" i="13" s="1"/>
  <c r="AA343" i="13"/>
  <c r="AC343" i="13" s="1"/>
  <c r="AA344" i="13"/>
  <c r="AC344" i="13" s="1"/>
  <c r="AA345" i="13"/>
  <c r="AC345" i="13" s="1"/>
  <c r="AA346" i="13"/>
  <c r="AC346" i="13" s="1"/>
  <c r="AA347" i="13"/>
  <c r="AC347" i="13" s="1"/>
  <c r="AA348" i="13"/>
  <c r="AC348" i="13" s="1"/>
  <c r="AA349" i="13"/>
  <c r="AC349" i="13" s="1"/>
  <c r="AA350" i="13"/>
  <c r="AC350" i="13" s="1"/>
  <c r="AA351" i="13"/>
  <c r="AC351" i="13" s="1"/>
  <c r="AA352" i="13"/>
  <c r="AC352" i="13" s="1"/>
  <c r="AA353" i="13"/>
  <c r="AC353" i="13" s="1"/>
  <c r="AA354" i="13"/>
  <c r="AC354" i="13" s="1"/>
  <c r="AA355" i="13"/>
  <c r="AC355" i="13" s="1"/>
  <c r="AA356" i="13"/>
  <c r="AC356" i="13" s="1"/>
  <c r="AA357" i="13"/>
  <c r="AC357" i="13" s="1"/>
  <c r="AA358" i="13"/>
  <c r="AC358" i="13" s="1"/>
  <c r="AA359" i="13"/>
  <c r="AC359" i="13" s="1"/>
  <c r="AA360" i="13"/>
  <c r="AC360" i="13" s="1"/>
  <c r="AA361" i="13"/>
  <c r="AC361" i="13" s="1"/>
  <c r="AA362" i="13"/>
  <c r="AC362" i="13" s="1"/>
  <c r="AA363" i="13"/>
  <c r="AC363" i="13" s="1"/>
  <c r="AA364" i="13"/>
  <c r="AC364" i="13" s="1"/>
  <c r="AA365" i="13"/>
  <c r="AC365" i="13" s="1"/>
  <c r="AA366" i="13"/>
  <c r="AC366" i="13" s="1"/>
  <c r="AA367" i="13"/>
  <c r="AC367" i="13" s="1"/>
  <c r="AA368" i="13"/>
  <c r="AC368" i="13" s="1"/>
  <c r="AA369" i="13"/>
  <c r="AC369" i="13" s="1"/>
  <c r="AA370" i="13"/>
  <c r="AC370" i="13" s="1"/>
  <c r="AA371" i="13"/>
  <c r="AC371" i="13" s="1"/>
  <c r="AA372" i="13"/>
  <c r="AC372" i="13" s="1"/>
  <c r="AA373" i="13"/>
  <c r="AC373" i="13" s="1"/>
  <c r="AA374" i="13"/>
  <c r="AC374" i="13" s="1"/>
  <c r="AA375" i="13"/>
  <c r="AC375" i="13" s="1"/>
  <c r="AA376" i="13"/>
  <c r="AC376" i="13" s="1"/>
  <c r="AA377" i="13"/>
  <c r="AC377" i="13" s="1"/>
  <c r="AA378" i="13"/>
  <c r="AC378" i="13" s="1"/>
  <c r="AA379" i="13"/>
  <c r="AC379" i="13" s="1"/>
  <c r="AA380" i="13"/>
  <c r="AC380" i="13" s="1"/>
  <c r="AA381" i="13"/>
  <c r="AC381" i="13" s="1"/>
  <c r="AA382" i="13"/>
  <c r="AC382" i="13" s="1"/>
  <c r="AA383" i="13"/>
  <c r="AC383" i="13" s="1"/>
  <c r="AA384" i="13"/>
  <c r="AC384" i="13" s="1"/>
  <c r="AA385" i="13"/>
  <c r="AC385" i="13" s="1"/>
  <c r="AA386" i="13"/>
  <c r="AC386" i="13" s="1"/>
  <c r="AA387" i="13"/>
  <c r="AC387" i="13" s="1"/>
  <c r="AA388" i="13"/>
  <c r="AC388" i="13" s="1"/>
  <c r="AA389" i="13"/>
  <c r="AC389" i="13" s="1"/>
  <c r="AA390" i="13"/>
  <c r="AC390" i="13" s="1"/>
  <c r="AA391" i="13"/>
  <c r="AC391" i="13" s="1"/>
  <c r="AA392" i="13"/>
  <c r="AC392" i="13" s="1"/>
  <c r="AA393" i="13"/>
  <c r="AC393" i="13" s="1"/>
  <c r="AA394" i="13"/>
  <c r="AC394" i="13" s="1"/>
  <c r="AA395" i="13"/>
  <c r="AC395" i="13" s="1"/>
  <c r="AA396" i="13"/>
  <c r="AC396" i="13" s="1"/>
  <c r="AA397" i="13"/>
  <c r="AC397" i="13" s="1"/>
  <c r="AA398" i="13"/>
  <c r="AC398" i="13" s="1"/>
  <c r="AA399" i="13"/>
  <c r="AC399" i="13" s="1"/>
  <c r="AA400" i="13"/>
  <c r="AC400" i="13" s="1"/>
  <c r="AA401" i="13"/>
  <c r="AC401" i="13" s="1"/>
  <c r="AA402" i="13"/>
  <c r="AC402" i="13" s="1"/>
  <c r="AA403" i="13"/>
  <c r="AC403" i="13" s="1"/>
  <c r="AA404" i="13"/>
  <c r="AC404" i="13" s="1"/>
  <c r="AA405" i="13"/>
  <c r="AC405" i="13" s="1"/>
  <c r="AA406" i="13"/>
  <c r="AC406" i="13" s="1"/>
  <c r="AA407" i="13"/>
  <c r="AC407" i="13" s="1"/>
  <c r="AA408" i="13"/>
  <c r="AC408" i="13" s="1"/>
  <c r="AA409" i="13"/>
  <c r="AC409" i="13" s="1"/>
  <c r="AA410" i="13"/>
  <c r="AC410" i="13" s="1"/>
  <c r="AA411" i="13"/>
  <c r="AC411" i="13" s="1"/>
  <c r="AA412" i="13"/>
  <c r="AC412" i="13" s="1"/>
  <c r="AA413" i="13"/>
  <c r="AC413" i="13" s="1"/>
  <c r="AA414" i="13"/>
  <c r="AC414" i="13" s="1"/>
  <c r="AA415" i="13"/>
  <c r="AC415" i="13" s="1"/>
  <c r="AA416" i="13"/>
  <c r="AC416" i="13" s="1"/>
  <c r="AA417" i="13"/>
  <c r="AC417" i="13" s="1"/>
  <c r="AA418" i="13"/>
  <c r="AC418" i="13" s="1"/>
  <c r="AA419" i="13"/>
  <c r="AC419" i="13" s="1"/>
  <c r="AA420" i="13"/>
  <c r="AC420" i="13" s="1"/>
  <c r="AA421" i="13"/>
  <c r="AC421" i="13" s="1"/>
  <c r="AA422" i="13"/>
  <c r="AC422" i="13" s="1"/>
  <c r="AA423" i="13"/>
  <c r="AC423" i="13" s="1"/>
  <c r="AA424" i="13"/>
  <c r="AC424" i="13" s="1"/>
  <c r="AA425" i="13"/>
  <c r="AC425" i="13" s="1"/>
  <c r="AA426" i="13"/>
  <c r="AC426" i="13" s="1"/>
  <c r="AA427" i="13"/>
  <c r="AC427" i="13" s="1"/>
  <c r="AA428" i="13"/>
  <c r="AC428" i="13" s="1"/>
  <c r="AA429" i="13"/>
  <c r="AC429" i="13" s="1"/>
  <c r="AA430" i="13"/>
  <c r="AC430" i="13" s="1"/>
  <c r="AA431" i="13"/>
  <c r="AC431" i="13" s="1"/>
  <c r="AA432" i="13"/>
  <c r="AC432" i="13" s="1"/>
  <c r="AA433" i="13"/>
  <c r="AC433" i="13" s="1"/>
  <c r="AA434" i="13"/>
  <c r="AC434" i="13" s="1"/>
  <c r="AA435" i="13"/>
  <c r="AC435" i="13" s="1"/>
  <c r="AA436" i="13"/>
  <c r="AC436" i="13" s="1"/>
  <c r="AA437" i="13"/>
  <c r="AC437" i="13" s="1"/>
  <c r="AA438" i="13"/>
  <c r="AC438" i="13" s="1"/>
  <c r="AA439" i="13"/>
  <c r="AC439" i="13" s="1"/>
  <c r="AA440" i="13"/>
  <c r="AC440" i="13" s="1"/>
  <c r="AA441" i="13"/>
  <c r="AC441" i="13" s="1"/>
  <c r="AA442" i="13"/>
  <c r="AC442" i="13" s="1"/>
  <c r="AA443" i="13"/>
  <c r="AC443" i="13" s="1"/>
  <c r="AA444" i="13"/>
  <c r="AC444" i="13" s="1"/>
  <c r="AA445" i="13"/>
  <c r="AC445" i="13" s="1"/>
  <c r="AA446" i="13"/>
  <c r="AC446" i="13" s="1"/>
  <c r="AA447" i="13"/>
  <c r="AC447" i="13" s="1"/>
  <c r="AA448" i="13"/>
  <c r="AC448" i="13" s="1"/>
  <c r="AA449" i="13"/>
  <c r="AC449" i="13" s="1"/>
  <c r="AA450" i="13"/>
  <c r="AC450" i="13" s="1"/>
  <c r="AA451" i="13"/>
  <c r="AC451" i="13" s="1"/>
  <c r="AA452" i="13"/>
  <c r="AC452" i="13" s="1"/>
  <c r="AA453" i="13"/>
  <c r="AC453" i="13" s="1"/>
  <c r="AA454" i="13"/>
  <c r="AC454" i="13" s="1"/>
  <c r="AA455" i="13"/>
  <c r="AC455" i="13" s="1"/>
  <c r="AA456" i="13"/>
  <c r="AC456" i="13" s="1"/>
  <c r="AA457" i="13"/>
  <c r="AC457" i="13" s="1"/>
  <c r="AA458" i="13"/>
  <c r="AC458" i="13" s="1"/>
  <c r="AA459" i="13"/>
  <c r="AC459" i="13" s="1"/>
  <c r="AA460" i="13"/>
  <c r="AC460" i="13" s="1"/>
  <c r="AA461" i="13"/>
  <c r="AC461" i="13" s="1"/>
  <c r="AA462" i="13"/>
  <c r="AC462" i="13" s="1"/>
  <c r="AA463" i="13"/>
  <c r="AC463" i="13" s="1"/>
  <c r="AA464" i="13"/>
  <c r="AC464" i="13" s="1"/>
  <c r="AA465" i="13"/>
  <c r="AC465" i="13" s="1"/>
  <c r="AA466" i="13"/>
  <c r="AC466" i="13" s="1"/>
  <c r="AA467" i="13"/>
  <c r="AC467" i="13" s="1"/>
  <c r="AA468" i="13"/>
  <c r="AC468" i="13" s="1"/>
  <c r="AA469" i="13"/>
  <c r="AC469" i="13" s="1"/>
  <c r="AA470" i="13"/>
  <c r="AC470" i="13" s="1"/>
  <c r="AA471" i="13"/>
  <c r="AC471" i="13" s="1"/>
  <c r="AA472" i="13"/>
  <c r="AC472" i="13" s="1"/>
  <c r="AA473" i="13"/>
  <c r="AC473" i="13" s="1"/>
  <c r="AA474" i="13"/>
  <c r="AC474" i="13" s="1"/>
  <c r="AA475" i="13"/>
  <c r="AC475" i="13" s="1"/>
  <c r="AA476" i="13"/>
  <c r="AC476" i="13" s="1"/>
  <c r="AA477" i="13"/>
  <c r="AC477" i="13" s="1"/>
  <c r="AA478" i="13"/>
  <c r="AC478" i="13" s="1"/>
  <c r="AA479" i="13"/>
  <c r="AC479" i="13" s="1"/>
  <c r="AA480" i="13"/>
  <c r="AC480" i="13" s="1"/>
  <c r="AA481" i="13"/>
  <c r="AC481" i="13" s="1"/>
  <c r="AA482" i="13"/>
  <c r="AC482" i="13" s="1"/>
  <c r="AA483" i="13"/>
  <c r="AC483" i="13" s="1"/>
  <c r="AA484" i="13"/>
  <c r="AC484" i="13" s="1"/>
  <c r="AA485" i="13"/>
  <c r="AC485" i="13" s="1"/>
  <c r="AA486" i="13"/>
  <c r="AC486" i="13" s="1"/>
  <c r="AA487" i="13"/>
  <c r="AC487" i="13" s="1"/>
  <c r="AA488" i="13"/>
  <c r="AC488" i="13" s="1"/>
  <c r="AA489" i="13"/>
  <c r="AC489" i="13" s="1"/>
  <c r="AA490" i="13"/>
  <c r="AC490" i="13" s="1"/>
  <c r="AA491" i="13"/>
  <c r="AC491" i="13" s="1"/>
  <c r="AA492" i="13"/>
  <c r="AC492" i="13" s="1"/>
  <c r="AA493" i="13"/>
  <c r="AC493" i="13" s="1"/>
  <c r="AA494" i="13"/>
  <c r="AC494" i="13" s="1"/>
  <c r="AA495" i="13"/>
  <c r="AC495" i="13" s="1"/>
  <c r="AA496" i="13"/>
  <c r="AC496" i="13" s="1"/>
  <c r="AA497" i="13"/>
  <c r="AC497" i="13" s="1"/>
  <c r="AA498" i="13"/>
  <c r="AC498" i="13" s="1"/>
  <c r="AA499" i="13"/>
  <c r="AC499" i="13" s="1"/>
  <c r="AA500" i="13"/>
  <c r="AC500" i="13" s="1"/>
  <c r="AA501" i="13"/>
  <c r="AC501" i="13" s="1"/>
  <c r="AA502" i="13"/>
  <c r="AC502" i="13" s="1"/>
  <c r="AA503" i="13"/>
  <c r="AC503" i="13" s="1"/>
  <c r="AA504" i="13"/>
  <c r="AC504" i="13" s="1"/>
  <c r="AA505" i="13"/>
  <c r="AC505" i="13" s="1"/>
  <c r="AA506" i="13"/>
  <c r="AC506" i="13" s="1"/>
  <c r="AA507" i="13"/>
  <c r="AC507" i="13" s="1"/>
  <c r="AA508" i="13"/>
  <c r="AC508" i="13" s="1"/>
  <c r="AA509" i="13"/>
  <c r="AC509" i="13" s="1"/>
  <c r="AA510" i="13"/>
  <c r="AC510" i="13" s="1"/>
  <c r="AA511" i="13"/>
  <c r="AC511" i="13" s="1"/>
  <c r="AA512" i="13"/>
  <c r="AC512" i="13" s="1"/>
  <c r="AA513" i="13"/>
  <c r="AC513" i="13" s="1"/>
  <c r="AA514" i="13"/>
  <c r="AC514" i="13" s="1"/>
  <c r="AA515" i="13"/>
  <c r="AC515" i="13" s="1"/>
  <c r="AA516" i="13"/>
  <c r="AC516" i="13" s="1"/>
  <c r="AA517" i="13"/>
  <c r="AC517" i="13" s="1"/>
  <c r="AA518" i="13"/>
  <c r="AC518" i="13" s="1"/>
  <c r="AA519" i="13"/>
  <c r="AC519" i="13" s="1"/>
  <c r="AA520" i="13"/>
  <c r="AC520" i="13" s="1"/>
  <c r="AA521" i="13"/>
  <c r="AC521" i="13" s="1"/>
  <c r="AA522" i="13"/>
  <c r="AC522" i="13" s="1"/>
  <c r="AA523" i="13"/>
  <c r="AC523" i="13" s="1"/>
  <c r="AA524" i="13"/>
  <c r="AC524" i="13" s="1"/>
  <c r="AA525" i="13"/>
  <c r="AC525" i="13" s="1"/>
  <c r="AA526" i="13"/>
  <c r="AC526" i="13" s="1"/>
  <c r="AA527" i="13"/>
  <c r="AC527" i="13" s="1"/>
  <c r="AA528" i="13"/>
  <c r="AC528" i="13" s="1"/>
  <c r="AA529" i="13"/>
  <c r="AC529" i="13" s="1"/>
  <c r="AA530" i="13"/>
  <c r="AC530" i="13" s="1"/>
  <c r="AA531" i="13"/>
  <c r="AC531" i="13" s="1"/>
  <c r="AA532" i="13"/>
  <c r="AC532" i="13" s="1"/>
  <c r="AA533" i="13"/>
  <c r="AC533" i="13" s="1"/>
  <c r="AA534" i="13"/>
  <c r="AC534" i="13" s="1"/>
  <c r="AA535" i="13"/>
  <c r="AC535" i="13" s="1"/>
  <c r="AA536" i="13"/>
  <c r="AC536" i="13" s="1"/>
  <c r="AA537" i="13"/>
  <c r="AC537" i="13" s="1"/>
  <c r="AA538" i="13"/>
  <c r="AC538" i="13" s="1"/>
  <c r="AA539" i="13"/>
  <c r="AC539" i="13" s="1"/>
  <c r="AA540" i="13"/>
  <c r="AC540" i="13" s="1"/>
  <c r="AA541" i="13"/>
  <c r="AC541" i="13" s="1"/>
  <c r="AA542" i="13"/>
  <c r="AC542" i="13" s="1"/>
  <c r="AA543" i="13"/>
  <c r="AC543" i="13" s="1"/>
  <c r="AA544" i="13"/>
  <c r="AC544" i="13" s="1"/>
  <c r="AA545" i="13"/>
  <c r="AC545" i="13" s="1"/>
  <c r="AA546" i="13"/>
  <c r="AC546" i="13" s="1"/>
  <c r="AA547" i="13"/>
  <c r="AC547" i="13" s="1"/>
  <c r="AA548" i="13"/>
  <c r="AC548" i="13" s="1"/>
  <c r="AA549" i="13"/>
  <c r="AC549" i="13" s="1"/>
  <c r="AA550" i="13"/>
  <c r="AC550" i="13" s="1"/>
  <c r="AA551" i="13"/>
  <c r="AC551" i="13" s="1"/>
  <c r="AA552" i="13"/>
  <c r="AC552" i="13" s="1"/>
  <c r="AA553" i="13"/>
  <c r="AC553" i="13" s="1"/>
  <c r="AA554" i="13"/>
  <c r="AC554" i="13" s="1"/>
  <c r="AA555" i="13"/>
  <c r="AC555" i="13" s="1"/>
  <c r="AA556" i="13"/>
  <c r="AC556" i="13" s="1"/>
  <c r="AA557" i="13"/>
  <c r="AC557" i="13" s="1"/>
  <c r="AA558" i="13"/>
  <c r="AC558" i="13" s="1"/>
  <c r="AA559" i="13"/>
  <c r="AC559" i="13" s="1"/>
  <c r="AA560" i="13"/>
  <c r="AC560" i="13" s="1"/>
  <c r="AA561" i="13"/>
  <c r="AC561" i="13" s="1"/>
  <c r="AA562" i="13"/>
  <c r="AC562" i="13" s="1"/>
  <c r="AA563" i="13"/>
  <c r="AC563" i="13" s="1"/>
  <c r="AA564" i="13"/>
  <c r="AC564" i="13" s="1"/>
  <c r="AA565" i="13"/>
  <c r="AC565" i="13" s="1"/>
  <c r="AA566" i="13"/>
  <c r="AC566" i="13" s="1"/>
  <c r="AA567" i="13"/>
  <c r="AC567" i="13" s="1"/>
  <c r="AA568" i="13"/>
  <c r="AC568" i="13" s="1"/>
  <c r="AA569" i="13"/>
  <c r="AC569" i="13" s="1"/>
  <c r="AA570" i="13"/>
  <c r="AC570" i="13" s="1"/>
  <c r="AA571" i="13"/>
  <c r="AC571" i="13" s="1"/>
  <c r="AA572" i="13"/>
  <c r="AC572" i="13" s="1"/>
  <c r="AA573" i="13"/>
  <c r="AC573" i="13" s="1"/>
  <c r="AA574" i="13"/>
  <c r="AC574" i="13" s="1"/>
  <c r="AA575" i="13"/>
  <c r="AC575" i="13" s="1"/>
  <c r="AA576" i="13"/>
  <c r="AC576" i="13" s="1"/>
  <c r="AA577" i="13"/>
  <c r="AC577" i="13" s="1"/>
  <c r="AA578" i="13"/>
  <c r="AC578" i="13" s="1"/>
  <c r="AA579" i="13"/>
  <c r="AC579" i="13" s="1"/>
  <c r="AA580" i="13"/>
  <c r="AC580" i="13" s="1"/>
  <c r="AA581" i="13"/>
  <c r="AC581" i="13" s="1"/>
  <c r="AA582" i="13"/>
  <c r="AC582" i="13" s="1"/>
  <c r="AA583" i="13"/>
  <c r="AC583" i="13" s="1"/>
  <c r="AA584" i="13"/>
  <c r="AC584" i="13" s="1"/>
  <c r="AA585" i="13"/>
  <c r="AC585" i="13" s="1"/>
  <c r="AA586" i="13"/>
  <c r="AC586" i="13" s="1"/>
  <c r="AA587" i="13"/>
  <c r="AC587" i="13" s="1"/>
  <c r="AA588" i="13"/>
  <c r="AC588" i="13" s="1"/>
  <c r="AA589" i="13"/>
  <c r="AC589" i="13" s="1"/>
  <c r="AA590" i="13"/>
  <c r="AC590" i="13" s="1"/>
  <c r="AA591" i="13"/>
  <c r="AC591" i="13" s="1"/>
  <c r="AA592" i="13"/>
  <c r="AC592" i="13" s="1"/>
  <c r="AA593" i="13"/>
  <c r="AC593" i="13" s="1"/>
  <c r="AA594" i="13"/>
  <c r="AC594" i="13" s="1"/>
  <c r="AA595" i="13"/>
  <c r="AC595" i="13" s="1"/>
  <c r="AA596" i="13"/>
  <c r="AC596" i="13" s="1"/>
  <c r="AA597" i="13"/>
  <c r="AC597" i="13" s="1"/>
  <c r="AA598" i="13"/>
  <c r="AC598" i="13" s="1"/>
  <c r="AA599" i="13"/>
  <c r="AC599" i="13" s="1"/>
  <c r="AA600" i="13"/>
  <c r="AC600" i="13" s="1"/>
  <c r="AA601" i="13"/>
  <c r="AC601" i="13" s="1"/>
  <c r="AA602" i="13"/>
  <c r="AC602" i="13" s="1"/>
  <c r="AA603" i="13"/>
  <c r="AC603" i="13" s="1"/>
  <c r="AA604" i="13"/>
  <c r="AC604" i="13" s="1"/>
  <c r="AA605" i="13"/>
  <c r="AC605" i="13" s="1"/>
  <c r="AA606" i="13"/>
  <c r="AC606" i="13" s="1"/>
  <c r="AA607" i="13"/>
  <c r="AC607" i="13" s="1"/>
  <c r="AA608" i="13"/>
  <c r="AC608" i="13" s="1"/>
  <c r="AA609" i="13"/>
  <c r="AC609" i="13" s="1"/>
  <c r="AA610" i="13"/>
  <c r="AC610" i="13" s="1"/>
  <c r="AA611" i="13"/>
  <c r="AC611" i="13" s="1"/>
  <c r="AA612" i="13"/>
  <c r="AC612" i="13" s="1"/>
  <c r="AA613" i="13"/>
  <c r="AC613" i="13" s="1"/>
  <c r="AA614" i="13"/>
  <c r="AC614" i="13" s="1"/>
  <c r="AA615" i="13"/>
  <c r="AC615" i="13" s="1"/>
  <c r="AA616" i="13"/>
  <c r="AC616" i="13" s="1"/>
  <c r="AA617" i="13"/>
  <c r="AC617" i="13" s="1"/>
  <c r="AA618" i="13"/>
  <c r="AC618" i="13" s="1"/>
  <c r="AA619" i="13"/>
  <c r="AC619" i="13" s="1"/>
  <c r="AA620" i="13"/>
  <c r="AC620" i="13" s="1"/>
  <c r="AA621" i="13"/>
  <c r="AC621" i="13" s="1"/>
  <c r="AA622" i="13"/>
  <c r="AC622" i="13" s="1"/>
  <c r="AA623" i="13"/>
  <c r="AC623" i="13" s="1"/>
  <c r="AA624" i="13"/>
  <c r="AC624" i="13" s="1"/>
  <c r="AA625" i="13"/>
  <c r="AC625" i="13" s="1"/>
  <c r="AA626" i="13"/>
  <c r="AC626" i="13" s="1"/>
  <c r="AA627" i="13"/>
  <c r="AC627" i="13" s="1"/>
  <c r="AA628" i="13"/>
  <c r="AC628" i="13" s="1"/>
  <c r="AA629" i="13"/>
  <c r="AC629" i="13" s="1"/>
  <c r="AA630" i="13"/>
  <c r="AC630" i="13" s="1"/>
  <c r="AA631" i="13"/>
  <c r="AC631" i="13" s="1"/>
  <c r="AA632" i="13"/>
  <c r="AC632" i="13" s="1"/>
  <c r="AA633" i="13"/>
  <c r="AC633" i="13" s="1"/>
  <c r="AA634" i="13"/>
  <c r="AC634" i="13" s="1"/>
  <c r="AA635" i="13"/>
  <c r="AC635" i="13" s="1"/>
  <c r="AA636" i="13"/>
  <c r="AC636" i="13" s="1"/>
  <c r="AA637" i="13"/>
  <c r="AC637" i="13" s="1"/>
  <c r="AA638" i="13"/>
  <c r="AC638" i="13" s="1"/>
  <c r="AA639" i="13"/>
  <c r="AC639" i="13" s="1"/>
  <c r="AA640" i="13"/>
  <c r="AC640" i="13" s="1"/>
  <c r="AA641" i="13"/>
  <c r="AC641" i="13" s="1"/>
  <c r="AA642" i="13"/>
  <c r="AC642" i="13" s="1"/>
  <c r="AA643" i="13"/>
  <c r="AC643" i="13" s="1"/>
  <c r="AA644" i="13"/>
  <c r="AC644" i="13" s="1"/>
  <c r="AA645" i="13"/>
  <c r="AC645" i="13" s="1"/>
  <c r="AA646" i="13"/>
  <c r="AC646" i="13" s="1"/>
  <c r="AA647" i="13"/>
  <c r="AC647" i="13" s="1"/>
  <c r="AA648" i="13"/>
  <c r="AC648" i="13" s="1"/>
  <c r="AA649" i="13"/>
  <c r="AC649" i="13" s="1"/>
  <c r="AA650" i="13"/>
  <c r="AC650" i="13" s="1"/>
  <c r="AA651" i="13"/>
  <c r="AC651" i="13" s="1"/>
  <c r="AA652" i="13"/>
  <c r="AC652" i="13" s="1"/>
  <c r="AA653" i="13"/>
  <c r="AC653" i="13" s="1"/>
  <c r="AA654" i="13"/>
  <c r="AC654" i="13" s="1"/>
  <c r="AA655" i="13"/>
  <c r="AC655" i="13" s="1"/>
  <c r="AA656" i="13"/>
  <c r="AC656" i="13" s="1"/>
  <c r="AA657" i="13"/>
  <c r="AC657" i="13" s="1"/>
  <c r="AA658" i="13"/>
  <c r="AC658" i="13" s="1"/>
  <c r="AA659" i="13"/>
  <c r="AC659" i="13" s="1"/>
  <c r="AA660" i="13"/>
  <c r="AC660" i="13" s="1"/>
  <c r="AA661" i="13"/>
  <c r="AC661" i="13" s="1"/>
  <c r="AA662" i="13"/>
  <c r="AC662" i="13" s="1"/>
  <c r="AA663" i="13"/>
  <c r="AC663" i="13" s="1"/>
  <c r="AA664" i="13"/>
  <c r="AC664" i="13" s="1"/>
  <c r="AA665" i="13"/>
  <c r="AC665" i="13" s="1"/>
  <c r="AA666" i="13"/>
  <c r="AC666" i="13" s="1"/>
  <c r="AA667" i="13"/>
  <c r="AC667" i="13" s="1"/>
  <c r="AA668" i="13"/>
  <c r="AC668" i="13" s="1"/>
  <c r="AA669" i="13"/>
  <c r="AC669" i="13" s="1"/>
  <c r="AA670" i="13"/>
  <c r="AC670" i="13" s="1"/>
  <c r="AA671" i="13"/>
  <c r="AC671" i="13" s="1"/>
  <c r="AA672" i="13"/>
  <c r="AC672" i="13" s="1"/>
  <c r="AA673" i="13"/>
  <c r="AC673" i="13" s="1"/>
  <c r="AA674" i="13"/>
  <c r="AC674" i="13" s="1"/>
  <c r="AA675" i="13"/>
  <c r="AC675" i="13" s="1"/>
  <c r="AA676" i="13"/>
  <c r="AC676" i="13" s="1"/>
  <c r="AA677" i="13"/>
  <c r="AC677" i="13" s="1"/>
  <c r="AA678" i="13"/>
  <c r="AC678" i="13" s="1"/>
  <c r="AA679" i="13"/>
  <c r="AC679" i="13" s="1"/>
  <c r="AA680" i="13"/>
  <c r="AC680" i="13" s="1"/>
  <c r="AA681" i="13"/>
  <c r="AC681" i="13" s="1"/>
  <c r="AA682" i="13"/>
  <c r="AC682" i="13" s="1"/>
  <c r="AA683" i="13"/>
  <c r="AC683" i="13" s="1"/>
  <c r="AA684" i="13"/>
  <c r="AC684" i="13" s="1"/>
  <c r="AA685" i="13"/>
  <c r="AC685" i="13" s="1"/>
  <c r="AA686" i="13"/>
  <c r="AC686" i="13" s="1"/>
  <c r="AA687" i="13"/>
  <c r="AC687" i="13" s="1"/>
  <c r="AA688" i="13"/>
  <c r="AC688" i="13" s="1"/>
  <c r="AA689" i="13"/>
  <c r="AC689" i="13" s="1"/>
  <c r="AA690" i="13"/>
  <c r="AC690" i="13" s="1"/>
  <c r="AA691" i="13"/>
  <c r="AC691" i="13" s="1"/>
  <c r="AA692" i="13"/>
  <c r="AC692" i="13" s="1"/>
  <c r="AA693" i="13"/>
  <c r="AC693" i="13" s="1"/>
  <c r="AA694" i="13"/>
  <c r="AC694" i="13" s="1"/>
  <c r="AA695" i="13"/>
  <c r="AC695" i="13" s="1"/>
  <c r="AA696" i="13"/>
  <c r="AC696" i="13" s="1"/>
  <c r="AA697" i="13"/>
  <c r="AC697" i="13" s="1"/>
  <c r="AA698" i="13"/>
  <c r="AC698" i="13" s="1"/>
  <c r="AA699" i="13"/>
  <c r="AC699" i="13" s="1"/>
  <c r="AA700" i="13"/>
  <c r="AC700" i="13" s="1"/>
  <c r="AA701" i="13"/>
  <c r="AC701" i="13" s="1"/>
  <c r="AA702" i="13"/>
  <c r="AC702" i="13" s="1"/>
  <c r="AA703" i="13"/>
  <c r="AC703" i="13" s="1"/>
  <c r="AA704" i="13"/>
  <c r="AC704" i="13" s="1"/>
  <c r="AA705" i="13"/>
  <c r="AC705" i="13" s="1"/>
  <c r="AA706" i="13"/>
  <c r="AC706" i="13" s="1"/>
  <c r="AA707" i="13"/>
  <c r="AC707" i="13" s="1"/>
  <c r="AA708" i="13"/>
  <c r="AC708" i="13" s="1"/>
  <c r="AA709" i="13"/>
  <c r="AC709" i="13" s="1"/>
  <c r="AA710" i="13"/>
  <c r="AC710" i="13" s="1"/>
  <c r="AA711" i="13"/>
  <c r="AC711" i="13" s="1"/>
  <c r="AA712" i="13"/>
  <c r="AC712" i="13" s="1"/>
  <c r="AA713" i="13"/>
  <c r="AC713" i="13" s="1"/>
  <c r="AA714" i="13"/>
  <c r="AC714" i="13" s="1"/>
  <c r="AA715" i="13"/>
  <c r="AC715" i="13" s="1"/>
  <c r="AA716" i="13"/>
  <c r="AC716" i="13" s="1"/>
  <c r="AA717" i="13"/>
  <c r="AC717" i="13" s="1"/>
  <c r="AA718" i="13"/>
  <c r="AC718" i="13" s="1"/>
  <c r="AA719" i="13"/>
  <c r="AC719" i="13" s="1"/>
  <c r="AA720" i="13"/>
  <c r="AC720" i="13" s="1"/>
  <c r="AA721" i="13"/>
  <c r="AC721" i="13" s="1"/>
  <c r="Z2" i="13"/>
  <c r="AD2" i="13" s="1"/>
  <c r="Z3" i="13"/>
  <c r="AD3" i="13" s="1"/>
  <c r="Z4" i="13"/>
  <c r="AD4" i="13" s="1"/>
  <c r="Z5" i="13"/>
  <c r="AD5" i="13" s="1"/>
  <c r="Z6" i="13"/>
  <c r="AD6" i="13" s="1"/>
  <c r="Z7" i="13"/>
  <c r="AD7" i="13" s="1"/>
  <c r="Z8" i="13"/>
  <c r="AD8" i="13" s="1"/>
  <c r="Z9" i="13"/>
  <c r="AD9" i="13" s="1"/>
  <c r="Z10" i="13"/>
  <c r="AD10" i="13" s="1"/>
  <c r="Z11" i="13"/>
  <c r="AD11" i="13" s="1"/>
  <c r="Z12" i="13"/>
  <c r="AD12" i="13" s="1"/>
  <c r="Z13" i="13"/>
  <c r="AD13" i="13" s="1"/>
  <c r="Z14" i="13"/>
  <c r="AD14" i="13" s="1"/>
  <c r="Z15" i="13"/>
  <c r="AD15" i="13" s="1"/>
  <c r="Z16" i="13"/>
  <c r="AD16" i="13" s="1"/>
  <c r="Z17" i="13"/>
  <c r="AD17" i="13" s="1"/>
  <c r="Z18" i="13"/>
  <c r="AD18" i="13" s="1"/>
  <c r="Z19" i="13"/>
  <c r="AD19" i="13" s="1"/>
  <c r="Z20" i="13"/>
  <c r="AD20" i="13" s="1"/>
  <c r="Z21" i="13"/>
  <c r="AD21" i="13" s="1"/>
  <c r="Z22" i="13"/>
  <c r="AD22" i="13" s="1"/>
  <c r="Z23" i="13"/>
  <c r="AD23" i="13" s="1"/>
  <c r="Z24" i="13"/>
  <c r="AD24" i="13" s="1"/>
  <c r="Z25" i="13"/>
  <c r="AD25" i="13" s="1"/>
  <c r="Z26" i="13"/>
  <c r="AD26" i="13" s="1"/>
  <c r="Z27" i="13"/>
  <c r="AD27" i="13" s="1"/>
  <c r="Z28" i="13"/>
  <c r="AD28" i="13" s="1"/>
  <c r="Z29" i="13"/>
  <c r="AD29" i="13" s="1"/>
  <c r="Z30" i="13"/>
  <c r="AD30" i="13" s="1"/>
  <c r="Z31" i="13"/>
  <c r="AD31" i="13" s="1"/>
  <c r="Z32" i="13"/>
  <c r="AD32" i="13" s="1"/>
  <c r="Z33" i="13"/>
  <c r="AD33" i="13" s="1"/>
  <c r="Z34" i="13"/>
  <c r="AD34" i="13" s="1"/>
  <c r="Z35" i="13"/>
  <c r="AD35" i="13" s="1"/>
  <c r="Z36" i="13"/>
  <c r="AD36" i="13" s="1"/>
  <c r="Z37" i="13"/>
  <c r="AD37" i="13" s="1"/>
  <c r="Z38" i="13"/>
  <c r="AD38" i="13" s="1"/>
  <c r="Z39" i="13"/>
  <c r="AD39" i="13" s="1"/>
  <c r="Z40" i="13"/>
  <c r="AD40" i="13" s="1"/>
  <c r="Z41" i="13"/>
  <c r="AD41" i="13" s="1"/>
  <c r="Z42" i="13"/>
  <c r="AD42" i="13" s="1"/>
  <c r="Z43" i="13"/>
  <c r="AD43" i="13" s="1"/>
  <c r="Z44" i="13"/>
  <c r="AD44" i="13" s="1"/>
  <c r="Z45" i="13"/>
  <c r="AD45" i="13" s="1"/>
  <c r="Z46" i="13"/>
  <c r="AD46" i="13" s="1"/>
  <c r="Z47" i="13"/>
  <c r="AD47" i="13" s="1"/>
  <c r="Z48" i="13"/>
  <c r="AD48" i="13" s="1"/>
  <c r="Z49" i="13"/>
  <c r="AD49" i="13" s="1"/>
  <c r="Z50" i="13"/>
  <c r="AD50" i="13" s="1"/>
  <c r="Z51" i="13"/>
  <c r="AD51" i="13" s="1"/>
  <c r="Z52" i="13"/>
  <c r="AD52" i="13" s="1"/>
  <c r="Z53" i="13"/>
  <c r="AD53" i="13" s="1"/>
  <c r="Z54" i="13"/>
  <c r="AD54" i="13" s="1"/>
  <c r="Z55" i="13"/>
  <c r="AD55" i="13" s="1"/>
  <c r="Z56" i="13"/>
  <c r="AD56" i="13" s="1"/>
  <c r="Z57" i="13"/>
  <c r="AD57" i="13" s="1"/>
  <c r="Z58" i="13"/>
  <c r="AD58" i="13" s="1"/>
  <c r="Z59" i="13"/>
  <c r="AD59" i="13" s="1"/>
  <c r="Z60" i="13"/>
  <c r="AD60" i="13" s="1"/>
  <c r="Z61" i="13"/>
  <c r="AD61" i="13" s="1"/>
  <c r="Z62" i="13"/>
  <c r="AD62" i="13" s="1"/>
  <c r="Z63" i="13"/>
  <c r="AD63" i="13" s="1"/>
  <c r="Z64" i="13"/>
  <c r="AD64" i="13" s="1"/>
  <c r="Z65" i="13"/>
  <c r="AD65" i="13" s="1"/>
  <c r="Z66" i="13"/>
  <c r="AD66" i="13" s="1"/>
  <c r="Z67" i="13"/>
  <c r="AD67" i="13" s="1"/>
  <c r="Z68" i="13"/>
  <c r="AD68" i="13" s="1"/>
  <c r="Z69" i="13"/>
  <c r="AD69" i="13" s="1"/>
  <c r="Z70" i="13"/>
  <c r="AD70" i="13" s="1"/>
  <c r="Z71" i="13"/>
  <c r="AD71" i="13" s="1"/>
  <c r="Z72" i="13"/>
  <c r="AD72" i="13" s="1"/>
  <c r="Z73" i="13"/>
  <c r="AD73" i="13" s="1"/>
  <c r="Z74" i="13"/>
  <c r="AD74" i="13" s="1"/>
  <c r="Z75" i="13"/>
  <c r="AD75" i="13" s="1"/>
  <c r="Z76" i="13"/>
  <c r="AD76" i="13" s="1"/>
  <c r="Z77" i="13"/>
  <c r="AD77" i="13" s="1"/>
  <c r="Z78" i="13"/>
  <c r="AD78" i="13" s="1"/>
  <c r="Z79" i="13"/>
  <c r="AD79" i="13" s="1"/>
  <c r="Z80" i="13"/>
  <c r="AD80" i="13" s="1"/>
  <c r="Z81" i="13"/>
  <c r="AD81" i="13" s="1"/>
  <c r="Z82" i="13"/>
  <c r="AD82" i="13" s="1"/>
  <c r="Z83" i="13"/>
  <c r="AD83" i="13" s="1"/>
  <c r="Z84" i="13"/>
  <c r="AD84" i="13" s="1"/>
  <c r="Z85" i="13"/>
  <c r="AD85" i="13" s="1"/>
  <c r="Z86" i="13"/>
  <c r="AD86" i="13" s="1"/>
  <c r="Z87" i="13"/>
  <c r="AD87" i="13" s="1"/>
  <c r="Z88" i="13"/>
  <c r="AD88" i="13" s="1"/>
  <c r="Z89" i="13"/>
  <c r="AD89" i="13" s="1"/>
  <c r="Z90" i="13"/>
  <c r="AD90" i="13" s="1"/>
  <c r="Z91" i="13"/>
  <c r="AD91" i="13" s="1"/>
  <c r="Z92" i="13"/>
  <c r="AD92" i="13" s="1"/>
  <c r="Z93" i="13"/>
  <c r="AD93" i="13" s="1"/>
  <c r="Z94" i="13"/>
  <c r="AD94" i="13" s="1"/>
  <c r="Z95" i="13"/>
  <c r="AD95" i="13" s="1"/>
  <c r="Z96" i="13"/>
  <c r="AD96" i="13" s="1"/>
  <c r="Z97" i="13"/>
  <c r="AD97" i="13" s="1"/>
  <c r="Z98" i="13"/>
  <c r="AD98" i="13" s="1"/>
  <c r="Z99" i="13"/>
  <c r="AD99" i="13" s="1"/>
  <c r="Z100" i="13"/>
  <c r="AD100" i="13" s="1"/>
  <c r="Z101" i="13"/>
  <c r="AD101" i="13" s="1"/>
  <c r="Z102" i="13"/>
  <c r="AD102" i="13" s="1"/>
  <c r="Z103" i="13"/>
  <c r="AD103" i="13" s="1"/>
  <c r="Z104" i="13"/>
  <c r="AD104" i="13" s="1"/>
  <c r="Z105" i="13"/>
  <c r="AD105" i="13" s="1"/>
  <c r="Z106" i="13"/>
  <c r="AD106" i="13" s="1"/>
  <c r="Z107" i="13"/>
  <c r="AD107" i="13" s="1"/>
  <c r="Z108" i="13"/>
  <c r="AD108" i="13" s="1"/>
  <c r="Z109" i="13"/>
  <c r="AD109" i="13" s="1"/>
  <c r="Z110" i="13"/>
  <c r="AD110" i="13" s="1"/>
  <c r="Z111" i="13"/>
  <c r="AD111" i="13" s="1"/>
  <c r="Z112" i="13"/>
  <c r="AD112" i="13" s="1"/>
  <c r="Z113" i="13"/>
  <c r="AD113" i="13" s="1"/>
  <c r="Z114" i="13"/>
  <c r="AD114" i="13" s="1"/>
  <c r="Z115" i="13"/>
  <c r="AD115" i="13" s="1"/>
  <c r="Z116" i="13"/>
  <c r="AD116" i="13" s="1"/>
  <c r="Z117" i="13"/>
  <c r="AD117" i="13" s="1"/>
  <c r="Z118" i="13"/>
  <c r="AD118" i="13" s="1"/>
  <c r="Z119" i="13"/>
  <c r="AD119" i="13" s="1"/>
  <c r="Z120" i="13"/>
  <c r="AD120" i="13" s="1"/>
  <c r="Z121" i="13"/>
  <c r="AD121" i="13" s="1"/>
  <c r="Z122" i="13"/>
  <c r="AD122" i="13" s="1"/>
  <c r="Z123" i="13"/>
  <c r="AD123" i="13" s="1"/>
  <c r="Z124" i="13"/>
  <c r="AD124" i="13" s="1"/>
  <c r="Z125" i="13"/>
  <c r="AD125" i="13" s="1"/>
  <c r="Z126" i="13"/>
  <c r="AD126" i="13" s="1"/>
  <c r="Z127" i="13"/>
  <c r="AD127" i="13" s="1"/>
  <c r="Z128" i="13"/>
  <c r="AD128" i="13" s="1"/>
  <c r="Z129" i="13"/>
  <c r="AD129" i="13" s="1"/>
  <c r="Z130" i="13"/>
  <c r="AD130" i="13" s="1"/>
  <c r="Z131" i="13"/>
  <c r="AD131" i="13" s="1"/>
  <c r="Z132" i="13"/>
  <c r="AD132" i="13" s="1"/>
  <c r="Z133" i="13"/>
  <c r="AD133" i="13" s="1"/>
  <c r="Z134" i="13"/>
  <c r="AD134" i="13" s="1"/>
  <c r="Z135" i="13"/>
  <c r="AD135" i="13" s="1"/>
  <c r="Z136" i="13"/>
  <c r="AD136" i="13" s="1"/>
  <c r="Z137" i="13"/>
  <c r="AD137" i="13" s="1"/>
  <c r="Z138" i="13"/>
  <c r="AD138" i="13" s="1"/>
  <c r="Z139" i="13"/>
  <c r="AD139" i="13" s="1"/>
  <c r="Z140" i="13"/>
  <c r="AD140" i="13" s="1"/>
  <c r="Z141" i="13"/>
  <c r="AD141" i="13" s="1"/>
  <c r="Z142" i="13"/>
  <c r="AD142" i="13" s="1"/>
  <c r="Z143" i="13"/>
  <c r="AD143" i="13" s="1"/>
  <c r="Z144" i="13"/>
  <c r="AD144" i="13" s="1"/>
  <c r="Z145" i="13"/>
  <c r="AD145" i="13" s="1"/>
  <c r="Z146" i="13"/>
  <c r="AD146" i="13" s="1"/>
  <c r="Z147" i="13"/>
  <c r="AD147" i="13" s="1"/>
  <c r="Z148" i="13"/>
  <c r="AD148" i="13" s="1"/>
  <c r="Z149" i="13"/>
  <c r="AD149" i="13" s="1"/>
  <c r="Z150" i="13"/>
  <c r="AD150" i="13" s="1"/>
  <c r="Z151" i="13"/>
  <c r="AD151" i="13" s="1"/>
  <c r="Z152" i="13"/>
  <c r="AD152" i="13" s="1"/>
  <c r="Z153" i="13"/>
  <c r="AD153" i="13" s="1"/>
  <c r="Z154" i="13"/>
  <c r="AD154" i="13" s="1"/>
  <c r="Z155" i="13"/>
  <c r="AD155" i="13" s="1"/>
  <c r="Z156" i="13"/>
  <c r="AD156" i="13" s="1"/>
  <c r="Z157" i="13"/>
  <c r="AD157" i="13" s="1"/>
  <c r="Z158" i="13"/>
  <c r="AD158" i="13" s="1"/>
  <c r="Z159" i="13"/>
  <c r="AD159" i="13" s="1"/>
  <c r="Z160" i="13"/>
  <c r="AD160" i="13" s="1"/>
  <c r="Z161" i="13"/>
  <c r="AD161" i="13" s="1"/>
  <c r="Z162" i="13"/>
  <c r="AD162" i="13" s="1"/>
  <c r="Z163" i="13"/>
  <c r="AD163" i="13" s="1"/>
  <c r="Z164" i="13"/>
  <c r="AD164" i="13" s="1"/>
  <c r="Z165" i="13"/>
  <c r="AD165" i="13" s="1"/>
  <c r="Z166" i="13"/>
  <c r="AD166" i="13" s="1"/>
  <c r="Z167" i="13"/>
  <c r="AD167" i="13" s="1"/>
  <c r="Z168" i="13"/>
  <c r="AD168" i="13" s="1"/>
  <c r="Z169" i="13"/>
  <c r="AD169" i="13" s="1"/>
  <c r="Z170" i="13"/>
  <c r="AD170" i="13" s="1"/>
  <c r="Z171" i="13"/>
  <c r="AD171" i="13" s="1"/>
  <c r="Z172" i="13"/>
  <c r="AD172" i="13" s="1"/>
  <c r="Z173" i="13"/>
  <c r="AD173" i="13" s="1"/>
  <c r="Z174" i="13"/>
  <c r="AD174" i="13" s="1"/>
  <c r="Z175" i="13"/>
  <c r="AD175" i="13" s="1"/>
  <c r="Z176" i="13"/>
  <c r="AD176" i="13" s="1"/>
  <c r="Z177" i="13"/>
  <c r="AD177" i="13" s="1"/>
  <c r="Z178" i="13"/>
  <c r="AD178" i="13" s="1"/>
  <c r="Z179" i="13"/>
  <c r="AD179" i="13" s="1"/>
  <c r="Z180" i="13"/>
  <c r="AD180" i="13" s="1"/>
  <c r="Z181" i="13"/>
  <c r="AD181" i="13" s="1"/>
  <c r="Z182" i="13"/>
  <c r="AD182" i="13" s="1"/>
  <c r="Z183" i="13"/>
  <c r="AD183" i="13" s="1"/>
  <c r="Z184" i="13"/>
  <c r="AD184" i="13" s="1"/>
  <c r="Z185" i="13"/>
  <c r="AD185" i="13" s="1"/>
  <c r="Z186" i="13"/>
  <c r="AD186" i="13" s="1"/>
  <c r="Z187" i="13"/>
  <c r="AD187" i="13" s="1"/>
  <c r="Z188" i="13"/>
  <c r="AD188" i="13" s="1"/>
  <c r="Z189" i="13"/>
  <c r="AD189" i="13" s="1"/>
  <c r="Z190" i="13"/>
  <c r="AD190" i="13" s="1"/>
  <c r="Z191" i="13"/>
  <c r="AD191" i="13" s="1"/>
  <c r="Z192" i="13"/>
  <c r="AD192" i="13" s="1"/>
  <c r="Z193" i="13"/>
  <c r="AD193" i="13" s="1"/>
  <c r="Z194" i="13"/>
  <c r="AD194" i="13" s="1"/>
  <c r="Z195" i="13"/>
  <c r="AD195" i="13" s="1"/>
  <c r="Z196" i="13"/>
  <c r="AD196" i="13" s="1"/>
  <c r="Z197" i="13"/>
  <c r="AD197" i="13" s="1"/>
  <c r="Z198" i="13"/>
  <c r="AD198" i="13" s="1"/>
  <c r="Z199" i="13"/>
  <c r="AD199" i="13" s="1"/>
  <c r="Z200" i="13"/>
  <c r="AD200" i="13" s="1"/>
  <c r="Z201" i="13"/>
  <c r="AD201" i="13" s="1"/>
  <c r="Z202" i="13"/>
  <c r="AD202" i="13" s="1"/>
  <c r="Z203" i="13"/>
  <c r="AD203" i="13" s="1"/>
  <c r="Z204" i="13"/>
  <c r="AD204" i="13" s="1"/>
  <c r="Z205" i="13"/>
  <c r="AD205" i="13" s="1"/>
  <c r="Z206" i="13"/>
  <c r="AD206" i="13" s="1"/>
  <c r="Z207" i="13"/>
  <c r="AD207" i="13" s="1"/>
  <c r="Z208" i="13"/>
  <c r="AD208" i="13" s="1"/>
  <c r="Z209" i="13"/>
  <c r="AD209" i="13" s="1"/>
  <c r="Z210" i="13"/>
  <c r="AD210" i="13" s="1"/>
  <c r="Z211" i="13"/>
  <c r="AD211" i="13" s="1"/>
  <c r="Z212" i="13"/>
  <c r="AD212" i="13" s="1"/>
  <c r="Z213" i="13"/>
  <c r="AD213" i="13" s="1"/>
  <c r="Z214" i="13"/>
  <c r="AD214" i="13" s="1"/>
  <c r="Z215" i="13"/>
  <c r="AD215" i="13" s="1"/>
  <c r="Z216" i="13"/>
  <c r="AD216" i="13" s="1"/>
  <c r="Z217" i="13"/>
  <c r="AD217" i="13" s="1"/>
  <c r="Z218" i="13"/>
  <c r="AD218" i="13" s="1"/>
  <c r="Z219" i="13"/>
  <c r="AD219" i="13" s="1"/>
  <c r="AE219" i="13" s="1"/>
  <c r="AF219" i="13" s="1"/>
  <c r="Z220" i="13"/>
  <c r="AD220" i="13" s="1"/>
  <c r="Z221" i="13"/>
  <c r="AD221" i="13" s="1"/>
  <c r="Z222" i="13"/>
  <c r="AD222" i="13" s="1"/>
  <c r="Z223" i="13"/>
  <c r="AD223" i="13" s="1"/>
  <c r="Z224" i="13"/>
  <c r="AD224" i="13" s="1"/>
  <c r="Z225" i="13"/>
  <c r="AD225" i="13" s="1"/>
  <c r="Z226" i="13"/>
  <c r="AD226" i="13" s="1"/>
  <c r="Z227" i="13"/>
  <c r="AD227" i="13" s="1"/>
  <c r="Z228" i="13"/>
  <c r="AD228" i="13" s="1"/>
  <c r="Z229" i="13"/>
  <c r="AD229" i="13" s="1"/>
  <c r="Z230" i="13"/>
  <c r="AD230" i="13" s="1"/>
  <c r="Z231" i="13"/>
  <c r="AD231" i="13" s="1"/>
  <c r="Z232" i="13"/>
  <c r="AD232" i="13" s="1"/>
  <c r="Z233" i="13"/>
  <c r="AD233" i="13" s="1"/>
  <c r="Z234" i="13"/>
  <c r="AD234" i="13" s="1"/>
  <c r="Z235" i="13"/>
  <c r="AD235" i="13" s="1"/>
  <c r="Z236" i="13"/>
  <c r="AD236" i="13" s="1"/>
  <c r="Z237" i="13"/>
  <c r="AD237" i="13" s="1"/>
  <c r="Z238" i="13"/>
  <c r="AD238" i="13" s="1"/>
  <c r="Z239" i="13"/>
  <c r="AD239" i="13" s="1"/>
  <c r="Z240" i="13"/>
  <c r="AD240" i="13" s="1"/>
  <c r="Z241" i="13"/>
  <c r="AD241" i="13" s="1"/>
  <c r="Z242" i="13"/>
  <c r="AD242" i="13" s="1"/>
  <c r="Z243" i="13"/>
  <c r="AD243" i="13" s="1"/>
  <c r="Z244" i="13"/>
  <c r="AD244" i="13" s="1"/>
  <c r="Z245" i="13"/>
  <c r="AD245" i="13" s="1"/>
  <c r="Z246" i="13"/>
  <c r="AD246" i="13" s="1"/>
  <c r="Z247" i="13"/>
  <c r="AD247" i="13" s="1"/>
  <c r="Z248" i="13"/>
  <c r="AD248" i="13" s="1"/>
  <c r="Z249" i="13"/>
  <c r="AD249" i="13" s="1"/>
  <c r="Z250" i="13"/>
  <c r="AD250" i="13" s="1"/>
  <c r="Z251" i="13"/>
  <c r="AD251" i="13" s="1"/>
  <c r="Z252" i="13"/>
  <c r="AD252" i="13" s="1"/>
  <c r="Z253" i="13"/>
  <c r="AD253" i="13" s="1"/>
  <c r="Z254" i="13"/>
  <c r="AD254" i="13" s="1"/>
  <c r="Z255" i="13"/>
  <c r="AD255" i="13" s="1"/>
  <c r="Z256" i="13"/>
  <c r="AD256" i="13" s="1"/>
  <c r="Z257" i="13"/>
  <c r="AD257" i="13" s="1"/>
  <c r="Z258" i="13"/>
  <c r="AD258" i="13" s="1"/>
  <c r="Z259" i="13"/>
  <c r="AD259" i="13" s="1"/>
  <c r="Z260" i="13"/>
  <c r="AD260" i="13" s="1"/>
  <c r="Z261" i="13"/>
  <c r="AD261" i="13" s="1"/>
  <c r="Z262" i="13"/>
  <c r="AD262" i="13" s="1"/>
  <c r="Z263" i="13"/>
  <c r="AD263" i="13" s="1"/>
  <c r="Z264" i="13"/>
  <c r="AD264" i="13" s="1"/>
  <c r="Z265" i="13"/>
  <c r="AD265" i="13" s="1"/>
  <c r="Z266" i="13"/>
  <c r="AD266" i="13" s="1"/>
  <c r="Z267" i="13"/>
  <c r="AD267" i="13" s="1"/>
  <c r="Z268" i="13"/>
  <c r="AD268" i="13" s="1"/>
  <c r="Z269" i="13"/>
  <c r="AD269" i="13" s="1"/>
  <c r="Z270" i="13"/>
  <c r="AD270" i="13" s="1"/>
  <c r="Z271" i="13"/>
  <c r="AD271" i="13" s="1"/>
  <c r="Z272" i="13"/>
  <c r="AD272" i="13" s="1"/>
  <c r="Z273" i="13"/>
  <c r="AD273" i="13" s="1"/>
  <c r="Z274" i="13"/>
  <c r="AD274" i="13" s="1"/>
  <c r="Z275" i="13"/>
  <c r="AD275" i="13" s="1"/>
  <c r="Z276" i="13"/>
  <c r="AD276" i="13" s="1"/>
  <c r="Z277" i="13"/>
  <c r="AD277" i="13" s="1"/>
  <c r="Z278" i="13"/>
  <c r="AD278" i="13" s="1"/>
  <c r="Z279" i="13"/>
  <c r="AD279" i="13" s="1"/>
  <c r="Z280" i="13"/>
  <c r="AD280" i="13" s="1"/>
  <c r="Z281" i="13"/>
  <c r="AD281" i="13" s="1"/>
  <c r="Z282" i="13"/>
  <c r="AD282" i="13" s="1"/>
  <c r="Z283" i="13"/>
  <c r="AD283" i="13" s="1"/>
  <c r="Z284" i="13"/>
  <c r="AD284" i="13" s="1"/>
  <c r="Z285" i="13"/>
  <c r="AD285" i="13" s="1"/>
  <c r="Z286" i="13"/>
  <c r="AD286" i="13" s="1"/>
  <c r="Z287" i="13"/>
  <c r="AD287" i="13" s="1"/>
  <c r="Z288" i="13"/>
  <c r="AD288" i="13" s="1"/>
  <c r="Z289" i="13"/>
  <c r="AD289" i="13" s="1"/>
  <c r="Z290" i="13"/>
  <c r="AD290" i="13" s="1"/>
  <c r="Z291" i="13"/>
  <c r="AD291" i="13" s="1"/>
  <c r="Z292" i="13"/>
  <c r="AD292" i="13" s="1"/>
  <c r="Z293" i="13"/>
  <c r="AD293" i="13" s="1"/>
  <c r="Z294" i="13"/>
  <c r="AD294" i="13" s="1"/>
  <c r="Z295" i="13"/>
  <c r="AD295" i="13" s="1"/>
  <c r="Z296" i="13"/>
  <c r="AD296" i="13" s="1"/>
  <c r="Z297" i="13"/>
  <c r="AD297" i="13" s="1"/>
  <c r="Z298" i="13"/>
  <c r="AD298" i="13" s="1"/>
  <c r="Z299" i="13"/>
  <c r="AD299" i="13" s="1"/>
  <c r="Z300" i="13"/>
  <c r="AD300" i="13" s="1"/>
  <c r="Z301" i="13"/>
  <c r="AD301" i="13" s="1"/>
  <c r="Z302" i="13"/>
  <c r="AD302" i="13" s="1"/>
  <c r="Z303" i="13"/>
  <c r="AD303" i="13" s="1"/>
  <c r="Z304" i="13"/>
  <c r="AD304" i="13" s="1"/>
  <c r="Z305" i="13"/>
  <c r="AD305" i="13" s="1"/>
  <c r="Z306" i="13"/>
  <c r="AD306" i="13" s="1"/>
  <c r="Z307" i="13"/>
  <c r="AD307" i="13" s="1"/>
  <c r="Z308" i="13"/>
  <c r="AD308" i="13" s="1"/>
  <c r="Z309" i="13"/>
  <c r="AD309" i="13" s="1"/>
  <c r="Z310" i="13"/>
  <c r="AD310" i="13" s="1"/>
  <c r="Z311" i="13"/>
  <c r="AD311" i="13" s="1"/>
  <c r="Z312" i="13"/>
  <c r="AD312" i="13" s="1"/>
  <c r="Z313" i="13"/>
  <c r="AD313" i="13" s="1"/>
  <c r="Z314" i="13"/>
  <c r="AD314" i="13" s="1"/>
  <c r="Z315" i="13"/>
  <c r="AD315" i="13" s="1"/>
  <c r="Z316" i="13"/>
  <c r="AD316" i="13" s="1"/>
  <c r="Z317" i="13"/>
  <c r="AD317" i="13" s="1"/>
  <c r="Z318" i="13"/>
  <c r="AD318" i="13" s="1"/>
  <c r="Z319" i="13"/>
  <c r="AD319" i="13" s="1"/>
  <c r="Z320" i="13"/>
  <c r="AD320" i="13" s="1"/>
  <c r="Z321" i="13"/>
  <c r="AD321" i="13" s="1"/>
  <c r="Z322" i="13"/>
  <c r="AD322" i="13" s="1"/>
  <c r="Z323" i="13"/>
  <c r="AD323" i="13" s="1"/>
  <c r="Z324" i="13"/>
  <c r="AD324" i="13" s="1"/>
  <c r="Z325" i="13"/>
  <c r="AD325" i="13" s="1"/>
  <c r="Z326" i="13"/>
  <c r="AD326" i="13" s="1"/>
  <c r="Z327" i="13"/>
  <c r="AD327" i="13" s="1"/>
  <c r="Z328" i="13"/>
  <c r="AD328" i="13" s="1"/>
  <c r="Z329" i="13"/>
  <c r="AD329" i="13" s="1"/>
  <c r="Z330" i="13"/>
  <c r="AD330" i="13" s="1"/>
  <c r="Z331" i="13"/>
  <c r="AD331" i="13" s="1"/>
  <c r="Z332" i="13"/>
  <c r="AD332" i="13" s="1"/>
  <c r="Z333" i="13"/>
  <c r="AD333" i="13" s="1"/>
  <c r="Z334" i="13"/>
  <c r="AD334" i="13" s="1"/>
  <c r="Z335" i="13"/>
  <c r="AD335" i="13" s="1"/>
  <c r="Z336" i="13"/>
  <c r="AD336" i="13" s="1"/>
  <c r="Z337" i="13"/>
  <c r="AD337" i="13" s="1"/>
  <c r="Z338" i="13"/>
  <c r="AD338" i="13" s="1"/>
  <c r="Z339" i="13"/>
  <c r="AD339" i="13" s="1"/>
  <c r="Z340" i="13"/>
  <c r="AD340" i="13" s="1"/>
  <c r="Z341" i="13"/>
  <c r="AD341" i="13" s="1"/>
  <c r="Z342" i="13"/>
  <c r="AD342" i="13" s="1"/>
  <c r="Z343" i="13"/>
  <c r="AD343" i="13" s="1"/>
  <c r="Z344" i="13"/>
  <c r="AD344" i="13" s="1"/>
  <c r="Z345" i="13"/>
  <c r="AD345" i="13" s="1"/>
  <c r="Z346" i="13"/>
  <c r="AD346" i="13" s="1"/>
  <c r="Z347" i="13"/>
  <c r="AD347" i="13" s="1"/>
  <c r="Z348" i="13"/>
  <c r="AD348" i="13" s="1"/>
  <c r="Z349" i="13"/>
  <c r="AD349" i="13" s="1"/>
  <c r="Z350" i="13"/>
  <c r="AD350" i="13" s="1"/>
  <c r="Z351" i="13"/>
  <c r="AD351" i="13" s="1"/>
  <c r="Z352" i="13"/>
  <c r="AD352" i="13" s="1"/>
  <c r="Z353" i="13"/>
  <c r="AD353" i="13" s="1"/>
  <c r="Z354" i="13"/>
  <c r="AD354" i="13" s="1"/>
  <c r="Z355" i="13"/>
  <c r="AD355" i="13" s="1"/>
  <c r="Z356" i="13"/>
  <c r="AD356" i="13" s="1"/>
  <c r="Z357" i="13"/>
  <c r="AD357" i="13" s="1"/>
  <c r="Z358" i="13"/>
  <c r="AD358" i="13" s="1"/>
  <c r="Z359" i="13"/>
  <c r="AD359" i="13" s="1"/>
  <c r="Z360" i="13"/>
  <c r="AD360" i="13" s="1"/>
  <c r="Z361" i="13"/>
  <c r="AD361" i="13" s="1"/>
  <c r="Z362" i="13"/>
  <c r="AD362" i="13" s="1"/>
  <c r="Z363" i="13"/>
  <c r="AD363" i="13" s="1"/>
  <c r="Z364" i="13"/>
  <c r="AD364" i="13" s="1"/>
  <c r="Z365" i="13"/>
  <c r="AD365" i="13" s="1"/>
  <c r="Z366" i="13"/>
  <c r="AD366" i="13" s="1"/>
  <c r="Z367" i="13"/>
  <c r="AD367" i="13" s="1"/>
  <c r="Z368" i="13"/>
  <c r="AD368" i="13" s="1"/>
  <c r="Z369" i="13"/>
  <c r="AD369" i="13" s="1"/>
  <c r="Z370" i="13"/>
  <c r="AD370" i="13" s="1"/>
  <c r="Z371" i="13"/>
  <c r="AD371" i="13" s="1"/>
  <c r="Z372" i="13"/>
  <c r="AD372" i="13" s="1"/>
  <c r="Z373" i="13"/>
  <c r="AD373" i="13" s="1"/>
  <c r="Z374" i="13"/>
  <c r="AD374" i="13" s="1"/>
  <c r="Z375" i="13"/>
  <c r="AD375" i="13" s="1"/>
  <c r="Z376" i="13"/>
  <c r="AD376" i="13" s="1"/>
  <c r="Z377" i="13"/>
  <c r="AD377" i="13" s="1"/>
  <c r="Z378" i="13"/>
  <c r="AD378" i="13" s="1"/>
  <c r="Z379" i="13"/>
  <c r="AD379" i="13" s="1"/>
  <c r="Z380" i="13"/>
  <c r="AD380" i="13" s="1"/>
  <c r="Z381" i="13"/>
  <c r="AD381" i="13" s="1"/>
  <c r="Z382" i="13"/>
  <c r="AD382" i="13" s="1"/>
  <c r="Z383" i="13"/>
  <c r="AD383" i="13" s="1"/>
  <c r="Z384" i="13"/>
  <c r="AD384" i="13" s="1"/>
  <c r="Z385" i="13"/>
  <c r="AD385" i="13" s="1"/>
  <c r="Z386" i="13"/>
  <c r="AD386" i="13" s="1"/>
  <c r="Z387" i="13"/>
  <c r="AD387" i="13" s="1"/>
  <c r="Z388" i="13"/>
  <c r="AD388" i="13" s="1"/>
  <c r="Z389" i="13"/>
  <c r="AD389" i="13" s="1"/>
  <c r="Z390" i="13"/>
  <c r="AD390" i="13" s="1"/>
  <c r="Z391" i="13"/>
  <c r="AD391" i="13" s="1"/>
  <c r="Z392" i="13"/>
  <c r="AD392" i="13" s="1"/>
  <c r="Z393" i="13"/>
  <c r="AD393" i="13" s="1"/>
  <c r="Z394" i="13"/>
  <c r="AD394" i="13" s="1"/>
  <c r="Z395" i="13"/>
  <c r="AD395" i="13" s="1"/>
  <c r="Z396" i="13"/>
  <c r="AD396" i="13" s="1"/>
  <c r="Z397" i="13"/>
  <c r="AD397" i="13" s="1"/>
  <c r="Z398" i="13"/>
  <c r="AD398" i="13" s="1"/>
  <c r="Z399" i="13"/>
  <c r="AD399" i="13" s="1"/>
  <c r="Z400" i="13"/>
  <c r="AD400" i="13" s="1"/>
  <c r="Z401" i="13"/>
  <c r="AD401" i="13" s="1"/>
  <c r="Z402" i="13"/>
  <c r="AD402" i="13" s="1"/>
  <c r="Z403" i="13"/>
  <c r="AD403" i="13" s="1"/>
  <c r="Z404" i="13"/>
  <c r="AD404" i="13" s="1"/>
  <c r="Z405" i="13"/>
  <c r="AD405" i="13" s="1"/>
  <c r="Z406" i="13"/>
  <c r="AD406" i="13" s="1"/>
  <c r="Z407" i="13"/>
  <c r="AD407" i="13" s="1"/>
  <c r="Z408" i="13"/>
  <c r="AD408" i="13" s="1"/>
  <c r="Z409" i="13"/>
  <c r="AD409" i="13" s="1"/>
  <c r="Z410" i="13"/>
  <c r="AD410" i="13" s="1"/>
  <c r="Z411" i="13"/>
  <c r="AD411" i="13" s="1"/>
  <c r="Z412" i="13"/>
  <c r="AD412" i="13" s="1"/>
  <c r="Z413" i="13"/>
  <c r="AD413" i="13" s="1"/>
  <c r="Z414" i="13"/>
  <c r="AD414" i="13" s="1"/>
  <c r="Z415" i="13"/>
  <c r="AD415" i="13" s="1"/>
  <c r="Z416" i="13"/>
  <c r="AD416" i="13" s="1"/>
  <c r="Z417" i="13"/>
  <c r="AD417" i="13" s="1"/>
  <c r="Z418" i="13"/>
  <c r="AD418" i="13" s="1"/>
  <c r="Z419" i="13"/>
  <c r="AD419" i="13" s="1"/>
  <c r="Z420" i="13"/>
  <c r="AD420" i="13" s="1"/>
  <c r="Z421" i="13"/>
  <c r="AD421" i="13" s="1"/>
  <c r="Z422" i="13"/>
  <c r="AD422" i="13" s="1"/>
  <c r="Z423" i="13"/>
  <c r="AD423" i="13" s="1"/>
  <c r="Z424" i="13"/>
  <c r="AD424" i="13" s="1"/>
  <c r="Z425" i="13"/>
  <c r="AD425" i="13" s="1"/>
  <c r="Z426" i="13"/>
  <c r="AD426" i="13" s="1"/>
  <c r="Z427" i="13"/>
  <c r="AD427" i="13" s="1"/>
  <c r="Z428" i="13"/>
  <c r="AD428" i="13" s="1"/>
  <c r="Z429" i="13"/>
  <c r="AD429" i="13" s="1"/>
  <c r="Z430" i="13"/>
  <c r="AD430" i="13" s="1"/>
  <c r="Z431" i="13"/>
  <c r="AD431" i="13" s="1"/>
  <c r="Z432" i="13"/>
  <c r="AD432" i="13" s="1"/>
  <c r="Z433" i="13"/>
  <c r="AD433" i="13" s="1"/>
  <c r="Z434" i="13"/>
  <c r="AD434" i="13" s="1"/>
  <c r="Z435" i="13"/>
  <c r="AD435" i="13" s="1"/>
  <c r="Z436" i="13"/>
  <c r="AD436" i="13" s="1"/>
  <c r="Z437" i="13"/>
  <c r="AD437" i="13" s="1"/>
  <c r="Z438" i="13"/>
  <c r="AD438" i="13" s="1"/>
  <c r="Z439" i="13"/>
  <c r="AD439" i="13" s="1"/>
  <c r="Z440" i="13"/>
  <c r="AD440" i="13" s="1"/>
  <c r="Z441" i="13"/>
  <c r="AD441" i="13" s="1"/>
  <c r="Z442" i="13"/>
  <c r="AD442" i="13" s="1"/>
  <c r="Z443" i="13"/>
  <c r="AD443" i="13" s="1"/>
  <c r="Z444" i="13"/>
  <c r="AD444" i="13" s="1"/>
  <c r="Z445" i="13"/>
  <c r="AD445" i="13" s="1"/>
  <c r="Z446" i="13"/>
  <c r="AD446" i="13" s="1"/>
  <c r="Z447" i="13"/>
  <c r="AD447" i="13" s="1"/>
  <c r="Z448" i="13"/>
  <c r="AD448" i="13" s="1"/>
  <c r="Z449" i="13"/>
  <c r="AD449" i="13" s="1"/>
  <c r="Z450" i="13"/>
  <c r="AD450" i="13" s="1"/>
  <c r="Z451" i="13"/>
  <c r="AD451" i="13" s="1"/>
  <c r="Z452" i="13"/>
  <c r="AD452" i="13" s="1"/>
  <c r="Z453" i="13"/>
  <c r="AD453" i="13" s="1"/>
  <c r="Z454" i="13"/>
  <c r="AD454" i="13" s="1"/>
  <c r="Z455" i="13"/>
  <c r="AD455" i="13" s="1"/>
  <c r="Z456" i="13"/>
  <c r="AD456" i="13" s="1"/>
  <c r="Z457" i="13"/>
  <c r="AD457" i="13" s="1"/>
  <c r="Z458" i="13"/>
  <c r="AD458" i="13" s="1"/>
  <c r="Z459" i="13"/>
  <c r="AD459" i="13" s="1"/>
  <c r="Z460" i="13"/>
  <c r="AD460" i="13" s="1"/>
  <c r="Z461" i="13"/>
  <c r="AD461" i="13" s="1"/>
  <c r="Z462" i="13"/>
  <c r="AD462" i="13" s="1"/>
  <c r="Z463" i="13"/>
  <c r="AD463" i="13" s="1"/>
  <c r="Z464" i="13"/>
  <c r="AD464" i="13" s="1"/>
  <c r="Z465" i="13"/>
  <c r="AD465" i="13" s="1"/>
  <c r="Z466" i="13"/>
  <c r="AD466" i="13" s="1"/>
  <c r="Z467" i="13"/>
  <c r="AD467" i="13" s="1"/>
  <c r="Z468" i="13"/>
  <c r="AD468" i="13" s="1"/>
  <c r="Z469" i="13"/>
  <c r="AD469" i="13" s="1"/>
  <c r="Z470" i="13"/>
  <c r="AD470" i="13" s="1"/>
  <c r="Z471" i="13"/>
  <c r="AD471" i="13" s="1"/>
  <c r="Z472" i="13"/>
  <c r="AD472" i="13" s="1"/>
  <c r="Z473" i="13"/>
  <c r="AD473" i="13" s="1"/>
  <c r="Z474" i="13"/>
  <c r="AD474" i="13" s="1"/>
  <c r="Z475" i="13"/>
  <c r="AD475" i="13" s="1"/>
  <c r="Z476" i="13"/>
  <c r="AD476" i="13" s="1"/>
  <c r="Z477" i="13"/>
  <c r="AD477" i="13" s="1"/>
  <c r="Z478" i="13"/>
  <c r="AD478" i="13" s="1"/>
  <c r="Z479" i="13"/>
  <c r="AD479" i="13" s="1"/>
  <c r="Z480" i="13"/>
  <c r="AD480" i="13" s="1"/>
  <c r="Z481" i="13"/>
  <c r="AD481" i="13" s="1"/>
  <c r="Z482" i="13"/>
  <c r="AD482" i="13" s="1"/>
  <c r="Z483" i="13"/>
  <c r="AD483" i="13" s="1"/>
  <c r="Z484" i="13"/>
  <c r="AD484" i="13" s="1"/>
  <c r="Z485" i="13"/>
  <c r="AD485" i="13" s="1"/>
  <c r="Z486" i="13"/>
  <c r="AD486" i="13" s="1"/>
  <c r="Z487" i="13"/>
  <c r="AD487" i="13" s="1"/>
  <c r="Z488" i="13"/>
  <c r="AD488" i="13" s="1"/>
  <c r="Z489" i="13"/>
  <c r="AD489" i="13" s="1"/>
  <c r="Z490" i="13"/>
  <c r="AD490" i="13" s="1"/>
  <c r="Z491" i="13"/>
  <c r="AD491" i="13" s="1"/>
  <c r="Z492" i="13"/>
  <c r="AD492" i="13" s="1"/>
  <c r="Z493" i="13"/>
  <c r="AD493" i="13" s="1"/>
  <c r="Z494" i="13"/>
  <c r="AD494" i="13" s="1"/>
  <c r="Z495" i="13"/>
  <c r="AD495" i="13" s="1"/>
  <c r="Z496" i="13"/>
  <c r="AD496" i="13" s="1"/>
  <c r="Z497" i="13"/>
  <c r="AD497" i="13" s="1"/>
  <c r="Z498" i="13"/>
  <c r="AD498" i="13" s="1"/>
  <c r="Z499" i="13"/>
  <c r="AD499" i="13" s="1"/>
  <c r="Z500" i="13"/>
  <c r="AD500" i="13" s="1"/>
  <c r="Z501" i="13"/>
  <c r="AD501" i="13" s="1"/>
  <c r="Z502" i="13"/>
  <c r="AD502" i="13" s="1"/>
  <c r="Z503" i="13"/>
  <c r="AD503" i="13" s="1"/>
  <c r="Z504" i="13"/>
  <c r="AD504" i="13" s="1"/>
  <c r="Z505" i="13"/>
  <c r="AD505" i="13" s="1"/>
  <c r="Z506" i="13"/>
  <c r="AD506" i="13" s="1"/>
  <c r="Z507" i="13"/>
  <c r="AD507" i="13" s="1"/>
  <c r="Z508" i="13"/>
  <c r="AD508" i="13" s="1"/>
  <c r="Z509" i="13"/>
  <c r="AD509" i="13" s="1"/>
  <c r="Z510" i="13"/>
  <c r="AD510" i="13" s="1"/>
  <c r="Z511" i="13"/>
  <c r="AD511" i="13" s="1"/>
  <c r="Z512" i="13"/>
  <c r="AD512" i="13" s="1"/>
  <c r="Z513" i="13"/>
  <c r="AD513" i="13" s="1"/>
  <c r="Z514" i="13"/>
  <c r="AD514" i="13" s="1"/>
  <c r="Z515" i="13"/>
  <c r="AD515" i="13" s="1"/>
  <c r="Z516" i="13"/>
  <c r="AD516" i="13" s="1"/>
  <c r="Z517" i="13"/>
  <c r="AD517" i="13" s="1"/>
  <c r="Z518" i="13"/>
  <c r="AD518" i="13" s="1"/>
  <c r="Z519" i="13"/>
  <c r="AD519" i="13" s="1"/>
  <c r="Z520" i="13"/>
  <c r="AD520" i="13" s="1"/>
  <c r="Z521" i="13"/>
  <c r="AD521" i="13" s="1"/>
  <c r="Z522" i="13"/>
  <c r="AD522" i="13" s="1"/>
  <c r="Z523" i="13"/>
  <c r="AD523" i="13" s="1"/>
  <c r="Z524" i="13"/>
  <c r="AD524" i="13" s="1"/>
  <c r="Z525" i="13"/>
  <c r="AD525" i="13" s="1"/>
  <c r="Z526" i="13"/>
  <c r="AD526" i="13" s="1"/>
  <c r="Z527" i="13"/>
  <c r="AD527" i="13" s="1"/>
  <c r="Z528" i="13"/>
  <c r="AD528" i="13" s="1"/>
  <c r="Z529" i="13"/>
  <c r="AD529" i="13" s="1"/>
  <c r="Z530" i="13"/>
  <c r="AD530" i="13" s="1"/>
  <c r="Z531" i="13"/>
  <c r="AD531" i="13" s="1"/>
  <c r="Z532" i="13"/>
  <c r="AD532" i="13" s="1"/>
  <c r="Z533" i="13"/>
  <c r="AD533" i="13" s="1"/>
  <c r="Z534" i="13"/>
  <c r="AD534" i="13" s="1"/>
  <c r="Z535" i="13"/>
  <c r="AD535" i="13" s="1"/>
  <c r="Z536" i="13"/>
  <c r="AD536" i="13" s="1"/>
  <c r="Z537" i="13"/>
  <c r="AD537" i="13" s="1"/>
  <c r="Z538" i="13"/>
  <c r="AD538" i="13" s="1"/>
  <c r="Z539" i="13"/>
  <c r="AD539" i="13" s="1"/>
  <c r="Z540" i="13"/>
  <c r="AD540" i="13" s="1"/>
  <c r="Z541" i="13"/>
  <c r="AD541" i="13" s="1"/>
  <c r="Z542" i="13"/>
  <c r="AD542" i="13" s="1"/>
  <c r="Z543" i="13"/>
  <c r="AD543" i="13" s="1"/>
  <c r="Z544" i="13"/>
  <c r="AD544" i="13" s="1"/>
  <c r="Z545" i="13"/>
  <c r="AD545" i="13" s="1"/>
  <c r="Z546" i="13"/>
  <c r="AD546" i="13" s="1"/>
  <c r="Z547" i="13"/>
  <c r="AD547" i="13" s="1"/>
  <c r="Z548" i="13"/>
  <c r="AD548" i="13" s="1"/>
  <c r="Z549" i="13"/>
  <c r="AD549" i="13" s="1"/>
  <c r="Z550" i="13"/>
  <c r="AD550" i="13" s="1"/>
  <c r="Z551" i="13"/>
  <c r="AD551" i="13" s="1"/>
  <c r="Z552" i="13"/>
  <c r="AD552" i="13" s="1"/>
  <c r="Z553" i="13"/>
  <c r="AD553" i="13" s="1"/>
  <c r="Z554" i="13"/>
  <c r="AD554" i="13" s="1"/>
  <c r="Z555" i="13"/>
  <c r="AD555" i="13" s="1"/>
  <c r="Z556" i="13"/>
  <c r="AD556" i="13" s="1"/>
  <c r="Z557" i="13"/>
  <c r="AD557" i="13" s="1"/>
  <c r="Z558" i="13"/>
  <c r="AD558" i="13" s="1"/>
  <c r="Z559" i="13"/>
  <c r="AD559" i="13" s="1"/>
  <c r="Z560" i="13"/>
  <c r="AD560" i="13" s="1"/>
  <c r="Z561" i="13"/>
  <c r="AD561" i="13" s="1"/>
  <c r="Z562" i="13"/>
  <c r="AD562" i="13" s="1"/>
  <c r="Z563" i="13"/>
  <c r="AD563" i="13" s="1"/>
  <c r="Z564" i="13"/>
  <c r="AD564" i="13" s="1"/>
  <c r="Z565" i="13"/>
  <c r="AD565" i="13" s="1"/>
  <c r="Z566" i="13"/>
  <c r="AD566" i="13" s="1"/>
  <c r="Z567" i="13"/>
  <c r="AD567" i="13" s="1"/>
  <c r="Z568" i="13"/>
  <c r="AD568" i="13" s="1"/>
  <c r="Z569" i="13"/>
  <c r="AD569" i="13" s="1"/>
  <c r="Z570" i="13"/>
  <c r="AD570" i="13" s="1"/>
  <c r="Z571" i="13"/>
  <c r="AD571" i="13" s="1"/>
  <c r="Z572" i="13"/>
  <c r="AD572" i="13" s="1"/>
  <c r="Z573" i="13"/>
  <c r="AD573" i="13" s="1"/>
  <c r="Z574" i="13"/>
  <c r="AD574" i="13" s="1"/>
  <c r="Z575" i="13"/>
  <c r="AD575" i="13" s="1"/>
  <c r="Z576" i="13"/>
  <c r="AD576" i="13" s="1"/>
  <c r="Z577" i="13"/>
  <c r="AD577" i="13" s="1"/>
  <c r="Z578" i="13"/>
  <c r="AD578" i="13" s="1"/>
  <c r="Z579" i="13"/>
  <c r="AD579" i="13" s="1"/>
  <c r="Z580" i="13"/>
  <c r="AD580" i="13" s="1"/>
  <c r="Z581" i="13"/>
  <c r="AD581" i="13" s="1"/>
  <c r="Z582" i="13"/>
  <c r="AD582" i="13" s="1"/>
  <c r="Z583" i="13"/>
  <c r="AD583" i="13" s="1"/>
  <c r="Z584" i="13"/>
  <c r="AD584" i="13" s="1"/>
  <c r="Z585" i="13"/>
  <c r="AD585" i="13" s="1"/>
  <c r="Z586" i="13"/>
  <c r="AD586" i="13" s="1"/>
  <c r="Z587" i="13"/>
  <c r="AD587" i="13" s="1"/>
  <c r="Z588" i="13"/>
  <c r="AD588" i="13" s="1"/>
  <c r="Z589" i="13"/>
  <c r="AD589" i="13" s="1"/>
  <c r="Z590" i="13"/>
  <c r="AD590" i="13" s="1"/>
  <c r="Z591" i="13"/>
  <c r="AD591" i="13" s="1"/>
  <c r="Z592" i="13"/>
  <c r="AD592" i="13" s="1"/>
  <c r="Z593" i="13"/>
  <c r="AD593" i="13" s="1"/>
  <c r="Z594" i="13"/>
  <c r="AD594" i="13" s="1"/>
  <c r="Z595" i="13"/>
  <c r="AD595" i="13" s="1"/>
  <c r="Z596" i="13"/>
  <c r="AD596" i="13" s="1"/>
  <c r="Z597" i="13"/>
  <c r="AD597" i="13" s="1"/>
  <c r="Z598" i="13"/>
  <c r="AD598" i="13" s="1"/>
  <c r="Z599" i="13"/>
  <c r="AD599" i="13" s="1"/>
  <c r="Z600" i="13"/>
  <c r="AD600" i="13" s="1"/>
  <c r="Z601" i="13"/>
  <c r="AD601" i="13" s="1"/>
  <c r="Z602" i="13"/>
  <c r="AD602" i="13" s="1"/>
  <c r="Z603" i="13"/>
  <c r="AD603" i="13" s="1"/>
  <c r="Z604" i="13"/>
  <c r="AD604" i="13" s="1"/>
  <c r="Z605" i="13"/>
  <c r="AD605" i="13" s="1"/>
  <c r="Z606" i="13"/>
  <c r="AD606" i="13" s="1"/>
  <c r="Z607" i="13"/>
  <c r="AD607" i="13" s="1"/>
  <c r="Z608" i="13"/>
  <c r="AD608" i="13" s="1"/>
  <c r="Z609" i="13"/>
  <c r="AD609" i="13" s="1"/>
  <c r="Z610" i="13"/>
  <c r="AD610" i="13" s="1"/>
  <c r="Z611" i="13"/>
  <c r="AD611" i="13" s="1"/>
  <c r="Z612" i="13"/>
  <c r="AD612" i="13" s="1"/>
  <c r="Z613" i="13"/>
  <c r="AD613" i="13" s="1"/>
  <c r="Z614" i="13"/>
  <c r="AD614" i="13" s="1"/>
  <c r="Z615" i="13"/>
  <c r="AD615" i="13" s="1"/>
  <c r="Z616" i="13"/>
  <c r="AD616" i="13" s="1"/>
  <c r="Z617" i="13"/>
  <c r="AD617" i="13" s="1"/>
  <c r="Z618" i="13"/>
  <c r="AD618" i="13" s="1"/>
  <c r="Z619" i="13"/>
  <c r="AD619" i="13" s="1"/>
  <c r="Z620" i="13"/>
  <c r="AD620" i="13" s="1"/>
  <c r="Z621" i="13"/>
  <c r="AD621" i="13" s="1"/>
  <c r="Z622" i="13"/>
  <c r="AD622" i="13" s="1"/>
  <c r="Z623" i="13"/>
  <c r="AD623" i="13" s="1"/>
  <c r="Z624" i="13"/>
  <c r="AD624" i="13" s="1"/>
  <c r="Z625" i="13"/>
  <c r="AD625" i="13" s="1"/>
  <c r="Z626" i="13"/>
  <c r="AD626" i="13" s="1"/>
  <c r="Z627" i="13"/>
  <c r="AD627" i="13" s="1"/>
  <c r="Z628" i="13"/>
  <c r="AD628" i="13" s="1"/>
  <c r="Z629" i="13"/>
  <c r="AD629" i="13" s="1"/>
  <c r="Z630" i="13"/>
  <c r="AD630" i="13" s="1"/>
  <c r="Z631" i="13"/>
  <c r="AD631" i="13" s="1"/>
  <c r="Z632" i="13"/>
  <c r="AD632" i="13" s="1"/>
  <c r="Z633" i="13"/>
  <c r="AD633" i="13" s="1"/>
  <c r="Z634" i="13"/>
  <c r="AD634" i="13" s="1"/>
  <c r="Z635" i="13"/>
  <c r="AD635" i="13" s="1"/>
  <c r="Z636" i="13"/>
  <c r="AD636" i="13" s="1"/>
  <c r="Z637" i="13"/>
  <c r="AD637" i="13" s="1"/>
  <c r="Z638" i="13"/>
  <c r="AD638" i="13" s="1"/>
  <c r="Z639" i="13"/>
  <c r="AD639" i="13" s="1"/>
  <c r="Z640" i="13"/>
  <c r="AD640" i="13" s="1"/>
  <c r="Z641" i="13"/>
  <c r="AD641" i="13" s="1"/>
  <c r="Z642" i="13"/>
  <c r="AD642" i="13" s="1"/>
  <c r="Z643" i="13"/>
  <c r="AD643" i="13" s="1"/>
  <c r="Z644" i="13"/>
  <c r="AD644" i="13" s="1"/>
  <c r="Z645" i="13"/>
  <c r="AD645" i="13" s="1"/>
  <c r="Z646" i="13"/>
  <c r="AD646" i="13" s="1"/>
  <c r="Z647" i="13"/>
  <c r="AD647" i="13" s="1"/>
  <c r="Z648" i="13"/>
  <c r="AD648" i="13" s="1"/>
  <c r="Z649" i="13"/>
  <c r="AD649" i="13" s="1"/>
  <c r="Z650" i="13"/>
  <c r="AD650" i="13" s="1"/>
  <c r="Z651" i="13"/>
  <c r="AD651" i="13" s="1"/>
  <c r="Z652" i="13"/>
  <c r="AD652" i="13" s="1"/>
  <c r="Z653" i="13"/>
  <c r="AD653" i="13" s="1"/>
  <c r="Z654" i="13"/>
  <c r="AD654" i="13" s="1"/>
  <c r="Z655" i="13"/>
  <c r="AD655" i="13" s="1"/>
  <c r="Z656" i="13"/>
  <c r="AD656" i="13" s="1"/>
  <c r="Z657" i="13"/>
  <c r="AD657" i="13" s="1"/>
  <c r="Z658" i="13"/>
  <c r="AD658" i="13" s="1"/>
  <c r="Z659" i="13"/>
  <c r="AD659" i="13" s="1"/>
  <c r="Z660" i="13"/>
  <c r="AD660" i="13" s="1"/>
  <c r="Z661" i="13"/>
  <c r="AD661" i="13" s="1"/>
  <c r="Z662" i="13"/>
  <c r="AD662" i="13" s="1"/>
  <c r="Z663" i="13"/>
  <c r="AD663" i="13" s="1"/>
  <c r="Z664" i="13"/>
  <c r="AD664" i="13" s="1"/>
  <c r="Z665" i="13"/>
  <c r="AD665" i="13" s="1"/>
  <c r="Z666" i="13"/>
  <c r="AD666" i="13" s="1"/>
  <c r="Z667" i="13"/>
  <c r="AD667" i="13" s="1"/>
  <c r="Z668" i="13"/>
  <c r="AD668" i="13" s="1"/>
  <c r="Z669" i="13"/>
  <c r="AD669" i="13" s="1"/>
  <c r="Z670" i="13"/>
  <c r="AD670" i="13" s="1"/>
  <c r="Z671" i="13"/>
  <c r="AD671" i="13" s="1"/>
  <c r="Z672" i="13"/>
  <c r="AD672" i="13" s="1"/>
  <c r="Z673" i="13"/>
  <c r="AD673" i="13" s="1"/>
  <c r="Z674" i="13"/>
  <c r="AD674" i="13" s="1"/>
  <c r="Z675" i="13"/>
  <c r="AD675" i="13" s="1"/>
  <c r="Z676" i="13"/>
  <c r="AD676" i="13" s="1"/>
  <c r="Z677" i="13"/>
  <c r="AD677" i="13" s="1"/>
  <c r="Z678" i="13"/>
  <c r="AD678" i="13" s="1"/>
  <c r="Z679" i="13"/>
  <c r="AD679" i="13" s="1"/>
  <c r="Z680" i="13"/>
  <c r="AD680" i="13" s="1"/>
  <c r="Z681" i="13"/>
  <c r="AD681" i="13" s="1"/>
  <c r="Z682" i="13"/>
  <c r="AD682" i="13" s="1"/>
  <c r="Z683" i="13"/>
  <c r="AD683" i="13" s="1"/>
  <c r="Z684" i="13"/>
  <c r="AD684" i="13" s="1"/>
  <c r="Z685" i="13"/>
  <c r="AD685" i="13" s="1"/>
  <c r="Z686" i="13"/>
  <c r="AD686" i="13" s="1"/>
  <c r="Z687" i="13"/>
  <c r="AD687" i="13" s="1"/>
  <c r="Z688" i="13"/>
  <c r="AD688" i="13" s="1"/>
  <c r="Z689" i="13"/>
  <c r="AD689" i="13" s="1"/>
  <c r="Z690" i="13"/>
  <c r="AD690" i="13" s="1"/>
  <c r="Z691" i="13"/>
  <c r="AD691" i="13" s="1"/>
  <c r="Z692" i="13"/>
  <c r="AD692" i="13" s="1"/>
  <c r="Z693" i="13"/>
  <c r="AD693" i="13" s="1"/>
  <c r="Z694" i="13"/>
  <c r="AD694" i="13" s="1"/>
  <c r="Z695" i="13"/>
  <c r="AD695" i="13" s="1"/>
  <c r="Z696" i="13"/>
  <c r="AD696" i="13" s="1"/>
  <c r="Z697" i="13"/>
  <c r="AD697" i="13" s="1"/>
  <c r="Z698" i="13"/>
  <c r="AD698" i="13" s="1"/>
  <c r="Z699" i="13"/>
  <c r="AD699" i="13" s="1"/>
  <c r="Z700" i="13"/>
  <c r="AD700" i="13" s="1"/>
  <c r="Z701" i="13"/>
  <c r="AD701" i="13" s="1"/>
  <c r="Z702" i="13"/>
  <c r="AD702" i="13" s="1"/>
  <c r="Z703" i="13"/>
  <c r="AD703" i="13" s="1"/>
  <c r="Z704" i="13"/>
  <c r="AD704" i="13" s="1"/>
  <c r="Z705" i="13"/>
  <c r="AD705" i="13" s="1"/>
  <c r="Z706" i="13"/>
  <c r="AD706" i="13" s="1"/>
  <c r="Z707" i="13"/>
  <c r="AD707" i="13" s="1"/>
  <c r="Z708" i="13"/>
  <c r="AD708" i="13" s="1"/>
  <c r="Z709" i="13"/>
  <c r="AD709" i="13" s="1"/>
  <c r="Z710" i="13"/>
  <c r="AD710" i="13" s="1"/>
  <c r="Z711" i="13"/>
  <c r="AD711" i="13" s="1"/>
  <c r="Z712" i="13"/>
  <c r="AD712" i="13" s="1"/>
  <c r="Z713" i="13"/>
  <c r="AD713" i="13" s="1"/>
  <c r="Z714" i="13"/>
  <c r="AD714" i="13" s="1"/>
  <c r="Z715" i="13"/>
  <c r="AD715" i="13" s="1"/>
  <c r="Z716" i="13"/>
  <c r="AD716" i="13" s="1"/>
  <c r="Z717" i="13"/>
  <c r="AD717" i="13" s="1"/>
  <c r="Z718" i="13"/>
  <c r="AD718" i="13" s="1"/>
  <c r="Z719" i="13"/>
  <c r="AD719" i="13" s="1"/>
  <c r="Z720" i="13"/>
  <c r="AD720" i="13" s="1"/>
  <c r="Z721" i="13"/>
  <c r="AD721" i="13" s="1"/>
  <c r="Y2" i="13"/>
  <c r="Y3" i="13"/>
  <c r="Y4" i="13"/>
  <c r="Y5" i="13"/>
  <c r="Y6" i="13"/>
  <c r="Y7" i="13"/>
  <c r="Y8" i="13"/>
  <c r="Y9" i="13"/>
  <c r="Y10" i="13"/>
  <c r="Y11" i="13"/>
  <c r="Y12" i="13"/>
  <c r="Y13" i="13"/>
  <c r="Y14" i="13"/>
  <c r="Y15" i="13"/>
  <c r="Y16" i="13"/>
  <c r="Y17" i="13"/>
  <c r="Y18" i="13"/>
  <c r="Y19" i="13"/>
  <c r="Y20" i="13"/>
  <c r="Y21" i="13"/>
  <c r="Y22" i="13"/>
  <c r="Y23" i="13"/>
  <c r="Y24" i="13"/>
  <c r="Y25" i="13"/>
  <c r="Y26" i="13"/>
  <c r="Y27" i="13"/>
  <c r="Y28" i="13"/>
  <c r="Y29" i="13"/>
  <c r="Y30" i="13"/>
  <c r="Y31" i="13"/>
  <c r="Y32" i="13"/>
  <c r="Y33" i="13"/>
  <c r="Y34" i="13"/>
  <c r="Y35" i="13"/>
  <c r="Y36" i="13"/>
  <c r="Y37" i="13"/>
  <c r="Y38" i="13"/>
  <c r="Y39" i="13"/>
  <c r="Y40" i="13"/>
  <c r="Y41" i="13"/>
  <c r="Y42" i="13"/>
  <c r="Y43" i="13"/>
  <c r="Y44" i="13"/>
  <c r="Y45" i="13"/>
  <c r="Y46" i="13"/>
  <c r="Y47" i="13"/>
  <c r="Y48" i="13"/>
  <c r="Y49" i="13"/>
  <c r="Y50" i="13"/>
  <c r="Y51" i="13"/>
  <c r="Y52" i="13"/>
  <c r="Y53" i="13"/>
  <c r="Y54" i="13"/>
  <c r="Y55" i="13"/>
  <c r="Y56" i="13"/>
  <c r="Y57" i="13"/>
  <c r="Y58" i="13"/>
  <c r="Y59" i="13"/>
  <c r="Y60" i="13"/>
  <c r="Y61" i="13"/>
  <c r="Y62" i="13"/>
  <c r="Y63" i="13"/>
  <c r="Y64" i="13"/>
  <c r="Y65" i="13"/>
  <c r="Y66" i="13"/>
  <c r="Y67" i="13"/>
  <c r="Y68" i="13"/>
  <c r="Y69" i="13"/>
  <c r="Y70" i="13"/>
  <c r="Y71" i="13"/>
  <c r="Y72" i="13"/>
  <c r="Y73" i="13"/>
  <c r="Y74" i="13"/>
  <c r="Y75" i="13"/>
  <c r="Y76" i="13"/>
  <c r="Y77" i="13"/>
  <c r="Y78" i="13"/>
  <c r="Y79" i="13"/>
  <c r="Y80" i="13"/>
  <c r="Y81" i="13"/>
  <c r="Y82" i="13"/>
  <c r="Y83" i="13"/>
  <c r="Y84" i="13"/>
  <c r="Y85" i="13"/>
  <c r="Y86" i="13"/>
  <c r="Y87" i="13"/>
  <c r="Y88" i="13"/>
  <c r="Y89" i="13"/>
  <c r="Y90" i="13"/>
  <c r="Y91" i="13"/>
  <c r="Y92" i="13"/>
  <c r="Y93" i="13"/>
  <c r="Y94" i="13"/>
  <c r="Y95" i="13"/>
  <c r="Y96" i="13"/>
  <c r="Y97" i="13"/>
  <c r="Y98" i="13"/>
  <c r="Y99" i="13"/>
  <c r="Y100" i="13"/>
  <c r="Y101" i="13"/>
  <c r="Y102" i="13"/>
  <c r="Y103" i="13"/>
  <c r="Y104" i="13"/>
  <c r="Y105" i="13"/>
  <c r="Y106" i="13"/>
  <c r="Y107" i="13"/>
  <c r="Y108" i="13"/>
  <c r="Y109" i="13"/>
  <c r="Y110" i="13"/>
  <c r="Y111" i="13"/>
  <c r="Y112" i="13"/>
  <c r="Y113" i="13"/>
  <c r="Y114" i="13"/>
  <c r="Y115" i="13"/>
  <c r="Y116" i="13"/>
  <c r="Y117" i="13"/>
  <c r="Y118" i="13"/>
  <c r="Y119" i="13"/>
  <c r="Y120" i="13"/>
  <c r="Y121" i="13"/>
  <c r="Y122" i="13"/>
  <c r="Y123" i="13"/>
  <c r="Y124" i="13"/>
  <c r="Y125" i="13"/>
  <c r="Y126" i="13"/>
  <c r="Y127" i="13"/>
  <c r="Y128" i="13"/>
  <c r="Y129" i="13"/>
  <c r="Y130" i="13"/>
  <c r="Y131" i="13"/>
  <c r="Y132" i="13"/>
  <c r="Y133" i="13"/>
  <c r="Y134" i="13"/>
  <c r="Y135" i="13"/>
  <c r="Y136" i="13"/>
  <c r="Y137" i="13"/>
  <c r="Y138" i="13"/>
  <c r="Y139" i="13"/>
  <c r="Y140" i="13"/>
  <c r="Y141" i="13"/>
  <c r="Y142" i="13"/>
  <c r="Y143" i="13"/>
  <c r="Y144" i="13"/>
  <c r="Y145" i="13"/>
  <c r="Y146" i="13"/>
  <c r="Y147" i="13"/>
  <c r="Y148" i="13"/>
  <c r="Y149" i="13"/>
  <c r="Y150" i="13"/>
  <c r="Y151" i="13"/>
  <c r="Y152" i="13"/>
  <c r="Y153" i="13"/>
  <c r="Y154" i="13"/>
  <c r="Y155" i="13"/>
  <c r="Y156" i="13"/>
  <c r="Y157" i="13"/>
  <c r="Y158" i="13"/>
  <c r="Y159" i="13"/>
  <c r="Y160" i="13"/>
  <c r="Y161" i="13"/>
  <c r="Y162" i="13"/>
  <c r="Y163" i="13"/>
  <c r="Y164" i="13"/>
  <c r="Y165" i="13"/>
  <c r="Y166" i="13"/>
  <c r="Y167" i="13"/>
  <c r="Y168" i="13"/>
  <c r="Y169" i="13"/>
  <c r="Y170" i="13"/>
  <c r="Y171" i="13"/>
  <c r="Y172" i="13"/>
  <c r="Y173" i="13"/>
  <c r="Y174" i="13"/>
  <c r="Y175" i="13"/>
  <c r="Y176" i="13"/>
  <c r="Y177" i="13"/>
  <c r="Y178" i="13"/>
  <c r="Y179" i="13"/>
  <c r="Y180" i="13"/>
  <c r="Y181" i="13"/>
  <c r="Y182" i="13"/>
  <c r="Y183" i="13"/>
  <c r="Y184" i="13"/>
  <c r="Y185" i="13"/>
  <c r="Y186" i="13"/>
  <c r="Y187" i="13"/>
  <c r="Y188" i="13"/>
  <c r="Y189" i="13"/>
  <c r="Y190" i="13"/>
  <c r="Y191" i="13"/>
  <c r="Y192" i="13"/>
  <c r="Y193" i="13"/>
  <c r="Y194" i="13"/>
  <c r="Y195" i="13"/>
  <c r="Y196" i="13"/>
  <c r="Y197" i="13"/>
  <c r="Y198" i="13"/>
  <c r="Y199" i="13"/>
  <c r="Y200" i="13"/>
  <c r="Y201" i="13"/>
  <c r="Y202" i="13"/>
  <c r="Y203" i="13"/>
  <c r="Y204" i="13"/>
  <c r="Y205" i="13"/>
  <c r="Y206" i="13"/>
  <c r="Y207" i="13"/>
  <c r="Y208" i="13"/>
  <c r="Y209" i="13"/>
  <c r="Y210" i="13"/>
  <c r="Y211" i="13"/>
  <c r="Y212" i="13"/>
  <c r="Y213" i="13"/>
  <c r="Y214" i="13"/>
  <c r="Y215" i="13"/>
  <c r="Y216" i="13"/>
  <c r="Y217" i="13"/>
  <c r="Y218" i="13"/>
  <c r="Y219" i="13"/>
  <c r="Y220" i="13"/>
  <c r="Y221" i="13"/>
  <c r="Y222" i="13"/>
  <c r="Y223" i="13"/>
  <c r="Y224" i="13"/>
  <c r="Y225" i="13"/>
  <c r="Y226" i="13"/>
  <c r="Y227" i="13"/>
  <c r="Y228" i="13"/>
  <c r="Y229" i="13"/>
  <c r="Y230" i="13"/>
  <c r="Y231" i="13"/>
  <c r="Y232" i="13"/>
  <c r="Y233" i="13"/>
  <c r="Y234" i="13"/>
  <c r="Y235" i="13"/>
  <c r="Y236" i="13"/>
  <c r="Y237" i="13"/>
  <c r="Y238" i="13"/>
  <c r="Y239" i="13"/>
  <c r="Y240" i="13"/>
  <c r="Y241" i="13"/>
  <c r="Y242" i="13"/>
  <c r="Y243" i="13"/>
  <c r="Y244" i="13"/>
  <c r="Y245" i="13"/>
  <c r="Y246" i="13"/>
  <c r="Y247" i="13"/>
  <c r="Y248" i="13"/>
  <c r="Y249" i="13"/>
  <c r="Y250" i="13"/>
  <c r="Y251" i="13"/>
  <c r="Y252" i="13"/>
  <c r="Y253" i="13"/>
  <c r="Y254" i="13"/>
  <c r="Y255" i="13"/>
  <c r="Y256" i="13"/>
  <c r="Y257" i="13"/>
  <c r="Y258" i="13"/>
  <c r="Y259" i="13"/>
  <c r="Y260" i="13"/>
  <c r="Y261" i="13"/>
  <c r="Y262" i="13"/>
  <c r="Y263" i="13"/>
  <c r="Y264" i="13"/>
  <c r="Y265" i="13"/>
  <c r="Y266" i="13"/>
  <c r="Y267" i="13"/>
  <c r="Y268" i="13"/>
  <c r="Y269" i="13"/>
  <c r="Y270" i="13"/>
  <c r="Y271" i="13"/>
  <c r="Y272" i="13"/>
  <c r="Y273" i="13"/>
  <c r="Y274" i="13"/>
  <c r="Y275" i="13"/>
  <c r="Y276" i="13"/>
  <c r="Y277" i="13"/>
  <c r="Y278" i="13"/>
  <c r="Y279" i="13"/>
  <c r="Y280" i="13"/>
  <c r="Y281" i="13"/>
  <c r="Y282" i="13"/>
  <c r="Y283" i="13"/>
  <c r="Y284" i="13"/>
  <c r="Y285" i="13"/>
  <c r="Y286" i="13"/>
  <c r="Y287" i="13"/>
  <c r="Y288" i="13"/>
  <c r="Y289" i="13"/>
  <c r="Y290" i="13"/>
  <c r="Y291" i="13"/>
  <c r="Y292" i="13"/>
  <c r="Y293" i="13"/>
  <c r="Y294" i="13"/>
  <c r="Y295" i="13"/>
  <c r="Y296" i="13"/>
  <c r="Y297" i="13"/>
  <c r="Y298" i="13"/>
  <c r="Y299" i="13"/>
  <c r="Y300" i="13"/>
  <c r="Y301" i="13"/>
  <c r="Y302" i="13"/>
  <c r="Y303" i="13"/>
  <c r="Y304" i="13"/>
  <c r="Y305" i="13"/>
  <c r="Y306" i="13"/>
  <c r="Y307" i="13"/>
  <c r="Y308" i="13"/>
  <c r="Y309" i="13"/>
  <c r="Y310" i="13"/>
  <c r="Y311" i="13"/>
  <c r="Y312" i="13"/>
  <c r="Y313" i="13"/>
  <c r="Y314" i="13"/>
  <c r="Y315" i="13"/>
  <c r="Y316" i="13"/>
  <c r="Y317" i="13"/>
  <c r="Y318" i="13"/>
  <c r="Y319" i="13"/>
  <c r="Y320" i="13"/>
  <c r="Y321" i="13"/>
  <c r="Y322" i="13"/>
  <c r="Y323" i="13"/>
  <c r="Y324" i="13"/>
  <c r="Y325" i="13"/>
  <c r="Y326" i="13"/>
  <c r="Y327" i="13"/>
  <c r="Y328" i="13"/>
  <c r="Y329" i="13"/>
  <c r="Y330" i="13"/>
  <c r="Y331" i="13"/>
  <c r="Y332" i="13"/>
  <c r="Y333" i="13"/>
  <c r="Y334" i="13"/>
  <c r="Y335" i="13"/>
  <c r="Y336" i="13"/>
  <c r="Y337" i="13"/>
  <c r="Y338" i="13"/>
  <c r="Y339" i="13"/>
  <c r="Y340" i="13"/>
  <c r="Y341" i="13"/>
  <c r="Y342" i="13"/>
  <c r="Y343" i="13"/>
  <c r="Y344" i="13"/>
  <c r="Y345" i="13"/>
  <c r="Y346" i="13"/>
  <c r="Y347" i="13"/>
  <c r="Y348" i="13"/>
  <c r="Y349" i="13"/>
  <c r="Y350" i="13"/>
  <c r="Y351" i="13"/>
  <c r="Y352" i="13"/>
  <c r="Y353" i="13"/>
  <c r="Y354" i="13"/>
  <c r="Y355" i="13"/>
  <c r="Y356" i="13"/>
  <c r="Y357" i="13"/>
  <c r="Y358" i="13"/>
  <c r="Y359" i="13"/>
  <c r="Y360" i="13"/>
  <c r="Y361" i="13"/>
  <c r="Y362" i="13"/>
  <c r="Y363" i="13"/>
  <c r="Y364" i="13"/>
  <c r="Y365" i="13"/>
  <c r="Y366" i="13"/>
  <c r="Y367" i="13"/>
  <c r="Y368" i="13"/>
  <c r="Y369" i="13"/>
  <c r="Y370" i="13"/>
  <c r="Y371" i="13"/>
  <c r="Y372" i="13"/>
  <c r="Y373" i="13"/>
  <c r="Y374" i="13"/>
  <c r="Y375" i="13"/>
  <c r="Y376" i="13"/>
  <c r="Y377" i="13"/>
  <c r="Y378" i="13"/>
  <c r="Y379" i="13"/>
  <c r="Y380" i="13"/>
  <c r="Y381" i="13"/>
  <c r="Y382" i="13"/>
  <c r="Y383" i="13"/>
  <c r="Y384" i="13"/>
  <c r="Y385" i="13"/>
  <c r="Y386" i="13"/>
  <c r="Y387" i="13"/>
  <c r="Y388" i="13"/>
  <c r="Y389" i="13"/>
  <c r="Y390" i="13"/>
  <c r="Y391" i="13"/>
  <c r="Y392" i="13"/>
  <c r="Y393" i="13"/>
  <c r="Y394" i="13"/>
  <c r="Y395" i="13"/>
  <c r="Y396" i="13"/>
  <c r="Y397" i="13"/>
  <c r="Y398" i="13"/>
  <c r="Y399" i="13"/>
  <c r="Y400" i="13"/>
  <c r="Y401" i="13"/>
  <c r="Y402" i="13"/>
  <c r="Y403" i="13"/>
  <c r="Y404" i="13"/>
  <c r="Y405" i="13"/>
  <c r="Y406" i="13"/>
  <c r="Y407" i="13"/>
  <c r="Y408" i="13"/>
  <c r="Y409" i="13"/>
  <c r="Y410" i="13"/>
  <c r="Y411" i="13"/>
  <c r="Y412" i="13"/>
  <c r="Y413" i="13"/>
  <c r="Y414" i="13"/>
  <c r="Y415" i="13"/>
  <c r="Y416" i="13"/>
  <c r="Y417" i="13"/>
  <c r="Y418" i="13"/>
  <c r="Y419" i="13"/>
  <c r="Y420" i="13"/>
  <c r="Y421" i="13"/>
  <c r="Y422" i="13"/>
  <c r="Y423" i="13"/>
  <c r="Y424" i="13"/>
  <c r="Y425" i="13"/>
  <c r="Y426" i="13"/>
  <c r="Y427" i="13"/>
  <c r="Y428" i="13"/>
  <c r="Y429" i="13"/>
  <c r="Y430" i="13"/>
  <c r="Y431" i="13"/>
  <c r="Y432" i="13"/>
  <c r="Y433" i="13"/>
  <c r="Y434" i="13"/>
  <c r="Y435" i="13"/>
  <c r="Y436" i="13"/>
  <c r="Y437" i="13"/>
  <c r="Y438" i="13"/>
  <c r="Y439" i="13"/>
  <c r="Y440" i="13"/>
  <c r="Y441" i="13"/>
  <c r="Y442" i="13"/>
  <c r="Y443" i="13"/>
  <c r="Y444" i="13"/>
  <c r="Y445" i="13"/>
  <c r="Y446" i="13"/>
  <c r="Y447" i="13"/>
  <c r="Y448" i="13"/>
  <c r="Y449" i="13"/>
  <c r="Y450" i="13"/>
  <c r="Y451" i="13"/>
  <c r="Y452" i="13"/>
  <c r="Y453" i="13"/>
  <c r="Y454" i="13"/>
  <c r="Y455" i="13"/>
  <c r="Y456" i="13"/>
  <c r="Y457" i="13"/>
  <c r="Y458" i="13"/>
  <c r="Y459" i="13"/>
  <c r="Y460" i="13"/>
  <c r="Y461" i="13"/>
  <c r="Y462" i="13"/>
  <c r="Y463" i="13"/>
  <c r="Y464" i="13"/>
  <c r="Y465" i="13"/>
  <c r="Y466" i="13"/>
  <c r="Y467" i="13"/>
  <c r="Y468" i="13"/>
  <c r="Y469" i="13"/>
  <c r="Y470" i="13"/>
  <c r="Y471" i="13"/>
  <c r="Y472" i="13"/>
  <c r="Y473" i="13"/>
  <c r="Y474" i="13"/>
  <c r="Y475" i="13"/>
  <c r="Y476" i="13"/>
  <c r="Y477" i="13"/>
  <c r="Y478" i="13"/>
  <c r="Y479" i="13"/>
  <c r="Y480" i="13"/>
  <c r="Y481" i="13"/>
  <c r="Y482" i="13"/>
  <c r="Y483" i="13"/>
  <c r="Y484" i="13"/>
  <c r="Y485" i="13"/>
  <c r="Y486" i="13"/>
  <c r="Y487" i="13"/>
  <c r="Y488" i="13"/>
  <c r="Y489" i="13"/>
  <c r="Y490" i="13"/>
  <c r="Y491" i="13"/>
  <c r="Y492" i="13"/>
  <c r="Y493" i="13"/>
  <c r="Y494" i="13"/>
  <c r="Y495" i="13"/>
  <c r="Y496" i="13"/>
  <c r="Y497" i="13"/>
  <c r="Y498" i="13"/>
  <c r="Y499" i="13"/>
  <c r="Y500" i="13"/>
  <c r="Y501" i="13"/>
  <c r="Y502" i="13"/>
  <c r="Y503" i="13"/>
  <c r="Y504" i="13"/>
  <c r="Y505" i="13"/>
  <c r="Y506" i="13"/>
  <c r="Y507" i="13"/>
  <c r="Y508" i="13"/>
  <c r="Y509" i="13"/>
  <c r="Y510" i="13"/>
  <c r="Y511" i="13"/>
  <c r="Y512" i="13"/>
  <c r="Y513" i="13"/>
  <c r="Y514" i="13"/>
  <c r="Y515" i="13"/>
  <c r="Y516" i="13"/>
  <c r="Y517" i="13"/>
  <c r="Y518" i="13"/>
  <c r="Y519" i="13"/>
  <c r="Y520" i="13"/>
  <c r="Y521" i="13"/>
  <c r="Y522" i="13"/>
  <c r="Y523" i="13"/>
  <c r="Y524" i="13"/>
  <c r="Y525" i="13"/>
  <c r="Y526" i="13"/>
  <c r="Y527" i="13"/>
  <c r="Y528" i="13"/>
  <c r="Y529" i="13"/>
  <c r="Y530" i="13"/>
  <c r="Y531" i="13"/>
  <c r="Y532" i="13"/>
  <c r="Y533" i="13"/>
  <c r="Y534" i="13"/>
  <c r="Y535" i="13"/>
  <c r="Y536" i="13"/>
  <c r="Y537" i="13"/>
  <c r="Y538" i="13"/>
  <c r="Y539" i="13"/>
  <c r="Y540" i="13"/>
  <c r="Y541" i="13"/>
  <c r="Y542" i="13"/>
  <c r="Y543" i="13"/>
  <c r="Y544" i="13"/>
  <c r="Y545" i="13"/>
  <c r="Y546" i="13"/>
  <c r="Y547" i="13"/>
  <c r="Y548" i="13"/>
  <c r="Y549" i="13"/>
  <c r="Y550" i="13"/>
  <c r="Y551" i="13"/>
  <c r="Y552" i="13"/>
  <c r="Y553" i="13"/>
  <c r="Y554" i="13"/>
  <c r="Y555" i="13"/>
  <c r="Y556" i="13"/>
  <c r="Y557" i="13"/>
  <c r="Y558" i="13"/>
  <c r="Y559" i="13"/>
  <c r="Y560" i="13"/>
  <c r="Y561" i="13"/>
  <c r="Y562" i="13"/>
  <c r="Y563" i="13"/>
  <c r="Y564" i="13"/>
  <c r="Y565" i="13"/>
  <c r="Y566" i="13"/>
  <c r="Y567" i="13"/>
  <c r="Y568" i="13"/>
  <c r="Y569" i="13"/>
  <c r="Y570" i="13"/>
  <c r="Y571" i="13"/>
  <c r="Y572" i="13"/>
  <c r="Y573" i="13"/>
  <c r="Y574" i="13"/>
  <c r="Y575" i="13"/>
  <c r="Y576" i="13"/>
  <c r="Y577" i="13"/>
  <c r="Y578" i="13"/>
  <c r="Y579" i="13"/>
  <c r="Y580" i="13"/>
  <c r="Y581" i="13"/>
  <c r="Y582" i="13"/>
  <c r="Y583" i="13"/>
  <c r="Y584" i="13"/>
  <c r="Y585" i="13"/>
  <c r="Y586" i="13"/>
  <c r="Y587" i="13"/>
  <c r="Y588" i="13"/>
  <c r="Y589" i="13"/>
  <c r="Y590" i="13"/>
  <c r="Y591" i="13"/>
  <c r="Y592" i="13"/>
  <c r="Y593" i="13"/>
  <c r="Y594" i="13"/>
  <c r="Y595" i="13"/>
  <c r="Y596" i="13"/>
  <c r="Y597" i="13"/>
  <c r="Y598" i="13"/>
  <c r="Y599" i="13"/>
  <c r="Y600" i="13"/>
  <c r="Y601" i="13"/>
  <c r="Y602" i="13"/>
  <c r="Y603" i="13"/>
  <c r="Y604" i="13"/>
  <c r="Y605" i="13"/>
  <c r="Y606" i="13"/>
  <c r="Y607" i="13"/>
  <c r="Y608" i="13"/>
  <c r="Y609" i="13"/>
  <c r="Y610" i="13"/>
  <c r="Y611" i="13"/>
  <c r="Y612" i="13"/>
  <c r="Y613" i="13"/>
  <c r="Y614" i="13"/>
  <c r="Y615" i="13"/>
  <c r="Y616" i="13"/>
  <c r="Y617" i="13"/>
  <c r="Y618" i="13"/>
  <c r="Y619" i="13"/>
  <c r="Y620" i="13"/>
  <c r="Y621" i="13"/>
  <c r="Y622" i="13"/>
  <c r="Y623" i="13"/>
  <c r="Y624" i="13"/>
  <c r="Y625" i="13"/>
  <c r="Y626" i="13"/>
  <c r="Y627" i="13"/>
  <c r="Y628" i="13"/>
  <c r="Y629" i="13"/>
  <c r="Y630" i="13"/>
  <c r="Y631" i="13"/>
  <c r="Y632" i="13"/>
  <c r="Y633" i="13"/>
  <c r="Y634" i="13"/>
  <c r="Y635" i="13"/>
  <c r="Y636" i="13"/>
  <c r="Y637" i="13"/>
  <c r="Y638" i="13"/>
  <c r="Y639" i="13"/>
  <c r="Y640" i="13"/>
  <c r="Y641" i="13"/>
  <c r="Y642" i="13"/>
  <c r="Y643" i="13"/>
  <c r="Y644" i="13"/>
  <c r="Y645" i="13"/>
  <c r="Y646" i="13"/>
  <c r="Y647" i="13"/>
  <c r="Y648" i="13"/>
  <c r="Y649" i="13"/>
  <c r="Y650" i="13"/>
  <c r="Y651" i="13"/>
  <c r="Y652" i="13"/>
  <c r="Y653" i="13"/>
  <c r="Y654" i="13"/>
  <c r="Y655" i="13"/>
  <c r="Y656" i="13"/>
  <c r="Y657" i="13"/>
  <c r="Y658" i="13"/>
  <c r="Y659" i="13"/>
  <c r="Y660" i="13"/>
  <c r="Y661" i="13"/>
  <c r="Y662" i="13"/>
  <c r="Y663" i="13"/>
  <c r="Y664" i="13"/>
  <c r="Y665" i="13"/>
  <c r="Y666" i="13"/>
  <c r="Y667" i="13"/>
  <c r="Y668" i="13"/>
  <c r="Y669" i="13"/>
  <c r="Y670" i="13"/>
  <c r="Y671" i="13"/>
  <c r="Y672" i="13"/>
  <c r="Y673" i="13"/>
  <c r="Y674" i="13"/>
  <c r="Y675" i="13"/>
  <c r="Y676" i="13"/>
  <c r="Y677" i="13"/>
  <c r="Y678" i="13"/>
  <c r="Y679" i="13"/>
  <c r="Y680" i="13"/>
  <c r="Y681" i="13"/>
  <c r="Y682" i="13"/>
  <c r="Y683" i="13"/>
  <c r="Y684" i="13"/>
  <c r="Y685" i="13"/>
  <c r="Y686" i="13"/>
  <c r="Y687" i="13"/>
  <c r="Y688" i="13"/>
  <c r="Y689" i="13"/>
  <c r="Y690" i="13"/>
  <c r="Y691" i="13"/>
  <c r="Y692" i="13"/>
  <c r="Y693" i="13"/>
  <c r="Y694" i="13"/>
  <c r="Y695" i="13"/>
  <c r="Y696" i="13"/>
  <c r="Y697" i="13"/>
  <c r="Y698" i="13"/>
  <c r="Y699" i="13"/>
  <c r="Y700" i="13"/>
  <c r="Y701" i="13"/>
  <c r="Y702" i="13"/>
  <c r="Y703" i="13"/>
  <c r="Y704" i="13"/>
  <c r="Y705" i="13"/>
  <c r="Y706" i="13"/>
  <c r="Y707" i="13"/>
  <c r="Y708" i="13"/>
  <c r="Y709" i="13"/>
  <c r="Y710" i="13"/>
  <c r="Y711" i="13"/>
  <c r="Y712" i="13"/>
  <c r="Y713" i="13"/>
  <c r="Y714" i="13"/>
  <c r="Y715" i="13"/>
  <c r="Y716" i="13"/>
  <c r="Y717" i="13"/>
  <c r="Y718" i="13"/>
  <c r="Y719" i="13"/>
  <c r="Y720" i="13"/>
  <c r="Y721" i="13"/>
  <c r="X2" i="13"/>
  <c r="X3" i="13"/>
  <c r="X4" i="13"/>
  <c r="X5" i="13"/>
  <c r="X6" i="13"/>
  <c r="X7" i="13"/>
  <c r="X8" i="13"/>
  <c r="X9" i="13"/>
  <c r="X10" i="13"/>
  <c r="X11" i="13"/>
  <c r="X12" i="13"/>
  <c r="X13" i="13"/>
  <c r="X14" i="13"/>
  <c r="X15" i="13"/>
  <c r="X16" i="13"/>
  <c r="X17" i="13"/>
  <c r="X18" i="13"/>
  <c r="X19" i="13"/>
  <c r="X20" i="13"/>
  <c r="X21" i="13"/>
  <c r="X22" i="13"/>
  <c r="X23" i="13"/>
  <c r="X24" i="13"/>
  <c r="X25" i="13"/>
  <c r="X26" i="13"/>
  <c r="X27" i="13"/>
  <c r="X28" i="13"/>
  <c r="X29" i="13"/>
  <c r="X30" i="13"/>
  <c r="X31" i="13"/>
  <c r="X32" i="13"/>
  <c r="X33" i="13"/>
  <c r="X34" i="13"/>
  <c r="X35" i="13"/>
  <c r="X36" i="13"/>
  <c r="X37" i="13"/>
  <c r="X38" i="13"/>
  <c r="X39" i="13"/>
  <c r="X40" i="13"/>
  <c r="X41" i="13"/>
  <c r="X42" i="13"/>
  <c r="X43" i="13"/>
  <c r="X44" i="13"/>
  <c r="X45" i="13"/>
  <c r="X46" i="13"/>
  <c r="X47" i="13"/>
  <c r="X48" i="13"/>
  <c r="X49" i="13"/>
  <c r="X50" i="13"/>
  <c r="X51" i="13"/>
  <c r="X52" i="13"/>
  <c r="X53" i="13"/>
  <c r="X54" i="13"/>
  <c r="X55" i="13"/>
  <c r="X56" i="13"/>
  <c r="X57" i="13"/>
  <c r="X58" i="13"/>
  <c r="X59" i="13"/>
  <c r="X60" i="13"/>
  <c r="X61" i="13"/>
  <c r="X62" i="13"/>
  <c r="X63" i="13"/>
  <c r="X64" i="13"/>
  <c r="X65" i="13"/>
  <c r="X66" i="13"/>
  <c r="X67" i="13"/>
  <c r="X68" i="13"/>
  <c r="X69" i="13"/>
  <c r="X70" i="13"/>
  <c r="X71" i="13"/>
  <c r="X72" i="13"/>
  <c r="X73" i="13"/>
  <c r="X74" i="13"/>
  <c r="X75" i="13"/>
  <c r="X76" i="13"/>
  <c r="X77" i="13"/>
  <c r="X78" i="13"/>
  <c r="X79" i="13"/>
  <c r="X80" i="13"/>
  <c r="X81" i="13"/>
  <c r="X82" i="13"/>
  <c r="X83" i="13"/>
  <c r="X84" i="13"/>
  <c r="X85" i="13"/>
  <c r="X86" i="13"/>
  <c r="X87" i="13"/>
  <c r="X88" i="13"/>
  <c r="X89" i="13"/>
  <c r="X90" i="13"/>
  <c r="X91" i="13"/>
  <c r="X92" i="13"/>
  <c r="X93" i="13"/>
  <c r="X94" i="13"/>
  <c r="X95" i="13"/>
  <c r="X96" i="13"/>
  <c r="X97" i="13"/>
  <c r="X98" i="13"/>
  <c r="X99" i="13"/>
  <c r="X100" i="13"/>
  <c r="X101" i="13"/>
  <c r="X102" i="13"/>
  <c r="X103" i="13"/>
  <c r="X104" i="13"/>
  <c r="X105" i="13"/>
  <c r="X106" i="13"/>
  <c r="X107" i="13"/>
  <c r="X108" i="13"/>
  <c r="X109" i="13"/>
  <c r="X110" i="13"/>
  <c r="X111" i="13"/>
  <c r="X112" i="13"/>
  <c r="X113" i="13"/>
  <c r="X114" i="13"/>
  <c r="X115" i="13"/>
  <c r="X116" i="13"/>
  <c r="X117" i="13"/>
  <c r="X118" i="13"/>
  <c r="X119" i="13"/>
  <c r="X120" i="13"/>
  <c r="X121" i="13"/>
  <c r="X122" i="13"/>
  <c r="X123" i="13"/>
  <c r="X124" i="13"/>
  <c r="X125" i="13"/>
  <c r="X126" i="13"/>
  <c r="X127" i="13"/>
  <c r="X128" i="13"/>
  <c r="X129" i="13"/>
  <c r="X130" i="13"/>
  <c r="X131" i="13"/>
  <c r="X132" i="13"/>
  <c r="X133" i="13"/>
  <c r="X134" i="13"/>
  <c r="X135" i="13"/>
  <c r="X136" i="13"/>
  <c r="X137" i="13"/>
  <c r="X138" i="13"/>
  <c r="X139" i="13"/>
  <c r="X140" i="13"/>
  <c r="X141" i="13"/>
  <c r="X142" i="13"/>
  <c r="X143" i="13"/>
  <c r="X144" i="13"/>
  <c r="X145" i="13"/>
  <c r="X146" i="13"/>
  <c r="X147" i="13"/>
  <c r="X148" i="13"/>
  <c r="X149" i="13"/>
  <c r="X150" i="13"/>
  <c r="X151" i="13"/>
  <c r="X152" i="13"/>
  <c r="X153" i="13"/>
  <c r="X154" i="13"/>
  <c r="X155" i="13"/>
  <c r="X156" i="13"/>
  <c r="X157" i="13"/>
  <c r="X158" i="13"/>
  <c r="X159" i="13"/>
  <c r="X160" i="13"/>
  <c r="X161" i="13"/>
  <c r="X162" i="13"/>
  <c r="X163" i="13"/>
  <c r="X164" i="13"/>
  <c r="X165" i="13"/>
  <c r="X166" i="13"/>
  <c r="X167" i="13"/>
  <c r="X168" i="13"/>
  <c r="X169" i="13"/>
  <c r="X170" i="13"/>
  <c r="X171" i="13"/>
  <c r="X172" i="13"/>
  <c r="X173" i="13"/>
  <c r="X174" i="13"/>
  <c r="X175" i="13"/>
  <c r="X176" i="13"/>
  <c r="X177" i="13"/>
  <c r="X178" i="13"/>
  <c r="X179" i="13"/>
  <c r="X180" i="13"/>
  <c r="X181" i="13"/>
  <c r="X182" i="13"/>
  <c r="X183" i="13"/>
  <c r="X184" i="13"/>
  <c r="X185" i="13"/>
  <c r="X186" i="13"/>
  <c r="X187" i="13"/>
  <c r="X188" i="13"/>
  <c r="X189" i="13"/>
  <c r="X190" i="13"/>
  <c r="X191" i="13"/>
  <c r="X192" i="13"/>
  <c r="X193" i="13"/>
  <c r="X194" i="13"/>
  <c r="X195" i="13"/>
  <c r="X196" i="13"/>
  <c r="X197" i="13"/>
  <c r="X198" i="13"/>
  <c r="X199" i="13"/>
  <c r="X200" i="13"/>
  <c r="X201" i="13"/>
  <c r="X202" i="13"/>
  <c r="X203" i="13"/>
  <c r="X204" i="13"/>
  <c r="X205" i="13"/>
  <c r="X206" i="13"/>
  <c r="X207" i="13"/>
  <c r="X208" i="13"/>
  <c r="X209" i="13"/>
  <c r="X210" i="13"/>
  <c r="X211" i="13"/>
  <c r="X212" i="13"/>
  <c r="X213" i="13"/>
  <c r="X214" i="13"/>
  <c r="X215" i="13"/>
  <c r="X216" i="13"/>
  <c r="X217" i="13"/>
  <c r="X218" i="13"/>
  <c r="X219" i="13"/>
  <c r="X220" i="13"/>
  <c r="X221" i="13"/>
  <c r="X222" i="13"/>
  <c r="X223" i="13"/>
  <c r="X224" i="13"/>
  <c r="X225" i="13"/>
  <c r="X226" i="13"/>
  <c r="X227" i="13"/>
  <c r="X228" i="13"/>
  <c r="X229" i="13"/>
  <c r="X230" i="13"/>
  <c r="X231" i="13"/>
  <c r="X232" i="13"/>
  <c r="X233" i="13"/>
  <c r="X234" i="13"/>
  <c r="X235" i="13"/>
  <c r="X236" i="13"/>
  <c r="X237" i="13"/>
  <c r="X238" i="13"/>
  <c r="X239" i="13"/>
  <c r="X240" i="13"/>
  <c r="X241" i="13"/>
  <c r="X242" i="13"/>
  <c r="X243" i="13"/>
  <c r="X244" i="13"/>
  <c r="X245" i="13"/>
  <c r="X246" i="13"/>
  <c r="X247" i="13"/>
  <c r="X248" i="13"/>
  <c r="X249" i="13"/>
  <c r="X250" i="13"/>
  <c r="X251" i="13"/>
  <c r="X252" i="13"/>
  <c r="X253" i="13"/>
  <c r="X254" i="13"/>
  <c r="X255" i="13"/>
  <c r="X256" i="13"/>
  <c r="X257" i="13"/>
  <c r="X258" i="13"/>
  <c r="X259" i="13"/>
  <c r="X260" i="13"/>
  <c r="X261" i="13"/>
  <c r="X262" i="13"/>
  <c r="X263" i="13"/>
  <c r="X264" i="13"/>
  <c r="X265" i="13"/>
  <c r="X266" i="13"/>
  <c r="X267" i="13"/>
  <c r="X268" i="13"/>
  <c r="X269" i="13"/>
  <c r="X270" i="13"/>
  <c r="X271" i="13"/>
  <c r="X272" i="13"/>
  <c r="X273" i="13"/>
  <c r="X274" i="13"/>
  <c r="X275" i="13"/>
  <c r="X276" i="13"/>
  <c r="X277" i="13"/>
  <c r="X278" i="13"/>
  <c r="X279" i="13"/>
  <c r="X280" i="13"/>
  <c r="X281" i="13"/>
  <c r="X282" i="13"/>
  <c r="X283" i="13"/>
  <c r="X284" i="13"/>
  <c r="X285" i="13"/>
  <c r="X286" i="13"/>
  <c r="X287" i="13"/>
  <c r="X288" i="13"/>
  <c r="X289" i="13"/>
  <c r="X290" i="13"/>
  <c r="X291" i="13"/>
  <c r="X292" i="13"/>
  <c r="X293" i="13"/>
  <c r="X294" i="13"/>
  <c r="X295" i="13"/>
  <c r="X296" i="13"/>
  <c r="X297" i="13"/>
  <c r="X298" i="13"/>
  <c r="X299" i="13"/>
  <c r="X300" i="13"/>
  <c r="X301" i="13"/>
  <c r="X302" i="13"/>
  <c r="X303" i="13"/>
  <c r="X304" i="13"/>
  <c r="X305" i="13"/>
  <c r="X306" i="13"/>
  <c r="X307" i="13"/>
  <c r="X308" i="13"/>
  <c r="X309" i="13"/>
  <c r="X310" i="13"/>
  <c r="X311" i="13"/>
  <c r="X312" i="13"/>
  <c r="X313" i="13"/>
  <c r="X314" i="13"/>
  <c r="X315" i="13"/>
  <c r="X316" i="13"/>
  <c r="X317" i="13"/>
  <c r="X318" i="13"/>
  <c r="X319" i="13"/>
  <c r="X320" i="13"/>
  <c r="X321" i="13"/>
  <c r="X322" i="13"/>
  <c r="X323" i="13"/>
  <c r="X324" i="13"/>
  <c r="X325" i="13"/>
  <c r="X326" i="13"/>
  <c r="X327" i="13"/>
  <c r="X328" i="13"/>
  <c r="X329" i="13"/>
  <c r="X330" i="13"/>
  <c r="X331" i="13"/>
  <c r="X332" i="13"/>
  <c r="X333" i="13"/>
  <c r="X334" i="13"/>
  <c r="X335" i="13"/>
  <c r="X336" i="13"/>
  <c r="X337" i="13"/>
  <c r="X338" i="13"/>
  <c r="X339" i="13"/>
  <c r="X340" i="13"/>
  <c r="X341" i="13"/>
  <c r="X342" i="13"/>
  <c r="X343" i="13"/>
  <c r="X344" i="13"/>
  <c r="X345" i="13"/>
  <c r="X346" i="13"/>
  <c r="X347" i="13"/>
  <c r="X348" i="13"/>
  <c r="X349" i="13"/>
  <c r="X350" i="13"/>
  <c r="X351" i="13"/>
  <c r="X352" i="13"/>
  <c r="X353" i="13"/>
  <c r="X354" i="13"/>
  <c r="X355" i="13"/>
  <c r="X356" i="13"/>
  <c r="X357" i="13"/>
  <c r="X358" i="13"/>
  <c r="X359" i="13"/>
  <c r="X360" i="13"/>
  <c r="X361" i="13"/>
  <c r="X362" i="13"/>
  <c r="X363" i="13"/>
  <c r="X364" i="13"/>
  <c r="X365" i="13"/>
  <c r="X366" i="13"/>
  <c r="X367" i="13"/>
  <c r="X368" i="13"/>
  <c r="X369" i="13"/>
  <c r="X370" i="13"/>
  <c r="X371" i="13"/>
  <c r="X372" i="13"/>
  <c r="X373" i="13"/>
  <c r="X374" i="13"/>
  <c r="X375" i="13"/>
  <c r="X376" i="13"/>
  <c r="X377" i="13"/>
  <c r="X378" i="13"/>
  <c r="X379" i="13"/>
  <c r="X380" i="13"/>
  <c r="X381" i="13"/>
  <c r="X382" i="13"/>
  <c r="X383" i="13"/>
  <c r="X384" i="13"/>
  <c r="X385" i="13"/>
  <c r="X386" i="13"/>
  <c r="X387" i="13"/>
  <c r="X388" i="13"/>
  <c r="X389" i="13"/>
  <c r="X390" i="13"/>
  <c r="X391" i="13"/>
  <c r="X392" i="13"/>
  <c r="X393" i="13"/>
  <c r="X394" i="13"/>
  <c r="X395" i="13"/>
  <c r="X396" i="13"/>
  <c r="X397" i="13"/>
  <c r="X398" i="13"/>
  <c r="X399" i="13"/>
  <c r="X400" i="13"/>
  <c r="X401" i="13"/>
  <c r="X402" i="13"/>
  <c r="X403" i="13"/>
  <c r="X404" i="13"/>
  <c r="X405" i="13"/>
  <c r="X406" i="13"/>
  <c r="X407" i="13"/>
  <c r="X408" i="13"/>
  <c r="X409" i="13"/>
  <c r="X410" i="13"/>
  <c r="X411" i="13"/>
  <c r="X412" i="13"/>
  <c r="X413" i="13"/>
  <c r="X414" i="13"/>
  <c r="X415" i="13"/>
  <c r="X416" i="13"/>
  <c r="X417" i="13"/>
  <c r="X418" i="13"/>
  <c r="X419" i="13"/>
  <c r="X420" i="13"/>
  <c r="X421" i="13"/>
  <c r="X422" i="13"/>
  <c r="X423" i="13"/>
  <c r="X424" i="13"/>
  <c r="X425" i="13"/>
  <c r="X426" i="13"/>
  <c r="X427" i="13"/>
  <c r="X428" i="13"/>
  <c r="X429" i="13"/>
  <c r="X430" i="13"/>
  <c r="X431" i="13"/>
  <c r="X432" i="13"/>
  <c r="X433" i="13"/>
  <c r="X434" i="13"/>
  <c r="X435" i="13"/>
  <c r="X436" i="13"/>
  <c r="X437" i="13"/>
  <c r="X438" i="13"/>
  <c r="X439" i="13"/>
  <c r="X440" i="13"/>
  <c r="X441" i="13"/>
  <c r="X442" i="13"/>
  <c r="X443" i="13"/>
  <c r="X444" i="13"/>
  <c r="X445" i="13"/>
  <c r="X446" i="13"/>
  <c r="X447" i="13"/>
  <c r="X448" i="13"/>
  <c r="X449" i="13"/>
  <c r="X450" i="13"/>
  <c r="X451" i="13"/>
  <c r="X452" i="13"/>
  <c r="X453" i="13"/>
  <c r="X454" i="13"/>
  <c r="X455" i="13"/>
  <c r="X456" i="13"/>
  <c r="X457" i="13"/>
  <c r="X458" i="13"/>
  <c r="X459" i="13"/>
  <c r="X460" i="13"/>
  <c r="X461" i="13"/>
  <c r="X462" i="13"/>
  <c r="X463" i="13"/>
  <c r="X464" i="13"/>
  <c r="X465" i="13"/>
  <c r="X466" i="13"/>
  <c r="X467" i="13"/>
  <c r="X468" i="13"/>
  <c r="X469" i="13"/>
  <c r="X470" i="13"/>
  <c r="X471" i="13"/>
  <c r="X472" i="13"/>
  <c r="X473" i="13"/>
  <c r="X474" i="13"/>
  <c r="X475" i="13"/>
  <c r="X476" i="13"/>
  <c r="X477" i="13"/>
  <c r="X478" i="13"/>
  <c r="X479" i="13"/>
  <c r="X480" i="13"/>
  <c r="X481" i="13"/>
  <c r="X482" i="13"/>
  <c r="X483" i="13"/>
  <c r="X484" i="13"/>
  <c r="X485" i="13"/>
  <c r="X486" i="13"/>
  <c r="X487" i="13"/>
  <c r="X488" i="13"/>
  <c r="X489" i="13"/>
  <c r="X490" i="13"/>
  <c r="X491" i="13"/>
  <c r="X492" i="13"/>
  <c r="X493" i="13"/>
  <c r="X494" i="13"/>
  <c r="X495" i="13"/>
  <c r="X496" i="13"/>
  <c r="X497" i="13"/>
  <c r="X498" i="13"/>
  <c r="X499" i="13"/>
  <c r="X500" i="13"/>
  <c r="X501" i="13"/>
  <c r="X502" i="13"/>
  <c r="X503" i="13"/>
  <c r="X504" i="13"/>
  <c r="X505" i="13"/>
  <c r="X506" i="13"/>
  <c r="X507" i="13"/>
  <c r="X508" i="13"/>
  <c r="X509" i="13"/>
  <c r="X510" i="13"/>
  <c r="X511" i="13"/>
  <c r="X512" i="13"/>
  <c r="X513" i="13"/>
  <c r="X514" i="13"/>
  <c r="X515" i="13"/>
  <c r="X516" i="13"/>
  <c r="X517" i="13"/>
  <c r="X518" i="13"/>
  <c r="X519" i="13"/>
  <c r="X520" i="13"/>
  <c r="X521" i="13"/>
  <c r="X522" i="13"/>
  <c r="X523" i="13"/>
  <c r="X524" i="13"/>
  <c r="X525" i="13"/>
  <c r="X526" i="13"/>
  <c r="X527" i="13"/>
  <c r="X528" i="13"/>
  <c r="X529" i="13"/>
  <c r="X530" i="13"/>
  <c r="X531" i="13"/>
  <c r="X532" i="13"/>
  <c r="X533" i="13"/>
  <c r="X534" i="13"/>
  <c r="X535" i="13"/>
  <c r="X536" i="13"/>
  <c r="X537" i="13"/>
  <c r="X538" i="13"/>
  <c r="X539" i="13"/>
  <c r="X540" i="13"/>
  <c r="X541" i="13"/>
  <c r="X542" i="13"/>
  <c r="X543" i="13"/>
  <c r="X544" i="13"/>
  <c r="X545" i="13"/>
  <c r="X546" i="13"/>
  <c r="X547" i="13"/>
  <c r="X548" i="13"/>
  <c r="X549" i="13"/>
  <c r="X550" i="13"/>
  <c r="X551" i="13"/>
  <c r="X552" i="13"/>
  <c r="X553" i="13"/>
  <c r="X554" i="13"/>
  <c r="X555" i="13"/>
  <c r="X556" i="13"/>
  <c r="X557" i="13"/>
  <c r="X558" i="13"/>
  <c r="X559" i="13"/>
  <c r="X560" i="13"/>
  <c r="X561" i="13"/>
  <c r="X562" i="13"/>
  <c r="X563" i="13"/>
  <c r="X564" i="13"/>
  <c r="X565" i="13"/>
  <c r="X566" i="13"/>
  <c r="X567" i="13"/>
  <c r="X568" i="13"/>
  <c r="X569" i="13"/>
  <c r="X570" i="13"/>
  <c r="X571" i="13"/>
  <c r="X572" i="13"/>
  <c r="X573" i="13"/>
  <c r="X574" i="13"/>
  <c r="X575" i="13"/>
  <c r="X576" i="13"/>
  <c r="X577" i="13"/>
  <c r="X578" i="13"/>
  <c r="X579" i="13"/>
  <c r="X580" i="13"/>
  <c r="X581" i="13"/>
  <c r="X582" i="13"/>
  <c r="X583" i="13"/>
  <c r="X584" i="13"/>
  <c r="X585" i="13"/>
  <c r="X586" i="13"/>
  <c r="X587" i="13"/>
  <c r="X588" i="13"/>
  <c r="X589" i="13"/>
  <c r="X590" i="13"/>
  <c r="X591" i="13"/>
  <c r="X592" i="13"/>
  <c r="X593" i="13"/>
  <c r="X594" i="13"/>
  <c r="X595" i="13"/>
  <c r="X596" i="13"/>
  <c r="X597" i="13"/>
  <c r="X598" i="13"/>
  <c r="X599" i="13"/>
  <c r="X600" i="13"/>
  <c r="X601" i="13"/>
  <c r="X602" i="13"/>
  <c r="X603" i="13"/>
  <c r="X604" i="13"/>
  <c r="X605" i="13"/>
  <c r="X606" i="13"/>
  <c r="X607" i="13"/>
  <c r="X608" i="13"/>
  <c r="X609" i="13"/>
  <c r="X610" i="13"/>
  <c r="X611" i="13"/>
  <c r="X612" i="13"/>
  <c r="X613" i="13"/>
  <c r="X614" i="13"/>
  <c r="X615" i="13"/>
  <c r="X616" i="13"/>
  <c r="X617" i="13"/>
  <c r="X618" i="13"/>
  <c r="X619" i="13"/>
  <c r="X620" i="13"/>
  <c r="X621" i="13"/>
  <c r="X622" i="13"/>
  <c r="X623" i="13"/>
  <c r="X624" i="13"/>
  <c r="X625" i="13"/>
  <c r="X626" i="13"/>
  <c r="X627" i="13"/>
  <c r="X628" i="13"/>
  <c r="X629" i="13"/>
  <c r="X630" i="13"/>
  <c r="X631" i="13"/>
  <c r="X632" i="13"/>
  <c r="X633" i="13"/>
  <c r="X634" i="13"/>
  <c r="X635" i="13"/>
  <c r="X636" i="13"/>
  <c r="X637" i="13"/>
  <c r="X638" i="13"/>
  <c r="X639" i="13"/>
  <c r="X640" i="13"/>
  <c r="X641" i="13"/>
  <c r="X642" i="13"/>
  <c r="X643" i="13"/>
  <c r="X644" i="13"/>
  <c r="X645" i="13"/>
  <c r="X646" i="13"/>
  <c r="X647" i="13"/>
  <c r="X648" i="13"/>
  <c r="X649" i="13"/>
  <c r="X650" i="13"/>
  <c r="X651" i="13"/>
  <c r="X652" i="13"/>
  <c r="X653" i="13"/>
  <c r="X654" i="13"/>
  <c r="X655" i="13"/>
  <c r="X656" i="13"/>
  <c r="X657" i="13"/>
  <c r="X658" i="13"/>
  <c r="X659" i="13"/>
  <c r="X660" i="13"/>
  <c r="X661" i="13"/>
  <c r="X662" i="13"/>
  <c r="X663" i="13"/>
  <c r="X664" i="13"/>
  <c r="X665" i="13"/>
  <c r="X666" i="13"/>
  <c r="X667" i="13"/>
  <c r="X668" i="13"/>
  <c r="X669" i="13"/>
  <c r="X670" i="13"/>
  <c r="X671" i="13"/>
  <c r="X672" i="13"/>
  <c r="X673" i="13"/>
  <c r="X674" i="13"/>
  <c r="X675" i="13"/>
  <c r="X676" i="13"/>
  <c r="X677" i="13"/>
  <c r="X678" i="13"/>
  <c r="X679" i="13"/>
  <c r="X680" i="13"/>
  <c r="X681" i="13"/>
  <c r="X682" i="13"/>
  <c r="X683" i="13"/>
  <c r="X684" i="13"/>
  <c r="X685" i="13"/>
  <c r="X686" i="13"/>
  <c r="X687" i="13"/>
  <c r="X688" i="13"/>
  <c r="X689" i="13"/>
  <c r="X690" i="13"/>
  <c r="X691" i="13"/>
  <c r="X692" i="13"/>
  <c r="X693" i="13"/>
  <c r="X694" i="13"/>
  <c r="X695" i="13"/>
  <c r="X696" i="13"/>
  <c r="X697" i="13"/>
  <c r="X698" i="13"/>
  <c r="X699" i="13"/>
  <c r="X700" i="13"/>
  <c r="X701" i="13"/>
  <c r="X702" i="13"/>
  <c r="X703" i="13"/>
  <c r="X704" i="13"/>
  <c r="X705" i="13"/>
  <c r="X706" i="13"/>
  <c r="X707" i="13"/>
  <c r="X708" i="13"/>
  <c r="X709" i="13"/>
  <c r="X710" i="13"/>
  <c r="X711" i="13"/>
  <c r="X712" i="13"/>
  <c r="X713" i="13"/>
  <c r="X714" i="13"/>
  <c r="X715" i="13"/>
  <c r="X716" i="13"/>
  <c r="X717" i="13"/>
  <c r="X718" i="13"/>
  <c r="X719" i="13"/>
  <c r="X720" i="13"/>
  <c r="X721" i="13"/>
  <c r="H3" i="11"/>
  <c r="H2" i="11"/>
  <c r="E5" i="11"/>
  <c r="E4" i="11"/>
  <c r="E3" i="11" a="1"/>
  <c r="E3" i="11" s="1"/>
  <c r="E2" i="11"/>
  <c r="B3" i="11"/>
  <c r="B2" i="11"/>
  <c r="AE34" i="13" l="1"/>
  <c r="AF34" i="13" s="1"/>
  <c r="AE162" i="13"/>
  <c r="AF162" i="13" s="1"/>
  <c r="AE43" i="13"/>
  <c r="AF43" i="13" s="1"/>
  <c r="B8" i="18"/>
  <c r="AE394" i="13"/>
  <c r="AF394" i="13" s="1"/>
  <c r="AE329" i="13"/>
  <c r="AF329" i="13" s="1"/>
  <c r="AE289" i="13"/>
  <c r="AF289" i="13" s="1"/>
  <c r="AE265" i="13"/>
  <c r="AF265" i="13" s="1"/>
  <c r="AE225" i="13"/>
  <c r="AF225" i="13" s="1"/>
  <c r="AE201" i="13"/>
  <c r="AF201" i="13" s="1"/>
  <c r="AE161" i="13"/>
  <c r="AF161" i="13" s="1"/>
  <c r="AE137" i="13"/>
  <c r="AF137" i="13" s="1"/>
  <c r="AE97" i="13"/>
  <c r="AF97" i="13" s="1"/>
  <c r="AE73" i="13"/>
  <c r="AF73" i="13" s="1"/>
  <c r="AE33" i="13"/>
  <c r="AF33" i="13" s="1"/>
  <c r="AE9" i="13"/>
  <c r="AF9" i="13" s="1"/>
  <c r="AE304" i="13"/>
  <c r="AF304" i="13" s="1"/>
  <c r="AE240" i="13"/>
  <c r="AF240" i="13" s="1"/>
  <c r="AE200" i="13"/>
  <c r="AF200" i="13" s="1"/>
  <c r="AE176" i="13"/>
  <c r="AF176" i="13" s="1"/>
  <c r="AE136" i="13"/>
  <c r="AF136" i="13" s="1"/>
  <c r="AE112" i="13"/>
  <c r="AF112" i="13" s="1"/>
  <c r="AE72" i="13"/>
  <c r="AF72" i="13" s="1"/>
  <c r="AE48" i="13"/>
  <c r="AF48" i="13" s="1"/>
  <c r="AE8" i="13"/>
  <c r="AF8" i="13" s="1"/>
  <c r="AE439" i="13"/>
  <c r="AF439" i="13" s="1"/>
  <c r="AE23" i="13"/>
  <c r="AF23" i="13" s="1"/>
  <c r="AE718" i="13"/>
  <c r="AF718" i="13" s="1"/>
  <c r="AE654" i="13"/>
  <c r="AF654" i="13" s="1"/>
  <c r="AE590" i="13"/>
  <c r="AF590" i="13" s="1"/>
  <c r="AE526" i="13"/>
  <c r="AF526" i="13" s="1"/>
  <c r="AE98" i="13"/>
  <c r="AF98" i="13" s="1"/>
  <c r="AE316" i="13"/>
  <c r="AF316" i="13" s="1"/>
  <c r="AE252" i="13"/>
  <c r="AF252" i="13" s="1"/>
  <c r="AE212" i="13"/>
  <c r="AF212" i="13" s="1"/>
  <c r="AE188" i="13"/>
  <c r="AF188" i="13" s="1"/>
  <c r="AE148" i="13"/>
  <c r="AF148" i="13" s="1"/>
  <c r="AE124" i="13"/>
  <c r="AF124" i="13" s="1"/>
  <c r="AE84" i="13"/>
  <c r="AF84" i="13" s="1"/>
  <c r="AE60" i="13"/>
  <c r="AF60" i="13" s="1"/>
  <c r="AE20" i="13"/>
  <c r="AF20" i="13" s="1"/>
  <c r="B2" i="14"/>
  <c r="B6" i="14" s="1"/>
  <c r="B8" i="14"/>
  <c r="B9" i="18"/>
  <c r="AE354" i="13"/>
  <c r="AF354" i="13" s="1"/>
  <c r="AE290" i="13"/>
  <c r="AF290" i="13" s="1"/>
  <c r="AE226" i="13"/>
  <c r="AF226" i="13" s="1"/>
  <c r="AE332" i="13"/>
  <c r="AF332" i="13" s="1"/>
  <c r="AE324" i="13"/>
  <c r="AF324" i="13" s="1"/>
  <c r="AE308" i="13"/>
  <c r="AF308" i="13" s="1"/>
  <c r="AE300" i="13"/>
  <c r="AF300" i="13" s="1"/>
  <c r="AE292" i="13"/>
  <c r="AF292" i="13" s="1"/>
  <c r="AE284" i="13"/>
  <c r="AF284" i="13" s="1"/>
  <c r="AE268" i="13"/>
  <c r="AF268" i="13" s="1"/>
  <c r="AE260" i="13"/>
  <c r="AF260" i="13" s="1"/>
  <c r="AE244" i="13"/>
  <c r="AF244" i="13" s="1"/>
  <c r="AE236" i="13"/>
  <c r="AF236" i="13" s="1"/>
  <c r="AE228" i="13"/>
  <c r="AF228" i="13" s="1"/>
  <c r="AE220" i="13"/>
  <c r="AF220" i="13" s="1"/>
  <c r="AE204" i="13"/>
  <c r="AF204" i="13" s="1"/>
  <c r="AE196" i="13"/>
  <c r="AF196" i="13" s="1"/>
  <c r="AE180" i="13"/>
  <c r="AF180" i="13" s="1"/>
  <c r="AE172" i="13"/>
  <c r="AF172" i="13" s="1"/>
  <c r="AE164" i="13"/>
  <c r="AF164" i="13" s="1"/>
  <c r="AE156" i="13"/>
  <c r="AF156" i="13" s="1"/>
  <c r="AE140" i="13"/>
  <c r="AF140" i="13" s="1"/>
  <c r="AE132" i="13"/>
  <c r="AF132" i="13" s="1"/>
  <c r="AE116" i="13"/>
  <c r="AF116" i="13" s="1"/>
  <c r="AE108" i="13"/>
  <c r="AF108" i="13" s="1"/>
  <c r="AE100" i="13"/>
  <c r="AF100" i="13" s="1"/>
  <c r="AE92" i="13"/>
  <c r="AF92" i="13" s="1"/>
  <c r="AE76" i="13"/>
  <c r="AF76" i="13" s="1"/>
  <c r="AE68" i="13"/>
  <c r="AF68" i="13" s="1"/>
  <c r="AE52" i="13"/>
  <c r="AF52" i="13" s="1"/>
  <c r="AE44" i="13"/>
  <c r="AF44" i="13" s="1"/>
  <c r="AE36" i="13"/>
  <c r="AF36" i="13" s="1"/>
  <c r="AE28" i="13"/>
  <c r="AF28" i="13" s="1"/>
  <c r="AE12" i="13"/>
  <c r="AF12" i="13" s="1"/>
  <c r="AE4" i="13"/>
  <c r="AF4" i="13" s="1"/>
  <c r="B7" i="18"/>
  <c r="AE603" i="13"/>
  <c r="AF603" i="13" s="1"/>
  <c r="B6" i="18"/>
  <c r="AE386" i="13"/>
  <c r="AF386" i="13" s="1"/>
  <c r="AE378" i="13"/>
  <c r="AF378" i="13" s="1"/>
  <c r="AE370" i="13"/>
  <c r="AF370" i="13" s="1"/>
  <c r="AE362" i="13"/>
  <c r="AF362" i="13" s="1"/>
  <c r="AE346" i="13"/>
  <c r="AF346" i="13" s="1"/>
  <c r="AE338" i="13"/>
  <c r="AF338" i="13" s="1"/>
  <c r="AE330" i="13"/>
  <c r="AF330" i="13" s="1"/>
  <c r="AE322" i="13"/>
  <c r="AF322" i="13" s="1"/>
  <c r="AE306" i="13"/>
  <c r="AF306" i="13" s="1"/>
  <c r="AE298" i="13"/>
  <c r="AF298" i="13" s="1"/>
  <c r="AE282" i="13"/>
  <c r="AF282" i="13" s="1"/>
  <c r="AE274" i="13"/>
  <c r="AF274" i="13" s="1"/>
  <c r="AE266" i="13"/>
  <c r="AF266" i="13" s="1"/>
  <c r="AE258" i="13"/>
  <c r="AF258" i="13" s="1"/>
  <c r="AE242" i="13"/>
  <c r="AF242" i="13" s="1"/>
  <c r="AE234" i="13"/>
  <c r="AF234" i="13" s="1"/>
  <c r="AE218" i="13"/>
  <c r="AF218" i="13" s="1"/>
  <c r="AE210" i="13"/>
  <c r="AF210" i="13" s="1"/>
  <c r="AE202" i="13"/>
  <c r="AF202" i="13" s="1"/>
  <c r="AE194" i="13"/>
  <c r="AF194" i="13" s="1"/>
  <c r="AE178" i="13"/>
  <c r="AF178" i="13" s="1"/>
  <c r="AE170" i="13"/>
  <c r="AF170" i="13" s="1"/>
  <c r="AE154" i="13"/>
  <c r="AF154" i="13" s="1"/>
  <c r="AE146" i="13"/>
  <c r="AF146" i="13" s="1"/>
  <c r="AE138" i="13"/>
  <c r="AF138" i="13" s="1"/>
  <c r="AE130" i="13"/>
  <c r="AF130" i="13" s="1"/>
  <c r="AE114" i="13"/>
  <c r="AF114" i="13" s="1"/>
  <c r="AE106" i="13"/>
  <c r="AF106" i="13" s="1"/>
  <c r="AE90" i="13"/>
  <c r="AF90" i="13" s="1"/>
  <c r="AE82" i="13"/>
  <c r="AF82" i="13" s="1"/>
  <c r="AE74" i="13"/>
  <c r="AF74" i="13" s="1"/>
  <c r="AE66" i="13"/>
  <c r="AF66" i="13" s="1"/>
  <c r="AE50" i="13"/>
  <c r="AF50" i="13" s="1"/>
  <c r="AE42" i="13"/>
  <c r="AF42" i="13" s="1"/>
  <c r="AE26" i="13"/>
  <c r="AF26" i="13" s="1"/>
  <c r="AE18" i="13"/>
  <c r="AF18" i="13" s="1"/>
  <c r="AE10" i="13"/>
  <c r="AF10" i="13" s="1"/>
  <c r="AE2" i="13"/>
  <c r="B13" i="18"/>
  <c r="B5" i="18"/>
  <c r="AE649" i="13"/>
  <c r="AF649" i="13" s="1"/>
  <c r="AE521" i="13"/>
  <c r="AF521" i="13" s="1"/>
  <c r="AE425" i="13"/>
  <c r="AF425" i="13" s="1"/>
  <c r="AE417" i="13"/>
  <c r="AF417" i="13" s="1"/>
  <c r="AE409" i="13"/>
  <c r="AF409" i="13" s="1"/>
  <c r="AE377" i="13"/>
  <c r="AF377" i="13" s="1"/>
  <c r="AE369" i="13"/>
  <c r="AF369" i="13" s="1"/>
  <c r="AE345" i="13"/>
  <c r="AF345" i="13" s="1"/>
  <c r="AE313" i="13"/>
  <c r="AF313" i="13" s="1"/>
  <c r="AE305" i="13"/>
  <c r="AF305" i="13" s="1"/>
  <c r="AE281" i="13"/>
  <c r="AF281" i="13" s="1"/>
  <c r="AE257" i="13"/>
  <c r="AF257" i="13" s="1"/>
  <c r="AE249" i="13"/>
  <c r="AF249" i="13" s="1"/>
  <c r="AE241" i="13"/>
  <c r="AF241" i="13" s="1"/>
  <c r="AE217" i="13"/>
  <c r="AF217" i="13" s="1"/>
  <c r="AE185" i="13"/>
  <c r="AF185" i="13" s="1"/>
  <c r="AE177" i="13"/>
  <c r="AF177" i="13" s="1"/>
  <c r="AE153" i="13"/>
  <c r="AF153" i="13" s="1"/>
  <c r="AE145" i="13"/>
  <c r="AF145" i="13" s="1"/>
  <c r="AE121" i="13"/>
  <c r="AF121" i="13" s="1"/>
  <c r="AE113" i="13"/>
  <c r="AF113" i="13" s="1"/>
  <c r="AE89" i="13"/>
  <c r="AF89" i="13" s="1"/>
  <c r="AE81" i="13"/>
  <c r="AF81" i="13" s="1"/>
  <c r="AE57" i="13"/>
  <c r="AF57" i="13" s="1"/>
  <c r="AE49" i="13"/>
  <c r="AF49" i="13" s="1"/>
  <c r="AE17" i="13"/>
  <c r="AF17" i="13" s="1"/>
  <c r="B12" i="18"/>
  <c r="B4" i="18"/>
  <c r="AE320" i="13"/>
  <c r="AF320" i="13" s="1"/>
  <c r="AE288" i="13"/>
  <c r="AF288" i="13" s="1"/>
  <c r="AE280" i="13"/>
  <c r="AF280" i="13" s="1"/>
  <c r="AE256" i="13"/>
  <c r="AF256" i="13" s="1"/>
  <c r="AE224" i="13"/>
  <c r="AF224" i="13" s="1"/>
  <c r="AE216" i="13"/>
  <c r="AF216" i="13" s="1"/>
  <c r="AE192" i="13"/>
  <c r="AF192" i="13" s="1"/>
  <c r="AE184" i="13"/>
  <c r="AF184" i="13" s="1"/>
  <c r="AE160" i="13"/>
  <c r="AF160" i="13" s="1"/>
  <c r="AE152" i="13"/>
  <c r="AF152" i="13" s="1"/>
  <c r="AE128" i="13"/>
  <c r="AF128" i="13" s="1"/>
  <c r="AE96" i="13"/>
  <c r="AF96" i="13" s="1"/>
  <c r="AE88" i="13"/>
  <c r="AF88" i="13" s="1"/>
  <c r="AE80" i="13"/>
  <c r="AF80" i="13" s="1"/>
  <c r="AE64" i="13"/>
  <c r="AF64" i="13" s="1"/>
  <c r="AE32" i="13"/>
  <c r="AF32" i="13" s="1"/>
  <c r="AE24" i="13"/>
  <c r="AF24" i="13" s="1"/>
  <c r="AE16" i="13"/>
  <c r="AF16" i="13" s="1"/>
  <c r="B11" i="18"/>
  <c r="B3" i="18"/>
  <c r="AE359" i="13"/>
  <c r="AF359" i="13" s="1"/>
  <c r="AE231" i="13"/>
  <c r="AF231" i="13" s="1"/>
  <c r="AE314" i="13"/>
  <c r="AF314" i="13" s="1"/>
  <c r="AE250" i="13"/>
  <c r="AF250" i="13" s="1"/>
  <c r="AE186" i="13"/>
  <c r="AF186" i="13" s="1"/>
  <c r="AE122" i="13"/>
  <c r="AF122" i="13" s="1"/>
  <c r="AE58" i="13"/>
  <c r="AF58" i="13" s="1"/>
  <c r="B10" i="18"/>
  <c r="B2" i="18"/>
  <c r="AE710" i="13"/>
  <c r="AF710" i="13" s="1"/>
  <c r="AE702" i="13"/>
  <c r="AF702" i="13" s="1"/>
  <c r="AE694" i="13"/>
  <c r="AF694" i="13" s="1"/>
  <c r="AE686" i="13"/>
  <c r="AF686" i="13" s="1"/>
  <c r="AE670" i="13"/>
  <c r="AF670" i="13" s="1"/>
  <c r="AE662" i="13"/>
  <c r="AF662" i="13" s="1"/>
  <c r="AE646" i="13"/>
  <c r="AF646" i="13" s="1"/>
  <c r="AE638" i="13"/>
  <c r="AF638" i="13" s="1"/>
  <c r="AE630" i="13"/>
  <c r="AF630" i="13" s="1"/>
  <c r="AE622" i="13"/>
  <c r="AF622" i="13" s="1"/>
  <c r="AE614" i="13"/>
  <c r="AF614" i="13" s="1"/>
  <c r="AE606" i="13"/>
  <c r="AF606" i="13" s="1"/>
  <c r="AE598" i="13"/>
  <c r="AF598" i="13" s="1"/>
  <c r="AE582" i="13"/>
  <c r="AF582" i="13" s="1"/>
  <c r="AE574" i="13"/>
  <c r="AF574" i="13" s="1"/>
  <c r="AE566" i="13"/>
  <c r="AF566" i="13" s="1"/>
  <c r="AE558" i="13"/>
  <c r="AF558" i="13" s="1"/>
  <c r="AE550" i="13"/>
  <c r="AF550" i="13" s="1"/>
  <c r="AE542" i="13"/>
  <c r="AF542" i="13" s="1"/>
  <c r="AE534" i="13"/>
  <c r="AF534" i="13" s="1"/>
  <c r="AE518" i="13"/>
  <c r="AF518" i="13" s="1"/>
  <c r="AE510" i="13"/>
  <c r="AF510" i="13" s="1"/>
  <c r="AE502" i="13"/>
  <c r="AF502" i="13" s="1"/>
  <c r="AE494" i="13"/>
  <c r="AF494" i="13" s="1"/>
  <c r="AE486" i="13"/>
  <c r="AF486" i="13" s="1"/>
  <c r="AE470" i="13"/>
  <c r="AF470" i="13" s="1"/>
  <c r="AE422" i="13"/>
  <c r="AF422" i="13" s="1"/>
  <c r="AE366" i="13"/>
  <c r="AF366" i="13" s="1"/>
  <c r="AE350" i="13"/>
  <c r="AF350" i="13" s="1"/>
  <c r="AE342" i="13"/>
  <c r="AF342" i="13" s="1"/>
  <c r="AE278" i="13"/>
  <c r="AF278" i="13" s="1"/>
  <c r="AE214" i="13"/>
  <c r="AF214" i="13" s="1"/>
  <c r="AE150" i="13"/>
  <c r="AF150" i="13" s="1"/>
  <c r="AE86" i="13"/>
  <c r="AF86" i="13" s="1"/>
  <c r="AE22" i="13"/>
  <c r="AF22" i="13" s="1"/>
  <c r="AE678" i="13"/>
  <c r="AF678" i="13" s="1"/>
  <c r="AE714" i="13"/>
  <c r="AF714" i="13" s="1"/>
  <c r="AE706" i="13"/>
  <c r="AF706" i="13" s="1"/>
  <c r="AE698" i="13"/>
  <c r="AF698" i="13" s="1"/>
  <c r="AE690" i="13"/>
  <c r="AF690" i="13" s="1"/>
  <c r="AE682" i="13"/>
  <c r="AF682" i="13" s="1"/>
  <c r="AE674" i="13"/>
  <c r="AF674" i="13" s="1"/>
  <c r="AE666" i="13"/>
  <c r="AF666" i="13" s="1"/>
  <c r="AE658" i="13"/>
  <c r="AF658" i="13" s="1"/>
  <c r="AE650" i="13"/>
  <c r="AF650" i="13" s="1"/>
  <c r="AE642" i="13"/>
  <c r="AF642" i="13" s="1"/>
  <c r="AE634" i="13"/>
  <c r="AF634" i="13" s="1"/>
  <c r="AE626" i="13"/>
  <c r="AF626" i="13" s="1"/>
  <c r="AE618" i="13"/>
  <c r="AF618" i="13" s="1"/>
  <c r="AE610" i="13"/>
  <c r="AF610" i="13" s="1"/>
  <c r="AE602" i="13"/>
  <c r="AF602" i="13" s="1"/>
  <c r="AE594" i="13"/>
  <c r="AF594" i="13" s="1"/>
  <c r="AE586" i="13"/>
  <c r="AF586" i="13" s="1"/>
  <c r="AE578" i="13"/>
  <c r="AF578" i="13" s="1"/>
  <c r="AE570" i="13"/>
  <c r="AF570" i="13" s="1"/>
  <c r="AE562" i="13"/>
  <c r="AF562" i="13" s="1"/>
  <c r="AE554" i="13"/>
  <c r="AF554" i="13" s="1"/>
  <c r="AE546" i="13"/>
  <c r="AF546" i="13" s="1"/>
  <c r="AE538" i="13"/>
  <c r="AF538" i="13" s="1"/>
  <c r="AE530" i="13"/>
  <c r="AF530" i="13" s="1"/>
  <c r="AE522" i="13"/>
  <c r="AF522" i="13" s="1"/>
  <c r="AE514" i="13"/>
  <c r="AF514" i="13" s="1"/>
  <c r="AE506" i="13"/>
  <c r="AF506" i="13" s="1"/>
  <c r="AE498" i="13"/>
  <c r="AF498" i="13" s="1"/>
  <c r="AE490" i="13"/>
  <c r="AF490" i="13" s="1"/>
  <c r="AE482" i="13"/>
  <c r="AF482" i="13" s="1"/>
  <c r="AE474" i="13"/>
  <c r="AF474" i="13" s="1"/>
  <c r="AE450" i="13"/>
  <c r="AF450" i="13" s="1"/>
  <c r="AE442" i="13"/>
  <c r="AF442" i="13" s="1"/>
  <c r="AE434" i="13"/>
  <c r="AF434" i="13" s="1"/>
  <c r="AE426" i="13"/>
  <c r="AF426" i="13" s="1"/>
  <c r="AE418" i="13"/>
  <c r="AF418" i="13" s="1"/>
  <c r="AE410" i="13"/>
  <c r="AF410" i="13" s="1"/>
  <c r="AE476" i="13"/>
  <c r="AF476" i="13" s="1"/>
  <c r="AE440" i="13"/>
  <c r="AF440" i="13" s="1"/>
  <c r="AE713" i="13"/>
  <c r="AF713" i="13" s="1"/>
  <c r="AE689" i="13"/>
  <c r="AF689" i="13" s="1"/>
  <c r="AE665" i="13"/>
  <c r="AF665" i="13" s="1"/>
  <c r="AE641" i="13"/>
  <c r="AF641" i="13" s="1"/>
  <c r="AE617" i="13"/>
  <c r="AF617" i="13" s="1"/>
  <c r="AE601" i="13"/>
  <c r="AF601" i="13" s="1"/>
  <c r="AE577" i="13"/>
  <c r="AF577" i="13" s="1"/>
  <c r="AE561" i="13"/>
  <c r="AF561" i="13" s="1"/>
  <c r="AE537" i="13"/>
  <c r="AF537" i="13" s="1"/>
  <c r="AE505" i="13"/>
  <c r="AF505" i="13" s="1"/>
  <c r="AE481" i="13"/>
  <c r="AF481" i="13" s="1"/>
  <c r="AE441" i="13"/>
  <c r="AF441" i="13" s="1"/>
  <c r="AE401" i="13"/>
  <c r="AF401" i="13" s="1"/>
  <c r="AE169" i="13"/>
  <c r="AF169" i="13" s="1"/>
  <c r="AE129" i="13"/>
  <c r="AF129" i="13" s="1"/>
  <c r="AE105" i="13"/>
  <c r="AF105" i="13" s="1"/>
  <c r="AE65" i="13"/>
  <c r="AF65" i="13" s="1"/>
  <c r="AE25" i="13"/>
  <c r="AF25" i="13" s="1"/>
  <c r="AE720" i="13"/>
  <c r="AF720" i="13" s="1"/>
  <c r="AE712" i="13"/>
  <c r="AF712" i="13" s="1"/>
  <c r="AE704" i="13"/>
  <c r="AF704" i="13" s="1"/>
  <c r="AE696" i="13"/>
  <c r="AF696" i="13" s="1"/>
  <c r="AE688" i="13"/>
  <c r="AF688" i="13" s="1"/>
  <c r="AE680" i="13"/>
  <c r="AF680" i="13" s="1"/>
  <c r="AE672" i="13"/>
  <c r="AF672" i="13" s="1"/>
  <c r="AE664" i="13"/>
  <c r="AF664" i="13" s="1"/>
  <c r="AE656" i="13"/>
  <c r="AF656" i="13" s="1"/>
  <c r="AE648" i="13"/>
  <c r="AF648" i="13" s="1"/>
  <c r="AE640" i="13"/>
  <c r="AF640" i="13" s="1"/>
  <c r="AE632" i="13"/>
  <c r="AF632" i="13" s="1"/>
  <c r="AE624" i="13"/>
  <c r="AF624" i="13" s="1"/>
  <c r="AE616" i="13"/>
  <c r="AF616" i="13" s="1"/>
  <c r="AE608" i="13"/>
  <c r="AF608" i="13" s="1"/>
  <c r="AE600" i="13"/>
  <c r="AF600" i="13" s="1"/>
  <c r="AE592" i="13"/>
  <c r="AF592" i="13" s="1"/>
  <c r="AE584" i="13"/>
  <c r="AF584" i="13" s="1"/>
  <c r="AE576" i="13"/>
  <c r="AF576" i="13" s="1"/>
  <c r="AE568" i="13"/>
  <c r="AF568" i="13" s="1"/>
  <c r="AE560" i="13"/>
  <c r="AF560" i="13" s="1"/>
  <c r="AE552" i="13"/>
  <c r="AF552" i="13" s="1"/>
  <c r="AE544" i="13"/>
  <c r="AF544" i="13" s="1"/>
  <c r="AE536" i="13"/>
  <c r="AF536" i="13" s="1"/>
  <c r="AE528" i="13"/>
  <c r="AF528" i="13" s="1"/>
  <c r="AE520" i="13"/>
  <c r="AF520" i="13" s="1"/>
  <c r="AE512" i="13"/>
  <c r="AF512" i="13" s="1"/>
  <c r="AE504" i="13"/>
  <c r="AF504" i="13" s="1"/>
  <c r="AE496" i="13"/>
  <c r="AF496" i="13" s="1"/>
  <c r="AE488" i="13"/>
  <c r="AF488" i="13" s="1"/>
  <c r="AE480" i="13"/>
  <c r="AF480" i="13" s="1"/>
  <c r="AE472" i="13"/>
  <c r="AF472" i="13" s="1"/>
  <c r="AE464" i="13"/>
  <c r="AF464" i="13" s="1"/>
  <c r="AE456" i="13"/>
  <c r="AF456" i="13" s="1"/>
  <c r="AE432" i="13"/>
  <c r="AF432" i="13" s="1"/>
  <c r="AE424" i="13"/>
  <c r="AF424" i="13" s="1"/>
  <c r="AE416" i="13"/>
  <c r="AF416" i="13" s="1"/>
  <c r="AE408" i="13"/>
  <c r="AF408" i="13" s="1"/>
  <c r="AE400" i="13"/>
  <c r="AF400" i="13" s="1"/>
  <c r="AE392" i="13"/>
  <c r="AF392" i="13" s="1"/>
  <c r="AE368" i="13"/>
  <c r="AF368" i="13" s="1"/>
  <c r="AE360" i="13"/>
  <c r="AF360" i="13" s="1"/>
  <c r="AE352" i="13"/>
  <c r="AF352" i="13" s="1"/>
  <c r="AE344" i="13"/>
  <c r="AF344" i="13" s="1"/>
  <c r="AE336" i="13"/>
  <c r="AF336" i="13" s="1"/>
  <c r="AE312" i="13"/>
  <c r="AF312" i="13" s="1"/>
  <c r="AE296" i="13"/>
  <c r="AF296" i="13" s="1"/>
  <c r="AE272" i="13"/>
  <c r="AF272" i="13" s="1"/>
  <c r="AE248" i="13"/>
  <c r="AF248" i="13" s="1"/>
  <c r="AE232" i="13"/>
  <c r="AF232" i="13" s="1"/>
  <c r="AE208" i="13"/>
  <c r="AF208" i="13" s="1"/>
  <c r="AE168" i="13"/>
  <c r="AF168" i="13" s="1"/>
  <c r="AE144" i="13"/>
  <c r="AF144" i="13" s="1"/>
  <c r="AE120" i="13"/>
  <c r="AF120" i="13" s="1"/>
  <c r="AE104" i="13"/>
  <c r="AF104" i="13" s="1"/>
  <c r="AE56" i="13"/>
  <c r="AF56" i="13" s="1"/>
  <c r="AE40" i="13"/>
  <c r="AF40" i="13" s="1"/>
  <c r="AE467" i="13"/>
  <c r="AF467" i="13" s="1"/>
  <c r="AE431" i="13"/>
  <c r="AF431" i="13" s="1"/>
  <c r="AE705" i="13"/>
  <c r="AF705" i="13" s="1"/>
  <c r="AE681" i="13"/>
  <c r="AF681" i="13" s="1"/>
  <c r="AE657" i="13"/>
  <c r="AF657" i="13" s="1"/>
  <c r="AE633" i="13"/>
  <c r="AF633" i="13" s="1"/>
  <c r="AE609" i="13"/>
  <c r="AF609" i="13" s="1"/>
  <c r="AE585" i="13"/>
  <c r="AF585" i="13" s="1"/>
  <c r="AE553" i="13"/>
  <c r="AF553" i="13" s="1"/>
  <c r="AE529" i="13"/>
  <c r="AF529" i="13" s="1"/>
  <c r="AE497" i="13"/>
  <c r="AF497" i="13" s="1"/>
  <c r="AE473" i="13"/>
  <c r="AF473" i="13" s="1"/>
  <c r="AE433" i="13"/>
  <c r="AF433" i="13" s="1"/>
  <c r="AE337" i="13"/>
  <c r="AF337" i="13" s="1"/>
  <c r="AE273" i="13"/>
  <c r="AF273" i="13" s="1"/>
  <c r="AE209" i="13"/>
  <c r="AF209" i="13" s="1"/>
  <c r="AE41" i="13"/>
  <c r="AF41" i="13" s="1"/>
  <c r="AE719" i="13"/>
  <c r="AF719" i="13" s="1"/>
  <c r="AE711" i="13"/>
  <c r="AF711" i="13" s="1"/>
  <c r="AE703" i="13"/>
  <c r="AF703" i="13" s="1"/>
  <c r="AE695" i="13"/>
  <c r="AF695" i="13" s="1"/>
  <c r="AE687" i="13"/>
  <c r="AF687" i="13" s="1"/>
  <c r="AE679" i="13"/>
  <c r="AF679" i="13" s="1"/>
  <c r="AE671" i="13"/>
  <c r="AF671" i="13" s="1"/>
  <c r="AE663" i="13"/>
  <c r="AF663" i="13" s="1"/>
  <c r="AE655" i="13"/>
  <c r="AF655" i="13" s="1"/>
  <c r="AE647" i="13"/>
  <c r="AF647" i="13" s="1"/>
  <c r="AE639" i="13"/>
  <c r="AF639" i="13" s="1"/>
  <c r="AE631" i="13"/>
  <c r="AF631" i="13" s="1"/>
  <c r="AE623" i="13"/>
  <c r="AF623" i="13" s="1"/>
  <c r="AE615" i="13"/>
  <c r="AF615" i="13" s="1"/>
  <c r="AE607" i="13"/>
  <c r="AF607" i="13" s="1"/>
  <c r="AE599" i="13"/>
  <c r="AF599" i="13" s="1"/>
  <c r="AE591" i="13"/>
  <c r="AF591" i="13" s="1"/>
  <c r="AE583" i="13"/>
  <c r="AF583" i="13" s="1"/>
  <c r="AE575" i="13"/>
  <c r="AF575" i="13" s="1"/>
  <c r="AE567" i="13"/>
  <c r="AF567" i="13" s="1"/>
  <c r="AE559" i="13"/>
  <c r="AF559" i="13" s="1"/>
  <c r="AE551" i="13"/>
  <c r="AF551" i="13" s="1"/>
  <c r="AE543" i="13"/>
  <c r="AF543" i="13" s="1"/>
  <c r="AE535" i="13"/>
  <c r="AF535" i="13" s="1"/>
  <c r="AE527" i="13"/>
  <c r="AF527" i="13" s="1"/>
  <c r="AE519" i="13"/>
  <c r="AF519" i="13" s="1"/>
  <c r="AE511" i="13"/>
  <c r="AF511" i="13" s="1"/>
  <c r="AE503" i="13"/>
  <c r="AF503" i="13" s="1"/>
  <c r="AE495" i="13"/>
  <c r="AF495" i="13" s="1"/>
  <c r="AE487" i="13"/>
  <c r="AF487" i="13" s="1"/>
  <c r="AE479" i="13"/>
  <c r="AF479" i="13" s="1"/>
  <c r="AE471" i="13"/>
  <c r="AF471" i="13" s="1"/>
  <c r="AE463" i="13"/>
  <c r="AF463" i="13" s="1"/>
  <c r="AE455" i="13"/>
  <c r="AF455" i="13" s="1"/>
  <c r="AE447" i="13"/>
  <c r="AF447" i="13" s="1"/>
  <c r="AE423" i="13"/>
  <c r="AF423" i="13" s="1"/>
  <c r="AE415" i="13"/>
  <c r="AF415" i="13" s="1"/>
  <c r="AE407" i="13"/>
  <c r="AF407" i="13" s="1"/>
  <c r="AE399" i="13"/>
  <c r="AF399" i="13" s="1"/>
  <c r="AE391" i="13"/>
  <c r="AF391" i="13" s="1"/>
  <c r="AE383" i="13"/>
  <c r="AF383" i="13" s="1"/>
  <c r="AE367" i="13"/>
  <c r="AF367" i="13" s="1"/>
  <c r="AE335" i="13"/>
  <c r="AF335" i="13" s="1"/>
  <c r="AE159" i="13"/>
  <c r="AF159" i="13" s="1"/>
  <c r="AE385" i="13"/>
  <c r="AF385" i="13" s="1"/>
  <c r="AE721" i="13"/>
  <c r="AF721" i="13" s="1"/>
  <c r="AE697" i="13"/>
  <c r="AF697" i="13" s="1"/>
  <c r="AE673" i="13"/>
  <c r="AF673" i="13" s="1"/>
  <c r="AE625" i="13"/>
  <c r="AF625" i="13" s="1"/>
  <c r="AE593" i="13"/>
  <c r="AF593" i="13" s="1"/>
  <c r="AE569" i="13"/>
  <c r="AF569" i="13" s="1"/>
  <c r="AE545" i="13"/>
  <c r="AF545" i="13" s="1"/>
  <c r="AE513" i="13"/>
  <c r="AF513" i="13" s="1"/>
  <c r="AE489" i="13"/>
  <c r="AF489" i="13" s="1"/>
  <c r="AE465" i="13"/>
  <c r="AF465" i="13" s="1"/>
  <c r="AE361" i="13"/>
  <c r="AF361" i="13" s="1"/>
  <c r="AE321" i="13"/>
  <c r="AF321" i="13" s="1"/>
  <c r="AE297" i="13"/>
  <c r="AF297" i="13" s="1"/>
  <c r="AE233" i="13"/>
  <c r="AF233" i="13" s="1"/>
  <c r="AE193" i="13"/>
  <c r="AF193" i="13" s="1"/>
  <c r="AE478" i="13"/>
  <c r="AF478" i="13" s="1"/>
  <c r="AE462" i="13"/>
  <c r="AF462" i="13" s="1"/>
  <c r="AE454" i="13"/>
  <c r="AF454" i="13" s="1"/>
  <c r="AE446" i="13"/>
  <c r="AF446" i="13" s="1"/>
  <c r="AE438" i="13"/>
  <c r="AF438" i="13" s="1"/>
  <c r="AE430" i="13"/>
  <c r="AF430" i="13" s="1"/>
  <c r="AE414" i="13"/>
  <c r="AF414" i="13" s="1"/>
  <c r="AE406" i="13"/>
  <c r="AF406" i="13" s="1"/>
  <c r="AE398" i="13"/>
  <c r="AF398" i="13" s="1"/>
  <c r="AE390" i="13"/>
  <c r="AF390" i="13" s="1"/>
  <c r="AE382" i="13"/>
  <c r="AF382" i="13" s="1"/>
  <c r="AE374" i="13"/>
  <c r="AF374" i="13" s="1"/>
  <c r="AE358" i="13"/>
  <c r="AF358" i="13" s="1"/>
  <c r="AE334" i="13"/>
  <c r="AF334" i="13" s="1"/>
  <c r="AE326" i="13"/>
  <c r="AF326" i="13" s="1"/>
  <c r="AE318" i="13"/>
  <c r="AF318" i="13" s="1"/>
  <c r="AE310" i="13"/>
  <c r="AF310" i="13" s="1"/>
  <c r="AE302" i="13"/>
  <c r="AF302" i="13" s="1"/>
  <c r="AE294" i="13"/>
  <c r="AF294" i="13" s="1"/>
  <c r="AE286" i="13"/>
  <c r="AF286" i="13" s="1"/>
  <c r="AE270" i="13"/>
  <c r="AF270" i="13" s="1"/>
  <c r="AE262" i="13"/>
  <c r="AF262" i="13" s="1"/>
  <c r="AE254" i="13"/>
  <c r="AF254" i="13" s="1"/>
  <c r="AE246" i="13"/>
  <c r="AF246" i="13" s="1"/>
  <c r="AE238" i="13"/>
  <c r="AF238" i="13" s="1"/>
  <c r="AE230" i="13"/>
  <c r="AF230" i="13" s="1"/>
  <c r="AE222" i="13"/>
  <c r="AF222" i="13" s="1"/>
  <c r="AE206" i="13"/>
  <c r="AF206" i="13" s="1"/>
  <c r="AE198" i="13"/>
  <c r="AF198" i="13" s="1"/>
  <c r="AE190" i="13"/>
  <c r="AF190" i="13" s="1"/>
  <c r="AE182" i="13"/>
  <c r="AF182" i="13" s="1"/>
  <c r="AE174" i="13"/>
  <c r="AF174" i="13" s="1"/>
  <c r="AE166" i="13"/>
  <c r="AF166" i="13" s="1"/>
  <c r="AE158" i="13"/>
  <c r="AF158" i="13" s="1"/>
  <c r="AE142" i="13"/>
  <c r="AF142" i="13" s="1"/>
  <c r="AE134" i="13"/>
  <c r="AF134" i="13" s="1"/>
  <c r="AE126" i="13"/>
  <c r="AF126" i="13" s="1"/>
  <c r="AE118" i="13"/>
  <c r="AF118" i="13" s="1"/>
  <c r="AE110" i="13"/>
  <c r="AF110" i="13" s="1"/>
  <c r="AE102" i="13"/>
  <c r="AF102" i="13" s="1"/>
  <c r="AE94" i="13"/>
  <c r="AF94" i="13" s="1"/>
  <c r="AE78" i="13"/>
  <c r="AF78" i="13" s="1"/>
  <c r="AE70" i="13"/>
  <c r="AF70" i="13" s="1"/>
  <c r="AE62" i="13"/>
  <c r="AF62" i="13" s="1"/>
  <c r="AE54" i="13"/>
  <c r="AF54" i="13" s="1"/>
  <c r="AE46" i="13"/>
  <c r="AF46" i="13" s="1"/>
  <c r="AE38" i="13"/>
  <c r="AF38" i="13" s="1"/>
  <c r="AE30" i="13"/>
  <c r="AF30" i="13" s="1"/>
  <c r="AE14" i="13"/>
  <c r="AF14" i="13" s="1"/>
  <c r="AE6" i="13"/>
  <c r="AF6" i="13" s="1"/>
  <c r="AE458" i="13"/>
  <c r="AF458" i="13" s="1"/>
  <c r="AE717" i="13"/>
  <c r="AF717" i="13" s="1"/>
  <c r="AE709" i="13"/>
  <c r="AF709" i="13" s="1"/>
  <c r="AE701" i="13"/>
  <c r="AF701" i="13" s="1"/>
  <c r="AE693" i="13"/>
  <c r="AF693" i="13" s="1"/>
  <c r="AE685" i="13"/>
  <c r="AF685" i="13" s="1"/>
  <c r="AE677" i="13"/>
  <c r="AF677" i="13" s="1"/>
  <c r="AE669" i="13"/>
  <c r="AF669" i="13" s="1"/>
  <c r="AE661" i="13"/>
  <c r="AF661" i="13" s="1"/>
  <c r="AE653" i="13"/>
  <c r="AF653" i="13" s="1"/>
  <c r="AE645" i="13"/>
  <c r="AF645" i="13" s="1"/>
  <c r="AE637" i="13"/>
  <c r="AF637" i="13" s="1"/>
  <c r="AE629" i="13"/>
  <c r="AF629" i="13" s="1"/>
  <c r="AE621" i="13"/>
  <c r="AF621" i="13" s="1"/>
  <c r="AE613" i="13"/>
  <c r="AF613" i="13" s="1"/>
  <c r="AE605" i="13"/>
  <c r="AF605" i="13" s="1"/>
  <c r="AE597" i="13"/>
  <c r="AF597" i="13" s="1"/>
  <c r="AE589" i="13"/>
  <c r="AF589" i="13" s="1"/>
  <c r="AE581" i="13"/>
  <c r="AF581" i="13" s="1"/>
  <c r="AE573" i="13"/>
  <c r="AF573" i="13" s="1"/>
  <c r="AE565" i="13"/>
  <c r="AF565" i="13" s="1"/>
  <c r="AE557" i="13"/>
  <c r="AF557" i="13" s="1"/>
  <c r="AE549" i="13"/>
  <c r="AF549" i="13" s="1"/>
  <c r="AE541" i="13"/>
  <c r="AF541" i="13" s="1"/>
  <c r="AE533" i="13"/>
  <c r="AF533" i="13" s="1"/>
  <c r="AE525" i="13"/>
  <c r="AF525" i="13" s="1"/>
  <c r="AE517" i="13"/>
  <c r="AF517" i="13" s="1"/>
  <c r="AE509" i="13"/>
  <c r="AF509" i="13" s="1"/>
  <c r="AE501" i="13"/>
  <c r="AF501" i="13" s="1"/>
  <c r="AE493" i="13"/>
  <c r="AF493" i="13" s="1"/>
  <c r="AE485" i="13"/>
  <c r="AF485" i="13" s="1"/>
  <c r="AE477" i="13"/>
  <c r="AF477" i="13" s="1"/>
  <c r="AE469" i="13"/>
  <c r="AF469" i="13" s="1"/>
  <c r="AE461" i="13"/>
  <c r="AF461" i="13" s="1"/>
  <c r="AE453" i="13"/>
  <c r="AF453" i="13" s="1"/>
  <c r="AE445" i="13"/>
  <c r="AF445" i="13" s="1"/>
  <c r="AE437" i="13"/>
  <c r="AF437" i="13" s="1"/>
  <c r="AE429" i="13"/>
  <c r="AF429" i="13" s="1"/>
  <c r="AE421" i="13"/>
  <c r="AF421" i="13" s="1"/>
  <c r="AE413" i="13"/>
  <c r="AF413" i="13" s="1"/>
  <c r="AE405" i="13"/>
  <c r="AF405" i="13" s="1"/>
  <c r="AE397" i="13"/>
  <c r="AF397" i="13" s="1"/>
  <c r="AE389" i="13"/>
  <c r="AF389" i="13" s="1"/>
  <c r="AE381" i="13"/>
  <c r="AF381" i="13" s="1"/>
  <c r="AE373" i="13"/>
  <c r="AF373" i="13" s="1"/>
  <c r="AE365" i="13"/>
  <c r="AF365" i="13" s="1"/>
  <c r="AE357" i="13"/>
  <c r="AF357" i="13" s="1"/>
  <c r="AE349" i="13"/>
  <c r="AF349" i="13" s="1"/>
  <c r="AE341" i="13"/>
  <c r="AF341" i="13" s="1"/>
  <c r="AE333" i="13"/>
  <c r="AF333" i="13" s="1"/>
  <c r="AE325" i="13"/>
  <c r="AF325" i="13" s="1"/>
  <c r="AE317" i="13"/>
  <c r="AF317" i="13" s="1"/>
  <c r="AE309" i="13"/>
  <c r="AF309" i="13" s="1"/>
  <c r="AE301" i="13"/>
  <c r="AF301" i="13" s="1"/>
  <c r="AE293" i="13"/>
  <c r="AF293" i="13" s="1"/>
  <c r="AE285" i="13"/>
  <c r="AF285" i="13" s="1"/>
  <c r="AE277" i="13"/>
  <c r="AF277" i="13" s="1"/>
  <c r="AE269" i="13"/>
  <c r="AF269" i="13" s="1"/>
  <c r="AE261" i="13"/>
  <c r="AF261" i="13" s="1"/>
  <c r="AE253" i="13"/>
  <c r="AF253" i="13" s="1"/>
  <c r="AE245" i="13"/>
  <c r="AF245" i="13" s="1"/>
  <c r="AE237" i="13"/>
  <c r="AF237" i="13" s="1"/>
  <c r="AE229" i="13"/>
  <c r="AF229" i="13" s="1"/>
  <c r="AE221" i="13"/>
  <c r="AF221" i="13" s="1"/>
  <c r="AE213" i="13"/>
  <c r="AF213" i="13" s="1"/>
  <c r="AE205" i="13"/>
  <c r="AF205" i="13" s="1"/>
  <c r="AE197" i="13"/>
  <c r="AF197" i="13" s="1"/>
  <c r="AE189" i="13"/>
  <c r="AF189" i="13" s="1"/>
  <c r="AE181" i="13"/>
  <c r="AF181" i="13" s="1"/>
  <c r="AE173" i="13"/>
  <c r="AF173" i="13" s="1"/>
  <c r="AE165" i="13"/>
  <c r="AF165" i="13" s="1"/>
  <c r="AE157" i="13"/>
  <c r="AF157" i="13" s="1"/>
  <c r="AE149" i="13"/>
  <c r="AF149" i="13" s="1"/>
  <c r="AE141" i="13"/>
  <c r="AF141" i="13" s="1"/>
  <c r="AE133" i="13"/>
  <c r="AF133" i="13" s="1"/>
  <c r="AE125" i="13"/>
  <c r="AF125" i="13" s="1"/>
  <c r="AE117" i="13"/>
  <c r="AF117" i="13" s="1"/>
  <c r="AE109" i="13"/>
  <c r="AF109" i="13" s="1"/>
  <c r="AE101" i="13"/>
  <c r="AF101" i="13" s="1"/>
  <c r="AE93" i="13"/>
  <c r="AF93" i="13" s="1"/>
  <c r="AE85" i="13"/>
  <c r="AF85" i="13" s="1"/>
  <c r="AE77" i="13"/>
  <c r="AF77" i="13" s="1"/>
  <c r="AE69" i="13"/>
  <c r="AF69" i="13" s="1"/>
  <c r="AE61" i="13"/>
  <c r="AF61" i="13" s="1"/>
  <c r="AE53" i="13"/>
  <c r="AF53" i="13" s="1"/>
  <c r="AE45" i="13"/>
  <c r="AF45" i="13" s="1"/>
  <c r="AE37" i="13"/>
  <c r="AF37" i="13" s="1"/>
  <c r="AE29" i="13"/>
  <c r="AF29" i="13" s="1"/>
  <c r="AE21" i="13"/>
  <c r="AF21" i="13" s="1"/>
  <c r="AE13" i="13"/>
  <c r="AF13" i="13" s="1"/>
  <c r="AE5" i="13"/>
  <c r="AF5" i="13" s="1"/>
  <c r="AE412" i="13"/>
  <c r="AF412" i="13" s="1"/>
  <c r="AE376" i="13"/>
  <c r="AF376" i="13" s="1"/>
  <c r="AE716" i="13"/>
  <c r="AF716" i="13" s="1"/>
  <c r="AE708" i="13"/>
  <c r="AF708" i="13" s="1"/>
  <c r="AE700" i="13"/>
  <c r="AF700" i="13" s="1"/>
  <c r="AE692" i="13"/>
  <c r="AF692" i="13" s="1"/>
  <c r="AE684" i="13"/>
  <c r="AF684" i="13" s="1"/>
  <c r="AE676" i="13"/>
  <c r="AF676" i="13" s="1"/>
  <c r="AE668" i="13"/>
  <c r="AF668" i="13" s="1"/>
  <c r="AE660" i="13"/>
  <c r="AF660" i="13" s="1"/>
  <c r="AE652" i="13"/>
  <c r="AF652" i="13" s="1"/>
  <c r="AE644" i="13"/>
  <c r="AF644" i="13" s="1"/>
  <c r="AE636" i="13"/>
  <c r="AF636" i="13" s="1"/>
  <c r="AE628" i="13"/>
  <c r="AF628" i="13" s="1"/>
  <c r="AE620" i="13"/>
  <c r="AF620" i="13" s="1"/>
  <c r="AE612" i="13"/>
  <c r="AF612" i="13" s="1"/>
  <c r="AE604" i="13"/>
  <c r="AF604" i="13" s="1"/>
  <c r="AE596" i="13"/>
  <c r="AF596" i="13" s="1"/>
  <c r="AE588" i="13"/>
  <c r="AF588" i="13" s="1"/>
  <c r="AE580" i="13"/>
  <c r="AF580" i="13" s="1"/>
  <c r="AE572" i="13"/>
  <c r="AF572" i="13" s="1"/>
  <c r="AE564" i="13"/>
  <c r="AF564" i="13" s="1"/>
  <c r="AE556" i="13"/>
  <c r="AF556" i="13" s="1"/>
  <c r="AE548" i="13"/>
  <c r="AF548" i="13" s="1"/>
  <c r="AE540" i="13"/>
  <c r="AF540" i="13" s="1"/>
  <c r="AE532" i="13"/>
  <c r="AF532" i="13" s="1"/>
  <c r="AE524" i="13"/>
  <c r="AF524" i="13" s="1"/>
  <c r="AE516" i="13"/>
  <c r="AF516" i="13" s="1"/>
  <c r="AE508" i="13"/>
  <c r="AF508" i="13" s="1"/>
  <c r="AE500" i="13"/>
  <c r="AF500" i="13" s="1"/>
  <c r="AE492" i="13"/>
  <c r="AF492" i="13" s="1"/>
  <c r="AE468" i="13"/>
  <c r="AF468" i="13" s="1"/>
  <c r="AE460" i="13"/>
  <c r="AF460" i="13" s="1"/>
  <c r="AE452" i="13"/>
  <c r="AF452" i="13" s="1"/>
  <c r="AE444" i="13"/>
  <c r="AF444" i="13" s="1"/>
  <c r="AE436" i="13"/>
  <c r="AF436" i="13" s="1"/>
  <c r="AE428" i="13"/>
  <c r="AF428" i="13" s="1"/>
  <c r="AE404" i="13"/>
  <c r="AF404" i="13" s="1"/>
  <c r="AE396" i="13"/>
  <c r="AF396" i="13" s="1"/>
  <c r="AE388" i="13"/>
  <c r="AF388" i="13" s="1"/>
  <c r="AE380" i="13"/>
  <c r="AF380" i="13" s="1"/>
  <c r="AE372" i="13"/>
  <c r="AF372" i="13" s="1"/>
  <c r="AE356" i="13"/>
  <c r="AF356" i="13" s="1"/>
  <c r="AE348" i="13"/>
  <c r="AF348" i="13" s="1"/>
  <c r="AE449" i="13"/>
  <c r="AF449" i="13" s="1"/>
  <c r="AE715" i="13"/>
  <c r="AF715" i="13" s="1"/>
  <c r="AE707" i="13"/>
  <c r="AF707" i="13" s="1"/>
  <c r="AE699" i="13"/>
  <c r="AF699" i="13" s="1"/>
  <c r="AE691" i="13"/>
  <c r="AF691" i="13" s="1"/>
  <c r="AE683" i="13"/>
  <c r="AF683" i="13" s="1"/>
  <c r="AE675" i="13"/>
  <c r="AF675" i="13" s="1"/>
  <c r="AE667" i="13"/>
  <c r="AF667" i="13" s="1"/>
  <c r="AE659" i="13"/>
  <c r="AF659" i="13" s="1"/>
  <c r="AE651" i="13"/>
  <c r="AF651" i="13" s="1"/>
  <c r="AE643" i="13"/>
  <c r="AF643" i="13" s="1"/>
  <c r="AE635" i="13"/>
  <c r="AF635" i="13" s="1"/>
  <c r="AE627" i="13"/>
  <c r="AF627" i="13" s="1"/>
  <c r="AE619" i="13"/>
  <c r="AF619" i="13" s="1"/>
  <c r="AE611" i="13"/>
  <c r="AF611" i="13" s="1"/>
  <c r="AE595" i="13"/>
  <c r="AF595" i="13" s="1"/>
  <c r="AE587" i="13"/>
  <c r="AF587" i="13" s="1"/>
  <c r="AE579" i="13"/>
  <c r="AF579" i="13" s="1"/>
  <c r="AE571" i="13"/>
  <c r="AF571" i="13" s="1"/>
  <c r="AE563" i="13"/>
  <c r="AF563" i="13" s="1"/>
  <c r="AE555" i="13"/>
  <c r="AF555" i="13" s="1"/>
  <c r="AE547" i="13"/>
  <c r="AF547" i="13" s="1"/>
  <c r="AE539" i="13"/>
  <c r="AF539" i="13" s="1"/>
  <c r="AE531" i="13"/>
  <c r="AF531" i="13" s="1"/>
  <c r="AE523" i="13"/>
  <c r="AF523" i="13" s="1"/>
  <c r="AE515" i="13"/>
  <c r="AF515" i="13" s="1"/>
  <c r="AE507" i="13"/>
  <c r="AF507" i="13" s="1"/>
  <c r="AE499" i="13"/>
  <c r="AF499" i="13" s="1"/>
  <c r="AE491" i="13"/>
  <c r="AF491" i="13" s="1"/>
  <c r="AE483" i="13"/>
  <c r="AF483" i="13" s="1"/>
  <c r="AE459" i="13"/>
  <c r="AF459" i="13" s="1"/>
  <c r="AE451" i="13"/>
  <c r="AF451" i="13" s="1"/>
  <c r="AE443" i="13"/>
  <c r="AF443" i="13" s="1"/>
  <c r="AE435" i="13"/>
  <c r="AF435" i="13" s="1"/>
  <c r="AE427" i="13"/>
  <c r="AF427" i="13" s="1"/>
  <c r="AE419" i="13"/>
  <c r="AF419" i="13" s="1"/>
  <c r="AE395" i="13"/>
  <c r="AF395" i="13" s="1"/>
  <c r="AE387" i="13"/>
  <c r="AF387" i="13" s="1"/>
  <c r="AE379" i="13"/>
  <c r="AF379" i="13" s="1"/>
  <c r="AE403" i="13"/>
  <c r="AF403" i="13" s="1"/>
  <c r="AE351" i="13"/>
  <c r="AF351" i="13" s="1"/>
  <c r="AE343" i="13"/>
  <c r="AF343" i="13" s="1"/>
  <c r="AE327" i="13"/>
  <c r="AF327" i="13" s="1"/>
  <c r="AE319" i="13"/>
  <c r="AF319" i="13" s="1"/>
  <c r="AE311" i="13"/>
  <c r="AF311" i="13" s="1"/>
  <c r="AE303" i="13"/>
  <c r="AF303" i="13" s="1"/>
  <c r="AE295" i="13"/>
  <c r="AF295" i="13" s="1"/>
  <c r="AE287" i="13"/>
  <c r="AF287" i="13" s="1"/>
  <c r="AE279" i="13"/>
  <c r="AF279" i="13" s="1"/>
  <c r="AE271" i="13"/>
  <c r="AF271" i="13" s="1"/>
  <c r="AE263" i="13"/>
  <c r="AF263" i="13" s="1"/>
  <c r="AE255" i="13"/>
  <c r="AF255" i="13" s="1"/>
  <c r="AE247" i="13"/>
  <c r="AF247" i="13" s="1"/>
  <c r="AE239" i="13"/>
  <c r="AF239" i="13" s="1"/>
  <c r="AE223" i="13"/>
  <c r="AF223" i="13" s="1"/>
  <c r="AE215" i="13"/>
  <c r="AF215" i="13" s="1"/>
  <c r="AE207" i="13"/>
  <c r="AF207" i="13" s="1"/>
  <c r="AE199" i="13"/>
  <c r="AF199" i="13" s="1"/>
  <c r="AE191" i="13"/>
  <c r="AF191" i="13" s="1"/>
  <c r="AE183" i="13"/>
  <c r="AF183" i="13" s="1"/>
  <c r="AE175" i="13"/>
  <c r="AF175" i="13" s="1"/>
  <c r="AE167" i="13"/>
  <c r="AF167" i="13" s="1"/>
  <c r="AE151" i="13"/>
  <c r="AF151" i="13" s="1"/>
  <c r="AE143" i="13"/>
  <c r="AF143" i="13" s="1"/>
  <c r="AE135" i="13"/>
  <c r="AF135" i="13" s="1"/>
  <c r="AE127" i="13"/>
  <c r="AF127" i="13" s="1"/>
  <c r="AE119" i="13"/>
  <c r="AF119" i="13" s="1"/>
  <c r="AE111" i="13"/>
  <c r="AF111" i="13" s="1"/>
  <c r="AE103" i="13"/>
  <c r="AF103" i="13" s="1"/>
  <c r="AE95" i="13"/>
  <c r="AF95" i="13" s="1"/>
  <c r="AE87" i="13"/>
  <c r="AF87" i="13" s="1"/>
  <c r="AE79" i="13"/>
  <c r="AF79" i="13" s="1"/>
  <c r="AE71" i="13"/>
  <c r="AF71" i="13" s="1"/>
  <c r="AE63" i="13"/>
  <c r="AF63" i="13" s="1"/>
  <c r="AE55" i="13"/>
  <c r="AF55" i="13" s="1"/>
  <c r="AE47" i="13"/>
  <c r="AF47" i="13" s="1"/>
  <c r="AE39" i="13"/>
  <c r="AF39" i="13" s="1"/>
  <c r="AE31" i="13"/>
  <c r="AF31" i="13" s="1"/>
  <c r="AE15" i="13"/>
  <c r="AF15" i="13" s="1"/>
  <c r="AE7" i="13"/>
  <c r="AF7" i="13" s="1"/>
  <c r="AE484" i="13"/>
  <c r="AF484" i="13" s="1"/>
  <c r="AE475" i="13"/>
  <c r="AF475" i="13" s="1"/>
  <c r="AE466" i="13"/>
  <c r="AF466" i="13" s="1"/>
  <c r="AE457" i="13"/>
  <c r="AF457" i="13" s="1"/>
  <c r="AE448" i="13"/>
  <c r="AF448" i="13" s="1"/>
  <c r="AE420" i="13"/>
  <c r="AF420" i="13" s="1"/>
  <c r="AE411" i="13"/>
  <c r="AF411" i="13" s="1"/>
  <c r="AE402" i="13"/>
  <c r="AF402" i="13" s="1"/>
  <c r="AE393" i="13"/>
  <c r="AF393" i="13" s="1"/>
  <c r="AE384" i="13"/>
  <c r="AF384" i="13" s="1"/>
  <c r="AE375" i="13"/>
  <c r="AF375" i="13" s="1"/>
  <c r="AE364" i="13"/>
  <c r="AF364" i="13" s="1"/>
  <c r="AE353" i="13"/>
  <c r="AF353" i="13" s="1"/>
  <c r="AE340" i="13"/>
  <c r="AF340" i="13" s="1"/>
  <c r="AE328" i="13"/>
  <c r="AF328" i="13" s="1"/>
  <c r="AE276" i="13"/>
  <c r="AF276" i="13" s="1"/>
  <c r="AE264" i="13"/>
  <c r="AF264" i="13" s="1"/>
  <c r="AE371" i="13"/>
  <c r="AF371" i="13" s="1"/>
  <c r="AE363" i="13"/>
  <c r="AF363" i="13" s="1"/>
  <c r="AE355" i="13"/>
  <c r="AF355" i="13" s="1"/>
  <c r="AE347" i="13"/>
  <c r="AF347" i="13" s="1"/>
  <c r="AE339" i="13"/>
  <c r="AF339" i="13" s="1"/>
  <c r="AE331" i="13"/>
  <c r="AF331" i="13" s="1"/>
  <c r="AE323" i="13"/>
  <c r="AF323" i="13" s="1"/>
  <c r="AE315" i="13"/>
  <c r="AF315" i="13" s="1"/>
  <c r="AE307" i="13"/>
  <c r="AF307" i="13" s="1"/>
  <c r="AE299" i="13"/>
  <c r="AF299" i="13" s="1"/>
  <c r="AE291" i="13"/>
  <c r="AF291" i="13" s="1"/>
  <c r="AE283" i="13"/>
  <c r="AF283" i="13" s="1"/>
  <c r="AE275" i="13"/>
  <c r="AF275" i="13" s="1"/>
  <c r="AE267" i="13"/>
  <c r="AF267" i="13" s="1"/>
  <c r="AE259" i="13"/>
  <c r="AF259" i="13" s="1"/>
  <c r="AE251" i="13"/>
  <c r="AF251" i="13" s="1"/>
  <c r="AE243" i="13"/>
  <c r="AF243" i="13" s="1"/>
  <c r="AE235" i="13"/>
  <c r="AF235" i="13" s="1"/>
  <c r="AE227" i="13"/>
  <c r="AF227" i="13" s="1"/>
  <c r="AE211" i="13"/>
  <c r="AF211" i="13" s="1"/>
  <c r="AE203" i="13"/>
  <c r="AF203" i="13" s="1"/>
  <c r="AE195" i="13"/>
  <c r="AF195" i="13" s="1"/>
  <c r="AE187" i="13"/>
  <c r="AF187" i="13" s="1"/>
  <c r="AE179" i="13"/>
  <c r="AF179" i="13" s="1"/>
  <c r="AE171" i="13"/>
  <c r="AF171" i="13" s="1"/>
  <c r="AE163" i="13"/>
  <c r="AF163" i="13" s="1"/>
  <c r="AE155" i="13"/>
  <c r="AF155" i="13" s="1"/>
  <c r="AE147" i="13"/>
  <c r="AF147" i="13" s="1"/>
  <c r="AE139" i="13"/>
  <c r="AF139" i="13" s="1"/>
  <c r="AE131" i="13"/>
  <c r="AF131" i="13" s="1"/>
  <c r="AE123" i="13"/>
  <c r="AF123" i="13" s="1"/>
  <c r="AE115" i="13"/>
  <c r="AF115" i="13" s="1"/>
  <c r="AE107" i="13"/>
  <c r="AF107" i="13" s="1"/>
  <c r="AE99" i="13"/>
  <c r="AF99" i="13" s="1"/>
  <c r="AE91" i="13"/>
  <c r="AF91" i="13" s="1"/>
  <c r="AE83" i="13"/>
  <c r="AF83" i="13" s="1"/>
  <c r="AE75" i="13"/>
  <c r="AF75" i="13" s="1"/>
  <c r="AE67" i="13"/>
  <c r="AF67" i="13" s="1"/>
  <c r="AE59" i="13"/>
  <c r="AF59" i="13" s="1"/>
  <c r="AE51" i="13"/>
  <c r="AF51" i="13" s="1"/>
  <c r="AE35" i="13"/>
  <c r="AF35" i="13" s="1"/>
  <c r="AE27" i="13"/>
  <c r="AF27" i="13" s="1"/>
  <c r="AE19" i="13"/>
  <c r="AF19" i="13" s="1"/>
  <c r="AE11" i="13"/>
  <c r="AF11" i="13" s="1"/>
  <c r="AE3" i="13"/>
  <c r="AF3" i="13" s="1"/>
  <c r="B4" i="11"/>
  <c r="AF2" i="13" l="1"/>
  <c r="B3" i="14"/>
  <c r="B4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0380B6-E8E9-42FD-8C61-DDD4CE82F894}" keepAlive="1" name="Query - Cleaned data" description="Connection to the 'Cleaned data' query in the workbook." type="5" refreshedVersion="8" background="1" saveData="1">
    <dbPr connection="Provider=Microsoft.Mashup.OleDb.1;Data Source=$Workbook$;Location=&quot;Cleaned data&quot;;Extended Properties=&quot;&quot;" command="SELECT * FROM [Cleaned dat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<sst xmlns="http://schemas.openxmlformats.org/spreadsheetml/2006/main" count="25690" uniqueCount="1359">
  <si>
    <t>Task List</t>
  </si>
  <si>
    <t>Task_ID</t>
  </si>
  <si>
    <t>Skill Area</t>
  </si>
  <si>
    <t>Task</t>
  </si>
  <si>
    <t>Expected Deliverable</t>
  </si>
  <si>
    <t>T01</t>
  </si>
  <si>
    <t>Data Audit</t>
  </si>
  <si>
    <t>Create a data quality log showing record count, unique orders, duplicates, missing values, invalid dates, invalid quantities/prices, unusually high discounts, and inconsistent text values.</t>
  </si>
  <si>
    <t>Data Quality Log sheet with issue counts and example Order_IDs.</t>
  </si>
  <si>
    <t>T02</t>
  </si>
  <si>
    <t>Data Cleaning</t>
  </si>
  <si>
    <t>Build a Clean_Orders table without editing Raw_Orders. Standardize category, region, sales channel, marketing channel, and returned values. Decide how to handle invalid records and document the rule used.</t>
  </si>
  <si>
    <t>Clean_Orders table plus short cleaning notes.</t>
  </si>
  <si>
    <t>T03</t>
  </si>
  <si>
    <t>Lookups</t>
  </si>
  <si>
    <t>Use lookup formulas to enrich orders with canonical product details, product cost, customer loyalty tier, and customer signup date.</t>
  </si>
  <si>
    <t>Formula-based lookup columns in Clean_Orders.</t>
  </si>
  <si>
    <t>T04</t>
  </si>
  <si>
    <t>Calculated Fields</t>
  </si>
  <si>
    <t>Add Gross Sales, Discount Amount, Net Sales, COGS, Gross Profit, Margin %, Delivery Days, Late Shipment, Order Month, Order Quarter, and Returned Flag fields.</t>
  </si>
  <si>
    <t>Formula-based calculated columns with proper number formats.</t>
  </si>
  <si>
    <t>T05</t>
  </si>
  <si>
    <t>Summary Formulas</t>
  </si>
  <si>
    <t>Answer KPI questions using SUMIFS/COUNTIFS/AVERAGEIFS or equivalent formulas: total net sales, gross profit, margin %, order count, average order value, return rate, and late shipment rate.</t>
  </si>
  <si>
    <t>KPI table with formulas, not typed answers.</t>
  </si>
  <si>
    <t>T06</t>
  </si>
  <si>
    <t>Pivot Analysis</t>
  </si>
  <si>
    <t>Create pivot summaries by month, region, category, customer segment, sales channel, and loyalty tier. Include at least one calculated percentage or variance metric.</t>
  </si>
  <si>
    <t>Pivot tables or equivalent dynamic summaries.</t>
  </si>
  <si>
    <t>T07</t>
  </si>
  <si>
    <t>Target Variance</t>
  </si>
  <si>
    <t>Compare actual sales and profit against Monthly_Targets by month, region, and category. Show variance dollars, variance %, and Above/Below Target status.</t>
  </si>
  <si>
    <t>Target variance analysis table.</t>
  </si>
  <si>
    <t>T08</t>
  </si>
  <si>
    <t>Marketing ROI</t>
  </si>
  <si>
    <t>Join or summarize orders against Marketing_Spend by month, region, and marketing channel. Calculate revenue per marketing dollar and lead-to-order conversion proxy.</t>
  </si>
  <si>
    <t>Marketing ROI table with notes on assumptions.</t>
  </si>
  <si>
    <t>T09</t>
  </si>
  <si>
    <t>Dashboard</t>
  </si>
  <si>
    <t>Create a one-page dashboard with KPI cards, filters/slicers where possible, and at least four charts: sales trend, category profit, region target attainment, and channel/marketing performance.</t>
  </si>
  <si>
    <t>Dashboard sheet designed for an executive viewer.</t>
  </si>
  <si>
    <t>T10</t>
  </si>
  <si>
    <t>Insight Writing</t>
  </si>
  <si>
    <t>Write at least five business insights using numbers from your analysis, plus three specific recommendations and two data limitations.</t>
  </si>
  <si>
    <t>Insights section or sheet with evidence-based statements.</t>
  </si>
  <si>
    <t>T11</t>
  </si>
  <si>
    <t>Advanced Challenge</t>
  </si>
  <si>
    <t>Build one optional advanced analysis: Pareto 80/20 product analysis, cohort/repeat-customer analysis, simple forecast, discount sensitivity model, or anomaly detection view.</t>
  </si>
  <si>
    <t>Advanced analysis sheet with explanation.</t>
  </si>
  <si>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</si>
  <si>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</si>
  <si>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</si>
  <si>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</si>
  <si>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</si>
  <si>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</si>
  <si>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</si>
  <si>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</si>
  <si>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</si>
  <si>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Sales_Channel</t>
  </si>
  <si>
    <t>Marketing_Channel</t>
  </si>
  <si>
    <t>SKU</t>
  </si>
  <si>
    <t>Product_Name</t>
  </si>
  <si>
    <t>Category</t>
  </si>
  <si>
    <t>Subcategory</t>
  </si>
  <si>
    <t>Quantity</t>
  </si>
  <si>
    <t>Unit_Price</t>
  </si>
  <si>
    <t>Discount_Pct</t>
  </si>
  <si>
    <t>Shipping_Cost</t>
  </si>
  <si>
    <t>Order_Priority</t>
  </si>
  <si>
    <t>Returned</t>
  </si>
  <si>
    <t>Customer_Rating</t>
  </si>
  <si>
    <t>ORD-01074</t>
  </si>
  <si>
    <t>CUST-0096</t>
  </si>
  <si>
    <t>Mila Wilson</t>
  </si>
  <si>
    <t>Corporate</t>
  </si>
  <si>
    <t>East</t>
  </si>
  <si>
    <t>VA</t>
  </si>
  <si>
    <t>Richmond</t>
  </si>
  <si>
    <t>Wholesale</t>
  </si>
  <si>
    <t>Paid Search</t>
  </si>
  <si>
    <t>APP-KIT-102</t>
  </si>
  <si>
    <t>Mini Refrigerator</t>
  </si>
  <si>
    <t>Appliances</t>
  </si>
  <si>
    <t>Kitchen</t>
  </si>
  <si>
    <t>High</t>
  </si>
  <si>
    <t>No</t>
  </si>
  <si>
    <t>ORD-01355</t>
  </si>
  <si>
    <t>CUST-0004</t>
  </si>
  <si>
    <t>Riley Smith</t>
  </si>
  <si>
    <t>Small Business</t>
  </si>
  <si>
    <t>Affiliate</t>
  </si>
  <si>
    <t>FUR-DSK-101</t>
  </si>
  <si>
    <t>Standing Desk 48</t>
  </si>
  <si>
    <t>Furniture</t>
  </si>
  <si>
    <t>Desks</t>
  </si>
  <si>
    <t>ORD-01217</t>
  </si>
  <si>
    <t>CUST-0038</t>
  </si>
  <si>
    <t>Jordan Walker</t>
  </si>
  <si>
    <t>PA</t>
  </si>
  <si>
    <t>Philadelphia</t>
  </si>
  <si>
    <t>Social</t>
  </si>
  <si>
    <t>OFF-SUP-402</t>
  </si>
  <si>
    <t>Label Maker</t>
  </si>
  <si>
    <t>Office Supplies</t>
  </si>
  <si>
    <t>Supplies</t>
  </si>
  <si>
    <t>Medium</t>
  </si>
  <si>
    <t>ORD-01509</t>
  </si>
  <si>
    <t>CUST-0015</t>
  </si>
  <si>
    <t>Taylor Brown</t>
  </si>
  <si>
    <t>Partner</t>
  </si>
  <si>
    <t>APP-CLN-202</t>
  </si>
  <si>
    <t>Robot Vacuum</t>
  </si>
  <si>
    <t>Cleaning</t>
  </si>
  <si>
    <t>ORD-01638</t>
  </si>
  <si>
    <t>CUST-0036</t>
  </si>
  <si>
    <t>Avery Davis</t>
  </si>
  <si>
    <t>NY</t>
  </si>
  <si>
    <t>New York</t>
  </si>
  <si>
    <t>TEC-MON-201</t>
  </si>
  <si>
    <t>ClearView 27 Monitor</t>
  </si>
  <si>
    <t>Technology</t>
  </si>
  <si>
    <t>Monitors</t>
  </si>
  <si>
    <t>Critical</t>
  </si>
  <si>
    <t>ORD-01012</t>
  </si>
  <si>
    <t>CUST-0087</t>
  </si>
  <si>
    <t>Owen Wilson</t>
  </si>
  <si>
    <t>West</t>
  </si>
  <si>
    <t>OR</t>
  </si>
  <si>
    <t>Portland</t>
  </si>
  <si>
    <t>Retail Store</t>
  </si>
  <si>
    <t>Organic</t>
  </si>
  <si>
    <t>TEC-NET-402</t>
  </si>
  <si>
    <t>8-Port Network Switch</t>
  </si>
  <si>
    <t>Networking</t>
  </si>
  <si>
    <t>Low</t>
  </si>
  <si>
    <t>ORD-01307</t>
  </si>
  <si>
    <t>CUST-0104</t>
  </si>
  <si>
    <t>Drew Walker</t>
  </si>
  <si>
    <t>Central</t>
  </si>
  <si>
    <t>MN</t>
  </si>
  <si>
    <t>Minneapolis</t>
  </si>
  <si>
    <t>OFF-BIN-201</t>
  </si>
  <si>
    <t>Heavy-Duty Binder 12-Pack</t>
  </si>
  <si>
    <t>Binders</t>
  </si>
  <si>
    <t>ORD-01323</t>
  </si>
  <si>
    <t>CUST-0154</t>
  </si>
  <si>
    <t>Rowan Nguyen</t>
  </si>
  <si>
    <t>Email</t>
  </si>
  <si>
    <t>Yes</t>
  </si>
  <si>
    <t>ORD-01392</t>
  </si>
  <si>
    <t>CUST-0085</t>
  </si>
  <si>
    <t>Avery Chen</t>
  </si>
  <si>
    <t>Consumer</t>
  </si>
  <si>
    <t>OH</t>
  </si>
  <si>
    <t>Columbus</t>
  </si>
  <si>
    <t>APP-CLN-201</t>
  </si>
  <si>
    <t>Air Purifier</t>
  </si>
  <si>
    <t>ORD-01120</t>
  </si>
  <si>
    <t>CUST-0059</t>
  </si>
  <si>
    <t>Avery Young</t>
  </si>
  <si>
    <t>CA</t>
  </si>
  <si>
    <t>San Diego</t>
  </si>
  <si>
    <t>TEC-LAP-101</t>
  </si>
  <si>
    <t>ApexBook 14 Laptop</t>
  </si>
  <si>
    <t>Laptops</t>
  </si>
  <si>
    <t>ORD-01673</t>
  </si>
  <si>
    <t>CUST-0029</t>
  </si>
  <si>
    <t>Iris Miller</t>
  </si>
  <si>
    <t>Referral</t>
  </si>
  <si>
    <t>OFF-WRT-301</t>
  </si>
  <si>
    <t>Gel Pen Variety Pack</t>
  </si>
  <si>
    <t>Writing</t>
  </si>
  <si>
    <t>ORD-01308</t>
  </si>
  <si>
    <t>CUST-0130</t>
  </si>
  <si>
    <t>Iris Allen</t>
  </si>
  <si>
    <t>FUR-STO-301</t>
  </si>
  <si>
    <t>Two-Drawer File Cabinet</t>
  </si>
  <si>
    <t>Storage</t>
  </si>
  <si>
    <t>ORD-01285</t>
  </si>
  <si>
    <t>ORD-01515</t>
  </si>
  <si>
    <t>CUST-0053</t>
  </si>
  <si>
    <t>Kai Martinez</t>
  </si>
  <si>
    <t>Los Angeles</t>
  </si>
  <si>
    <t>ORD-01219</t>
  </si>
  <si>
    <t>CUST-0006</t>
  </si>
  <si>
    <t>Priya Wilson</t>
  </si>
  <si>
    <t>IL</t>
  </si>
  <si>
    <t>Chicago</t>
  </si>
  <si>
    <t>TEC-ACC-301</t>
  </si>
  <si>
    <t>Wireless Keyboard and Mouse</t>
  </si>
  <si>
    <t>Accessories</t>
  </si>
  <si>
    <t>ORD-01258</t>
  </si>
  <si>
    <t>CUST-0116</t>
  </si>
  <si>
    <t>Iris Clark</t>
  </si>
  <si>
    <t>South</t>
  </si>
  <si>
    <t>TN</t>
  </si>
  <si>
    <t>Nashville</t>
  </si>
  <si>
    <t>TEC-MON-202</t>
  </si>
  <si>
    <t>ClearView Ultrawide Monitor</t>
  </si>
  <si>
    <t>ORD-01224</t>
  </si>
  <si>
    <t>CUST-0031</t>
  </si>
  <si>
    <t>Noah Martinez</t>
  </si>
  <si>
    <t>NC</t>
  </si>
  <si>
    <t>Charlotte</t>
  </si>
  <si>
    <t>ORD-01604</t>
  </si>
  <si>
    <t>CUST-0121</t>
  </si>
  <si>
    <t>Lena Chen</t>
  </si>
  <si>
    <t>TEC-LAP-102</t>
  </si>
  <si>
    <t>ApexBook Pro 16 Laptop</t>
  </si>
  <si>
    <t>ORD-01172</t>
  </si>
  <si>
    <t>CUST-0023</t>
  </si>
  <si>
    <t>Jordan Smith</t>
  </si>
  <si>
    <t>NJ</t>
  </si>
  <si>
    <t>Newark</t>
  </si>
  <si>
    <t>OFF-WRT-302</t>
  </si>
  <si>
    <t>Mechanical Pencil Set</t>
  </si>
  <si>
    <t>ORD-01079</t>
  </si>
  <si>
    <t>CUST-0151</t>
  </si>
  <si>
    <t>Owen Johnson</t>
  </si>
  <si>
    <t>Online</t>
  </si>
  <si>
    <t>FUR-STO-302</t>
  </si>
  <si>
    <t>Modular Bookcase</t>
  </si>
  <si>
    <t>ORD-01453</t>
  </si>
  <si>
    <t>CUST-0139</t>
  </si>
  <si>
    <t>Riley Clark</t>
  </si>
  <si>
    <t>GA</t>
  </si>
  <si>
    <t>Atlanta</t>
  </si>
  <si>
    <t>ORD-01072</t>
  </si>
  <si>
    <t>CUST-0072</t>
  </si>
  <si>
    <t>Sam Wright</t>
  </si>
  <si>
    <t>LA</t>
  </si>
  <si>
    <t>New Orleans</t>
  </si>
  <si>
    <t>ORD-01297</t>
  </si>
  <si>
    <t>ORD-01584</t>
  </si>
  <si>
    <t>FUR-CHR-202</t>
  </si>
  <si>
    <t>Mesh Conference Chair</t>
  </si>
  <si>
    <t>Chairs</t>
  </si>
  <si>
    <t>ORD-01121</t>
  </si>
  <si>
    <t>CUST-0092</t>
  </si>
  <si>
    <t>Alex Brown</t>
  </si>
  <si>
    <t>FL</t>
  </si>
  <si>
    <t>Miami</t>
  </si>
  <si>
    <t>TEC-NET-401</t>
  </si>
  <si>
    <t>Mesh Wi-Fi Router</t>
  </si>
  <si>
    <t>ORD-01168</t>
  </si>
  <si>
    <t>CUST-0062</t>
  </si>
  <si>
    <t>Taylor Johnson</t>
  </si>
  <si>
    <t>ORD-01402</t>
  </si>
  <si>
    <t>CUST-0161</t>
  </si>
  <si>
    <t>OFF-PAP-102</t>
  </si>
  <si>
    <t>Recycled Notebook Pack</t>
  </si>
  <si>
    <t>Paper</t>
  </si>
  <si>
    <t>ORD-01293</t>
  </si>
  <si>
    <t>CUST-0093</t>
  </si>
  <si>
    <t>APP-KIT-101</t>
  </si>
  <si>
    <t>Compact Coffee Brewer</t>
  </si>
  <si>
    <t>ORD-01016</t>
  </si>
  <si>
    <t>ORD-01272</t>
  </si>
  <si>
    <t>CUST-0156</t>
  </si>
  <si>
    <t>Alex Young</t>
  </si>
  <si>
    <t>ORD-01429</t>
  </si>
  <si>
    <t>OFF-SUP-401</t>
  </si>
  <si>
    <t>Desk Organizer Kit</t>
  </si>
  <si>
    <t>ORD-01701</t>
  </si>
  <si>
    <t>CUST-0035</t>
  </si>
  <si>
    <t>Priya Chen</t>
  </si>
  <si>
    <t>ORD-01056</t>
  </si>
  <si>
    <t>ORD-01410</t>
  </si>
  <si>
    <t>CUST-0103</t>
  </si>
  <si>
    <t>Kai Clark</t>
  </si>
  <si>
    <t>ORD-01086</t>
  </si>
  <si>
    <t>CUST-0165</t>
  </si>
  <si>
    <t>Maya Wilson</t>
  </si>
  <si>
    <t>MA</t>
  </si>
  <si>
    <t>Boston</t>
  </si>
  <si>
    <t>ORD-01015</t>
  </si>
  <si>
    <t>CUST-0054</t>
  </si>
  <si>
    <t>Maya Brown</t>
  </si>
  <si>
    <t>ORD-01302</t>
  </si>
  <si>
    <t>CUST-0063</t>
  </si>
  <si>
    <t>Avery Brown</t>
  </si>
  <si>
    <t>ORD-01246</t>
  </si>
  <si>
    <t>CUST-0045</t>
  </si>
  <si>
    <t>Jamie Brown</t>
  </si>
  <si>
    <t>OFF-BIN-202</t>
  </si>
  <si>
    <t>Presentation Folder Box</t>
  </si>
  <si>
    <t>ORD-01205</t>
  </si>
  <si>
    <t>CUST-0056</t>
  </si>
  <si>
    <t>ORD-01341</t>
  </si>
  <si>
    <t>CUST-0100</t>
  </si>
  <si>
    <t>Jamie Robinson</t>
  </si>
  <si>
    <t>WA</t>
  </si>
  <si>
    <t>Seattle</t>
  </si>
  <si>
    <t>ORD-01155</t>
  </si>
  <si>
    <t>CUST-0016</t>
  </si>
  <si>
    <t>ORD-01506</t>
  </si>
  <si>
    <t>ORD-01568</t>
  </si>
  <si>
    <t>CUST-0078</t>
  </si>
  <si>
    <t>Reese Nguyen</t>
  </si>
  <si>
    <t>ORD-01276</t>
  </si>
  <si>
    <t>CUST-0058</t>
  </si>
  <si>
    <t>TEC-ACC-302</t>
  </si>
  <si>
    <t>USB-C Docking Station</t>
  </si>
  <si>
    <t>ORD-01377</t>
  </si>
  <si>
    <t>ORD-01408</t>
  </si>
  <si>
    <t>CUST-0066</t>
  </si>
  <si>
    <t>Kai Robinson</t>
  </si>
  <si>
    <t>ORD-01098</t>
  </si>
  <si>
    <t>ORD-01548</t>
  </si>
  <si>
    <t>CUST-0033</t>
  </si>
  <si>
    <t>Cameron Smith</t>
  </si>
  <si>
    <t>ORD-01234</t>
  </si>
  <si>
    <t>CUST-0159</t>
  </si>
  <si>
    <t>Morgan Allen</t>
  </si>
  <si>
    <t>ORD-01671</t>
  </si>
  <si>
    <t>CUST-0090</t>
  </si>
  <si>
    <t>Reese Davis</t>
  </si>
  <si>
    <t>ORD-01231</t>
  </si>
  <si>
    <t>ORD-01103</t>
  </si>
  <si>
    <t>CUST-0011</t>
  </si>
  <si>
    <t>Reese Young</t>
  </si>
  <si>
    <t>ORD-01142</t>
  </si>
  <si>
    <t>CUST-0061</t>
  </si>
  <si>
    <t>Maya Miller</t>
  </si>
  <si>
    <t>ORD-01054</t>
  </si>
  <si>
    <t>CUST-0152</t>
  </si>
  <si>
    <t>Cameron Robinson</t>
  </si>
  <si>
    <t>ORD-01014</t>
  </si>
  <si>
    <t>CUST-0005</t>
  </si>
  <si>
    <t>Maya Hall</t>
  </si>
  <si>
    <t>ORD-01315</t>
  </si>
  <si>
    <t>ORD-01499</t>
  </si>
  <si>
    <t>CUST-0030</t>
  </si>
  <si>
    <t>Lena Martinez</t>
  </si>
  <si>
    <t>ORD-01708</t>
  </si>
  <si>
    <t>CUST-0140</t>
  </si>
  <si>
    <t>Sam Allen</t>
  </si>
  <si>
    <t>FUR-CHR-201</t>
  </si>
  <si>
    <t>ErgoFlex Office Chair</t>
  </si>
  <si>
    <t>ORD-01200</t>
  </si>
  <si>
    <t>ORD-01088</t>
  </si>
  <si>
    <t>CUST-0162</t>
  </si>
  <si>
    <t>Quinn Robinson</t>
  </si>
  <si>
    <t>ORD-01400</t>
  </si>
  <si>
    <t>ORD-01011</t>
  </si>
  <si>
    <t>CUST-0138</t>
  </si>
  <si>
    <t>Morgan Johnson</t>
  </si>
  <si>
    <t>CO</t>
  </si>
  <si>
    <t>Denver</t>
  </si>
  <si>
    <t>ORD-01687</t>
  </si>
  <si>
    <t>CUST-0095</t>
  </si>
  <si>
    <t>Drew Martinez</t>
  </si>
  <si>
    <t>ORD-01139</t>
  </si>
  <si>
    <t>CUST-0143</t>
  </si>
  <si>
    <t>Reese Brown</t>
  </si>
  <si>
    <t>ORD-01013</t>
  </si>
  <si>
    <t>ORD-01082</t>
  </si>
  <si>
    <t>CUST-0137</t>
  </si>
  <si>
    <t>Kai Davis</t>
  </si>
  <si>
    <t>FUR-DSK-102</t>
  </si>
  <si>
    <t>Executive Desk 60</t>
  </si>
  <si>
    <t>ORD-01151</t>
  </si>
  <si>
    <t>CUST-0028</t>
  </si>
  <si>
    <t>Rowan Scott</t>
  </si>
  <si>
    <t>ORD-01325</t>
  </si>
  <si>
    <t>ORD-01065</t>
  </si>
  <si>
    <t>CUST-0068</t>
  </si>
  <si>
    <t>ORD-01060</t>
  </si>
  <si>
    <t>CUST-0148</t>
  </si>
  <si>
    <t>Alex Wright</t>
  </si>
  <si>
    <t>ORD-01067</t>
  </si>
  <si>
    <t>ORD-01148</t>
  </si>
  <si>
    <t>CUST-0073</t>
  </si>
  <si>
    <t>Jordan Robinson</t>
  </si>
  <si>
    <t>ORD-01407</t>
  </si>
  <si>
    <t>ORD-01146</t>
  </si>
  <si>
    <t>online</t>
  </si>
  <si>
    <t>ORD-01556</t>
  </si>
  <si>
    <t>CUST-0027</t>
  </si>
  <si>
    <t>Cameron Lopez</t>
  </si>
  <si>
    <t>ORD-01222</t>
  </si>
  <si>
    <t>CUST-0107</t>
  </si>
  <si>
    <t>Jordan Clark</t>
  </si>
  <si>
    <t>ORD-01303</t>
  </si>
  <si>
    <t>CUST-0097</t>
  </si>
  <si>
    <t>Kai Chen</t>
  </si>
  <si>
    <t>ORD-01242</t>
  </si>
  <si>
    <t>ORD-01606</t>
  </si>
  <si>
    <t>ORD-01107</t>
  </si>
  <si>
    <t>CUST-0122</t>
  </si>
  <si>
    <t>Iris Wilson</t>
  </si>
  <si>
    <t>ORD-01469</t>
  </si>
  <si>
    <t>CUST-0118</t>
  </si>
  <si>
    <t>Maya Garcia</t>
  </si>
  <si>
    <t>ORD-01712</t>
  </si>
  <si>
    <t>ORD-01491</t>
  </si>
  <si>
    <t>CUST-0039</t>
  </si>
  <si>
    <t>Priya Miller</t>
  </si>
  <si>
    <t>ORD-01227</t>
  </si>
  <si>
    <t>ORD-01450</t>
  </si>
  <si>
    <t>CUST-0153</t>
  </si>
  <si>
    <t>ORD-01474</t>
  </si>
  <si>
    <t>CUST-0065</t>
  </si>
  <si>
    <t>Drew Nguyen</t>
  </si>
  <si>
    <t>ORD-01078</t>
  </si>
  <si>
    <t>ORD-01654</t>
  </si>
  <si>
    <t>CUST-0048</t>
  </si>
  <si>
    <t>Drew Clark</t>
  </si>
  <si>
    <t>ORD-01390</t>
  </si>
  <si>
    <t>ORD-01716</t>
  </si>
  <si>
    <t>CUST-0041</t>
  </si>
  <si>
    <t>Quinn Patel</t>
  </si>
  <si>
    <t>ORD-01042</t>
  </si>
  <si>
    <t>CUST-0008</t>
  </si>
  <si>
    <t>Owen Walker</t>
  </si>
  <si>
    <t>ORD-01660</t>
  </si>
  <si>
    <t>CUST-0147</t>
  </si>
  <si>
    <t>Priya Scott</t>
  </si>
  <si>
    <t>ORD-01324</t>
  </si>
  <si>
    <t>CUST-0010</t>
  </si>
  <si>
    <t>Cameron Kim</t>
  </si>
  <si>
    <t>ORD-01138</t>
  </si>
  <si>
    <t>ORD-01018</t>
  </si>
  <si>
    <t>ORD-01140</t>
  </si>
  <si>
    <t>CUST-0012</t>
  </si>
  <si>
    <t>Jordan Johnson</t>
  </si>
  <si>
    <t>ORD-01375</t>
  </si>
  <si>
    <t>CUST-0013</t>
  </si>
  <si>
    <t>Drew Allen</t>
  </si>
  <si>
    <t>ORD-01141</t>
  </si>
  <si>
    <t>CUST-0050</t>
  </si>
  <si>
    <t>OFF-PAP-101</t>
  </si>
  <si>
    <t>Premium Copy Paper Case</t>
  </si>
  <si>
    <t>ORD-01174</t>
  </si>
  <si>
    <t>ORD-01551</t>
  </si>
  <si>
    <t>CUST-0079</t>
  </si>
  <si>
    <t>Taylor Scott</t>
  </si>
  <si>
    <t>ORD-01091</t>
  </si>
  <si>
    <t>CUST-0064</t>
  </si>
  <si>
    <t>Quinn Wright</t>
  </si>
  <si>
    <t>ORD-01397</t>
  </si>
  <si>
    <t>CUST-0089</t>
  </si>
  <si>
    <t>Jamie Garcia</t>
  </si>
  <si>
    <t>ORD-01344</t>
  </si>
  <si>
    <t>ORD-01449</t>
  </si>
  <si>
    <t>CUST-0057</t>
  </si>
  <si>
    <t>Morgan Lopez</t>
  </si>
  <si>
    <t>ORD-01212</t>
  </si>
  <si>
    <t>CUST-0158</t>
  </si>
  <si>
    <t>Jamie Scott</t>
  </si>
  <si>
    <t>ORD-01359</t>
  </si>
  <si>
    <t>CUST-0123</t>
  </si>
  <si>
    <t>Taylor Wright</t>
  </si>
  <si>
    <t>ORD-01038</t>
  </si>
  <si>
    <t>CUST-0014</t>
  </si>
  <si>
    <t>ORD-01089</t>
  </si>
  <si>
    <t>CUST-0082</t>
  </si>
  <si>
    <t>TX</t>
  </si>
  <si>
    <t>Austin</t>
  </si>
  <si>
    <t>ORD-01083</t>
  </si>
  <si>
    <t>CUST-0117</t>
  </si>
  <si>
    <t>Alex Hall</t>
  </si>
  <si>
    <t>ORD-01470</t>
  </si>
  <si>
    <t>CUST-0018</t>
  </si>
  <si>
    <t>Owen Nguyen</t>
  </si>
  <si>
    <t>ORD-01634</t>
  </si>
  <si>
    <t>ORD-01448</t>
  </si>
  <si>
    <t>CUST-0150</t>
  </si>
  <si>
    <t>ORD-01477</t>
  </si>
  <si>
    <t>CUST-0144</t>
  </si>
  <si>
    <t>Iris Garcia</t>
  </si>
  <si>
    <t>ORD-01622</t>
  </si>
  <si>
    <t>CUST-0032</t>
  </si>
  <si>
    <t>ORD-01522</t>
  </si>
  <si>
    <t>CUST-0106</t>
  </si>
  <si>
    <t>Morgan Martinez</t>
  </si>
  <si>
    <t>ORD-01454</t>
  </si>
  <si>
    <t>ORD-01452</t>
  </si>
  <si>
    <t>CUST-0099</t>
  </si>
  <si>
    <t>Jamie Clark</t>
  </si>
  <si>
    <t>ORD-01529</t>
  </si>
  <si>
    <t>ORD-01715</t>
  </si>
  <si>
    <t>CUST-0047</t>
  </si>
  <si>
    <t>Reese Miller</t>
  </si>
  <si>
    <t>ORD-01237</t>
  </si>
  <si>
    <t>CUST-0133</t>
  </si>
  <si>
    <t>ORD-01480</t>
  </si>
  <si>
    <t>CUST-0126</t>
  </si>
  <si>
    <t>ORD-01328</t>
  </si>
  <si>
    <t>ORD-01517</t>
  </si>
  <si>
    <t>CUST-0088</t>
  </si>
  <si>
    <t>Noah Chen</t>
  </si>
  <si>
    <t>ORD-01077</t>
  </si>
  <si>
    <t>ORD-01202</t>
  </si>
  <si>
    <t>Store</t>
  </si>
  <si>
    <t>ORD-01466</t>
  </si>
  <si>
    <t>ORD-01134</t>
  </si>
  <si>
    <t>CUST-0120</t>
  </si>
  <si>
    <t>Sam Wilson</t>
  </si>
  <si>
    <t>ORD-01455</t>
  </si>
  <si>
    <t>CUST-0084</t>
  </si>
  <si>
    <t>Iris Patel</t>
  </si>
  <si>
    <t>ORD-01194</t>
  </si>
  <si>
    <t>ORD-01414</t>
  </si>
  <si>
    <t>CUST-0135</t>
  </si>
  <si>
    <t>Nia Miller</t>
  </si>
  <si>
    <t>ORD-01570</t>
  </si>
  <si>
    <t>ORD-01463</t>
  </si>
  <si>
    <t>CUST-0112</t>
  </si>
  <si>
    <t>Priya Walker</t>
  </si>
  <si>
    <t>ORD-01494</t>
  </si>
  <si>
    <t>CUST-0164</t>
  </si>
  <si>
    <t>Cameron Chen</t>
  </si>
  <si>
    <t>ORD-01513</t>
  </si>
  <si>
    <t>CUST-0132</t>
  </si>
  <si>
    <t>Priya Young</t>
  </si>
  <si>
    <t>EAST</t>
  </si>
  <si>
    <t>ORD-01009</t>
  </si>
  <si>
    <t>ORD-01539</t>
  </si>
  <si>
    <t>CUST-0026</t>
  </si>
  <si>
    <t>Casey Brown</t>
  </si>
  <si>
    <t>ORD-01578</t>
  </si>
  <si>
    <t>CUST-0017</t>
  </si>
  <si>
    <t>ORD-01694</t>
  </si>
  <si>
    <t>ORD-01415</t>
  </si>
  <si>
    <t>ORD-01619</t>
  </si>
  <si>
    <t>ORD-01085</t>
  </si>
  <si>
    <t>Technlogy</t>
  </si>
  <si>
    <t>ORD-01191</t>
  </si>
  <si>
    <t>CUST-0067</t>
  </si>
  <si>
    <t>ORD-01514</t>
  </si>
  <si>
    <t>ORD-01137</t>
  </si>
  <si>
    <t>ORD-01017</t>
  </si>
  <si>
    <t>CUST-0119</t>
  </si>
  <si>
    <t>Quinn Scott</t>
  </si>
  <si>
    <t>ORD-01587</t>
  </si>
  <si>
    <t>ORD-01567</t>
  </si>
  <si>
    <t>CUST-0111</t>
  </si>
  <si>
    <t>Avery Wright</t>
  </si>
  <si>
    <t>ORD-01283</t>
  </si>
  <si>
    <t>ORD-01122</t>
  </si>
  <si>
    <t>CUST-0046</t>
  </si>
  <si>
    <t>Skyler Miller</t>
  </si>
  <si>
    <t>ORD-01241</t>
  </si>
  <si>
    <t>ORD-01364</t>
  </si>
  <si>
    <t>ORD-01300</t>
  </si>
  <si>
    <t>ORD-01700</t>
  </si>
  <si>
    <t>CUST-0055</t>
  </si>
  <si>
    <t>Jamie Miller</t>
  </si>
  <si>
    <t>ORD-01039</t>
  </si>
  <si>
    <t>CUST-0060</t>
  </si>
  <si>
    <t>ORD-01418</t>
  </si>
  <si>
    <t>ORD-01031</t>
  </si>
  <si>
    <t>ORD-01713</t>
  </si>
  <si>
    <t>ORD-01413</t>
  </si>
  <si>
    <t>ORD-01526</t>
  </si>
  <si>
    <t>CUST-0040</t>
  </si>
  <si>
    <t>Drew Wilson</t>
  </si>
  <si>
    <t>ORD-01472</t>
  </si>
  <si>
    <t>ORD-01485</t>
  </si>
  <si>
    <t>ORD-01695</t>
  </si>
  <si>
    <t>ORD-01115</t>
  </si>
  <si>
    <t>ORD-01306</t>
  </si>
  <si>
    <t>CUST-0163</t>
  </si>
  <si>
    <t>Taylor Patel</t>
  </si>
  <si>
    <t>ORD-01206</t>
  </si>
  <si>
    <t>ORD-01360</t>
  </si>
  <si>
    <t>ORD-01424</t>
  </si>
  <si>
    <t>ORD-01508</t>
  </si>
  <si>
    <t>ORD-01048</t>
  </si>
  <si>
    <t>CUST-0075</t>
  </si>
  <si>
    <t>Jordan Hall</t>
  </si>
  <si>
    <t>ORD-01376</t>
  </si>
  <si>
    <t>ORD-01076</t>
  </si>
  <si>
    <t>ORD-01492</t>
  </si>
  <si>
    <t>ORD-01581</t>
  </si>
  <si>
    <t>CUST-0091</t>
  </si>
  <si>
    <t>Morgan Garcia</t>
  </si>
  <si>
    <t>ORD-01236</t>
  </si>
  <si>
    <t>ORD-01334</t>
  </si>
  <si>
    <t>ORD-01025</t>
  </si>
  <si>
    <t>ORD-01058</t>
  </si>
  <si>
    <t>ORD-01433</t>
  </si>
  <si>
    <t>CUST-0049</t>
  </si>
  <si>
    <t>Alex Allen</t>
  </si>
  <si>
    <t>ORD-01703</t>
  </si>
  <si>
    <t>CUST-0125</t>
  </si>
  <si>
    <t>Iris Lopez</t>
  </si>
  <si>
    <t>ORD-01041</t>
  </si>
  <si>
    <t>ORD-01417</t>
  </si>
  <si>
    <t>ORD-01228</t>
  </si>
  <si>
    <t>CUST-0115</t>
  </si>
  <si>
    <t>Quinn Nguyen</t>
  </si>
  <si>
    <t>ORD-01690</t>
  </si>
  <si>
    <t>CUST-0086</t>
  </si>
  <si>
    <t>Rowan Hall</t>
  </si>
  <si>
    <t>ORD-01193</t>
  </si>
  <si>
    <t>ORD-01613</t>
  </si>
  <si>
    <t>CUST-0128</t>
  </si>
  <si>
    <t>Iris King</t>
  </si>
  <si>
    <t>ORD-01681</t>
  </si>
  <si>
    <t>CUST-0037</t>
  </si>
  <si>
    <t>ORD-01461</t>
  </si>
  <si>
    <t>ORD-01289</t>
  </si>
  <si>
    <t>ORD-01024</t>
  </si>
  <si>
    <t>CUST-0042</t>
  </si>
  <si>
    <t>Iris Johnson</t>
  </si>
  <si>
    <t>ORD-01028</t>
  </si>
  <si>
    <t>ORD-01239</t>
  </si>
  <si>
    <t>ORD-01540</t>
  </si>
  <si>
    <t>ORD-01642</t>
  </si>
  <si>
    <t>ORD-01519</t>
  </si>
  <si>
    <t>ORD-01535</t>
  </si>
  <si>
    <t>CUST-0001</t>
  </si>
  <si>
    <t>Quinn Garcia</t>
  </si>
  <si>
    <t>ORD-01384</t>
  </si>
  <si>
    <t>CUST-0076</t>
  </si>
  <si>
    <t>Morgan Nguyen</t>
  </si>
  <si>
    <t>ORD-01389</t>
  </si>
  <si>
    <t>Search</t>
  </si>
  <si>
    <t>ORD-01566</t>
  </si>
  <si>
    <t>CUST-0007</t>
  </si>
  <si>
    <t>Iris Walker</t>
  </si>
  <si>
    <t>ORD-01609</t>
  </si>
  <si>
    <t>ORD-01119</t>
  </si>
  <si>
    <t>ORD-01574</t>
  </si>
  <si>
    <t>ORD-01631</t>
  </si>
  <si>
    <t>CUST-0105</t>
  </si>
  <si>
    <t>ORD-01592</t>
  </si>
  <si>
    <t>ORD-01688</t>
  </si>
  <si>
    <t>CUST-0044</t>
  </si>
  <si>
    <t>Noah Wilson</t>
  </si>
  <si>
    <t>ORD-01495</t>
  </si>
  <si>
    <t>ORD-01063</t>
  </si>
  <si>
    <t>CUST-0149</t>
  </si>
  <si>
    <t>Lena Garcia</t>
  </si>
  <si>
    <t>ORD-01326</t>
  </si>
  <si>
    <t>ORD-01057</t>
  </si>
  <si>
    <t>ORD-01558</t>
  </si>
  <si>
    <t>ORD-01166</t>
  </si>
  <si>
    <t>ORD-01488</t>
  </si>
  <si>
    <t>CUST-0051</t>
  </si>
  <si>
    <t>Drew Wright</t>
  </si>
  <si>
    <t>ORD-01597</t>
  </si>
  <si>
    <t>ORD-01169</t>
  </si>
  <si>
    <t>ORD-01476</t>
  </si>
  <si>
    <t>CUST-0127</t>
  </si>
  <si>
    <t>Riley Wilson</t>
  </si>
  <si>
    <t>ORD-01646</t>
  </si>
  <si>
    <t>CUST-0080</t>
  </si>
  <si>
    <t>Skyler Allen</t>
  </si>
  <si>
    <t>ORD-01113</t>
  </si>
  <si>
    <t>ORD-01268</t>
  </si>
  <si>
    <t>ORD-01586</t>
  </si>
  <si>
    <t>ORD-01640</t>
  </si>
  <si>
    <t>ORD-01247</t>
  </si>
  <si>
    <t>ORD-01396</t>
  </si>
  <si>
    <t>ORD-01577</t>
  </si>
  <si>
    <t>ORD-01409</t>
  </si>
  <si>
    <t>CUST-0136</t>
  </si>
  <si>
    <t>Taylor Robinson</t>
  </si>
  <si>
    <t>ORD-01484</t>
  </si>
  <si>
    <t>ORD-01707</t>
  </si>
  <si>
    <t>CUST-0071</t>
  </si>
  <si>
    <t>Avery Scott</t>
  </si>
  <si>
    <t>ORD-01163</t>
  </si>
  <si>
    <t>ORD-01607</t>
  </si>
  <si>
    <t>CUST-0022</t>
  </si>
  <si>
    <t>ORD-01094</t>
  </si>
  <si>
    <t>ORD-01209</t>
  </si>
  <si>
    <t>ORD-01436</t>
  </si>
  <si>
    <t>ORD-01248</t>
  </si>
  <si>
    <t>ORD-01371</t>
  </si>
  <si>
    <t>ORD-01006</t>
  </si>
  <si>
    <t>ORD-01361</t>
  </si>
  <si>
    <t>ORD-01245</t>
  </si>
  <si>
    <t>ORD-01295</t>
  </si>
  <si>
    <t>CUST-0113</t>
  </si>
  <si>
    <t>Priya Smith</t>
  </si>
  <si>
    <t>ORD-01532</t>
  </si>
  <si>
    <t>ORD-01585</t>
  </si>
  <si>
    <t>ORD-01125</t>
  </si>
  <si>
    <t>ORD-01465</t>
  </si>
  <si>
    <t>ORD-01127</t>
  </si>
  <si>
    <t>ORD-01162</t>
  </si>
  <si>
    <t>ORD-01263</t>
  </si>
  <si>
    <t>ORD-01277</t>
  </si>
  <si>
    <t>ORD-01387</t>
  </si>
  <si>
    <t>ORD-01406</t>
  </si>
  <si>
    <t>ORD-01527</t>
  </si>
  <si>
    <t>ORD-01350</t>
  </si>
  <si>
    <t>ORD-01132</t>
  </si>
  <si>
    <t>CUST-0109</t>
  </si>
  <si>
    <t>ORD-01339</t>
  </si>
  <si>
    <t>CUST-0131</t>
  </si>
  <si>
    <t>Drew Garcia</t>
  </si>
  <si>
    <t>ORD-01468</t>
  </si>
  <si>
    <t>ORD-01559</t>
  </si>
  <si>
    <t>CUST-0134</t>
  </si>
  <si>
    <t>Kai Kim</t>
  </si>
  <si>
    <t>ORD-01464</t>
  </si>
  <si>
    <t>ORD-01706</t>
  </si>
  <si>
    <t>ORD-01423</t>
  </si>
  <si>
    <t>ORD-01462</t>
  </si>
  <si>
    <t>CUST-0024</t>
  </si>
  <si>
    <t>Morgan Scott</t>
  </si>
  <si>
    <t>ORD-01645</t>
  </si>
  <si>
    <t>ORD-01593</t>
  </si>
  <si>
    <t>ORD-01109</t>
  </si>
  <si>
    <t>ORD-01562</t>
  </si>
  <si>
    <t>ORD-01697</t>
  </si>
  <si>
    <t>ORD-01106</t>
  </si>
  <si>
    <t>CUST-0155</t>
  </si>
  <si>
    <t>ORD-01204</t>
  </si>
  <si>
    <t>CUST-0052</t>
  </si>
  <si>
    <t>Maya Scott</t>
  </si>
  <si>
    <t>office supplies</t>
  </si>
  <si>
    <t>ORD-01493</t>
  </si>
  <si>
    <t>ORD-01617</t>
  </si>
  <si>
    <t>ORD-01616</t>
  </si>
  <si>
    <t>CUST-0114</t>
  </si>
  <si>
    <t>Riley Patel</t>
  </si>
  <si>
    <t>ORD-01101</t>
  </si>
  <si>
    <t>ORD-01628</t>
  </si>
  <si>
    <t>ORD-01589</t>
  </si>
  <si>
    <t>ORD-01579</t>
  </si>
  <si>
    <t>ORD-01102</t>
  </si>
  <si>
    <t>ORD-01136</t>
  </si>
  <si>
    <t>CUST-0002</t>
  </si>
  <si>
    <t>ORD-01534</t>
  </si>
  <si>
    <t>ORD-01095</t>
  </si>
  <si>
    <t>ORD-01037</t>
  </si>
  <si>
    <t>ORD-01605</t>
  </si>
  <si>
    <t>ORD-01362</t>
  </si>
  <si>
    <t>ORD-01029</t>
  </si>
  <si>
    <t>ORD-01149</t>
  </si>
  <si>
    <t>ORD-01270</t>
  </si>
  <si>
    <t>ORD-01704</t>
  </si>
  <si>
    <t>ORD-01479</t>
  </si>
  <si>
    <t>ORD-01633</t>
  </si>
  <si>
    <t>ORD-01274</t>
  </si>
  <si>
    <t>ORD-01257</t>
  </si>
  <si>
    <t>ORD-01087</t>
  </si>
  <si>
    <t>ORD-01092</t>
  </si>
  <si>
    <t>ORD-01213</t>
  </si>
  <si>
    <t>ORD-01349</t>
  </si>
  <si>
    <t>ORD-01561</t>
  </si>
  <si>
    <t>ORD-01458</t>
  </si>
  <si>
    <t>CUST-0094</t>
  </si>
  <si>
    <t>Lena Smith</t>
  </si>
  <si>
    <t>ORD-01059</t>
  </si>
  <si>
    <t>CUST-0034</t>
  </si>
  <si>
    <t>Drew Brown</t>
  </si>
  <si>
    <t>ORD-01487</t>
  </si>
  <si>
    <t>ORD-01267</t>
  </si>
  <si>
    <t>ORD-01338</t>
  </si>
  <si>
    <t>ORD-01571</t>
  </si>
  <si>
    <t>CUST-0124</t>
  </si>
  <si>
    <t>ORD-01659</t>
  </si>
  <si>
    <t>ORD-01636</t>
  </si>
  <si>
    <t>CUST-0145</t>
  </si>
  <si>
    <t>Morgan Kim</t>
  </si>
  <si>
    <t>ORD-01044</t>
  </si>
  <si>
    <t>ORD-01135</t>
  </si>
  <si>
    <t>ORD-01281</t>
  </si>
  <si>
    <t>ORD-01699</t>
  </si>
  <si>
    <t>ORD-01165</t>
  </si>
  <si>
    <t>CUST-0141</t>
  </si>
  <si>
    <t>ORD-01280</t>
  </si>
  <si>
    <t>ORD-01661</t>
  </si>
  <si>
    <t>ORD-01576</t>
  </si>
  <si>
    <t>CUST-0160</t>
  </si>
  <si>
    <t>Jordan Wright</t>
  </si>
  <si>
    <t>ORD-01287</t>
  </si>
  <si>
    <t>ORD-01128</t>
  </si>
  <si>
    <t>ORD-01440</t>
  </si>
  <si>
    <t>ORD-01520</t>
  </si>
  <si>
    <t>ORD-01598</t>
  </si>
  <si>
    <t>ORD-01677</t>
  </si>
  <si>
    <t>ORD-01516</t>
  </si>
  <si>
    <t>ORD-01714</t>
  </si>
  <si>
    <t>ORD-01010</t>
  </si>
  <si>
    <t>CUST-0081</t>
  </si>
  <si>
    <t>Kai Garcia</t>
  </si>
  <si>
    <t>AZ</t>
  </si>
  <si>
    <t>Phoenix</t>
  </si>
  <si>
    <t>ORD-01398</t>
  </si>
  <si>
    <t>CUST-0020</t>
  </si>
  <si>
    <t>ORD-01542</t>
  </si>
  <si>
    <t>ORD-01381</t>
  </si>
  <si>
    <t>ORD-01471</t>
  </si>
  <si>
    <t>Y</t>
  </si>
  <si>
    <t>ORD-01668</t>
  </si>
  <si>
    <t>ORD-01051</t>
  </si>
  <si>
    <t>ORD-01181</t>
  </si>
  <si>
    <t>ORD-01565</t>
  </si>
  <si>
    <t>ORD-01220</t>
  </si>
  <si>
    <t>ORD-01351</t>
  </si>
  <si>
    <t>ORD-01296</t>
  </si>
  <si>
    <t>ORD-01405</t>
  </si>
  <si>
    <t>ORD-01594</t>
  </si>
  <si>
    <t>ORD-01066</t>
  </si>
  <si>
    <t>ORD-01288</t>
  </si>
  <si>
    <t>ORD-01372</t>
  </si>
  <si>
    <t>ORD-01530</t>
  </si>
  <si>
    <t>ORD-01711</t>
  </si>
  <si>
    <t>ORD-01081</t>
  </si>
  <si>
    <t>ORD-01320</t>
  </si>
  <si>
    <t>ORD-01478</t>
  </si>
  <si>
    <t>ORD-01489</t>
  </si>
  <si>
    <t>ORD-01363</t>
  </si>
  <si>
    <t>ORD-01590</t>
  </si>
  <si>
    <t>CUST-0074</t>
  </si>
  <si>
    <t>Alex Clark</t>
  </si>
  <si>
    <t>ORD-01311</t>
  </si>
  <si>
    <t>ORD-01197</t>
  </si>
  <si>
    <t>ORD-01216</t>
  </si>
  <si>
    <t>ORD-01689</t>
  </si>
  <si>
    <t>ORD-01420</t>
  </si>
  <si>
    <t>ORD-01412</t>
  </si>
  <si>
    <t>ORD-01629</t>
  </si>
  <si>
    <t>ORD-01176</t>
  </si>
  <si>
    <t>ORD-01235</t>
  </si>
  <si>
    <t>ORD-01369</t>
  </si>
  <si>
    <t>ORD-01130</t>
  </si>
  <si>
    <t>ORD-01022</t>
  </si>
  <si>
    <t>ORD-01481</t>
  </si>
  <si>
    <t>ORD-01070</t>
  </si>
  <si>
    <t>ORD-01189</t>
  </si>
  <si>
    <t>ORD-01639</t>
  </si>
  <si>
    <t>ORD-01473</t>
  </si>
  <si>
    <t>ORD-01564</t>
  </si>
  <si>
    <t>ORD-01667</t>
  </si>
  <si>
    <t>ORD-01210</t>
  </si>
  <si>
    <t>ORD-01330</t>
  </si>
  <si>
    <t>ORD-01446</t>
  </si>
  <si>
    <t>ORD-01167</t>
  </si>
  <si>
    <t>ORD-01027</t>
  </si>
  <si>
    <t>ORD-01173</t>
  </si>
  <si>
    <t>ORD-01201</t>
  </si>
  <si>
    <t>ORD-01416</t>
  </si>
  <si>
    <t>CUST-0077</t>
  </si>
  <si>
    <t>Casey Nguyen</t>
  </si>
  <si>
    <t>ORD-01152</t>
  </si>
  <si>
    <t>CUST-0009</t>
  </si>
  <si>
    <t>Reese Patel</t>
  </si>
  <si>
    <t>ORD-01084</t>
  </si>
  <si>
    <t>ORD-01401</t>
  </si>
  <si>
    <t>ORD-01075</t>
  </si>
  <si>
    <t>CUST-0101</t>
  </si>
  <si>
    <t>ORD-01504</t>
  </si>
  <si>
    <t>ORD-01383</t>
  </si>
  <si>
    <t>ORD-01649</t>
  </si>
  <si>
    <t>ORD-01347</t>
  </si>
  <si>
    <t>ORD-01431</t>
  </si>
  <si>
    <t>ORD-01460</t>
  </si>
  <si>
    <t>CUST-0142</t>
  </si>
  <si>
    <t>Priya Hall</t>
  </si>
  <si>
    <t>ORD-01279</t>
  </si>
  <si>
    <t>ORD-01215</t>
  </si>
  <si>
    <t>ORD-01284</t>
  </si>
  <si>
    <t>ORD-01316</t>
  </si>
  <si>
    <t>CENTRAL</t>
  </si>
  <si>
    <t>ORD-01366</t>
  </si>
  <si>
    <t>ORD-01684</t>
  </si>
  <si>
    <t>ORD-01002</t>
  </si>
  <si>
    <t>ORD-01195</t>
  </si>
  <si>
    <t>ORD-01648</t>
  </si>
  <si>
    <t>ORD-01230</t>
  </si>
  <si>
    <t>ORD-01546</t>
  </si>
  <si>
    <t>ORD-01080</t>
  </si>
  <si>
    <t>ORD-01353</t>
  </si>
  <si>
    <t>ORD-01093</t>
  </si>
  <si>
    <t>CUST-0098</t>
  </si>
  <si>
    <t>Reese Martinez</t>
  </si>
  <si>
    <t>ORD-01143</t>
  </si>
  <si>
    <t>CUST-0110</t>
  </si>
  <si>
    <t>Mila Martinez</t>
  </si>
  <si>
    <t>ORD-01425</t>
  </si>
  <si>
    <t>ORD-01434</t>
  </si>
  <si>
    <t>ORD-01663</t>
  </si>
  <si>
    <t>ORD-01071</t>
  </si>
  <si>
    <t>ORD-01560</t>
  </si>
  <si>
    <t>ORD-01356</t>
  </si>
  <si>
    <t>ORD-01304</t>
  </si>
  <si>
    <t>ORD-01552</t>
  </si>
  <si>
    <t>ORD-01271</t>
  </si>
  <si>
    <t>ORD-01211</t>
  </si>
  <si>
    <t>ORD-01511</t>
  </si>
  <si>
    <t>ORD-01317</t>
  </si>
  <si>
    <t>ORD-01580</t>
  </si>
  <si>
    <t>ORD-01717</t>
  </si>
  <si>
    <t>ORD-01111</t>
  </si>
  <si>
    <t>ORD-01164</t>
  </si>
  <si>
    <t>ORD-01521</t>
  </si>
  <si>
    <t>ORD-01635</t>
  </si>
  <si>
    <t>ORD-01501</t>
  </si>
  <si>
    <t>ORD-01696</t>
  </si>
  <si>
    <t>ORD-01340</t>
  </si>
  <si>
    <t>ORD-01679</t>
  </si>
  <si>
    <t>ORD-01178</t>
  </si>
  <si>
    <t>ORD-01322</t>
  </si>
  <si>
    <t>ORD-01388</t>
  </si>
  <si>
    <t>ORD-01105</t>
  </si>
  <si>
    <t>CUST-0025</t>
  </si>
  <si>
    <t>ORD-01653</t>
  </si>
  <si>
    <t>ORD-01033</t>
  </si>
  <si>
    <t>ORD-01310</t>
  </si>
  <si>
    <t>ORD-01533</t>
  </si>
  <si>
    <t>ORD-01147</t>
  </si>
  <si>
    <t>ORD-01331</t>
  </si>
  <si>
    <t>ORD-01404</t>
  </si>
  <si>
    <t>ORD-01046</t>
  </si>
  <si>
    <t>CUST-0129</t>
  </si>
  <si>
    <t>Lena Walker</t>
  </si>
  <si>
    <t>ORD-01676</t>
  </si>
  <si>
    <t>ORD-01685</t>
  </si>
  <si>
    <t>ORD-01260</t>
  </si>
  <si>
    <t>ORD-01309</t>
  </si>
  <si>
    <t>ORD-01644</t>
  </si>
  <si>
    <t>ORD-01441</t>
  </si>
  <si>
    <t>ORD-01021</t>
  </si>
  <si>
    <t>ORD-01196</t>
  </si>
  <si>
    <t>ORD-01693</t>
  </si>
  <si>
    <t>ORD-01198</t>
  </si>
  <si>
    <t>ORD-01203</t>
  </si>
  <si>
    <t>ORD-01062</t>
  </si>
  <si>
    <t>ORD-01298</t>
  </si>
  <si>
    <t>ORD-01391</t>
  </si>
  <si>
    <t>ORD-01497</t>
  </si>
  <si>
    <t>ORD-01175</t>
  </si>
  <si>
    <t>ORD-01666</t>
  </si>
  <si>
    <t>ORD-01052</t>
  </si>
  <si>
    <t>ORD-01411</t>
  </si>
  <si>
    <t>ORD-01582</t>
  </si>
  <si>
    <t>ORD-01600</t>
  </si>
  <si>
    <t>ORD-01447</t>
  </si>
  <si>
    <t>ORD-01680</t>
  </si>
  <si>
    <t>ORD-01179</t>
  </si>
  <si>
    <t>ORD-01190</t>
  </si>
  <si>
    <t>ORD-01292</t>
  </si>
  <si>
    <t>ORD-01692</t>
  </si>
  <si>
    <t>ORD-01254</t>
  </si>
  <si>
    <t>ORD-01623</t>
  </si>
  <si>
    <t>ORD-01273</t>
  </si>
  <si>
    <t>ORD-01686</t>
  </si>
  <si>
    <t>ORD-01090</t>
  </si>
  <si>
    <t>ORD-01252</t>
  </si>
  <si>
    <t>ORD-01262</t>
  </si>
  <si>
    <t>ORD-01337</t>
  </si>
  <si>
    <t>ORD-01265</t>
  </si>
  <si>
    <t>ORD-01170</t>
  </si>
  <si>
    <t>ORD-01240</t>
  </si>
  <si>
    <t>ORD-01437</t>
  </si>
  <si>
    <t>ORD-01243</t>
  </si>
  <si>
    <t>ORD-01439</t>
  </si>
  <si>
    <t>ORD-01459</t>
  </si>
  <si>
    <t>ORD-01312</t>
  </si>
  <si>
    <t>ORD-01032</t>
  </si>
  <si>
    <t>ORD-01342</t>
  </si>
  <si>
    <t>ORD-01299</t>
  </si>
  <si>
    <t>ORD-01432</t>
  </si>
  <si>
    <t>ORD-01498</t>
  </si>
  <si>
    <t>ORD-01428</t>
  </si>
  <si>
    <t>ORD-01672</t>
  </si>
  <si>
    <t>ORD-01055</t>
  </si>
  <si>
    <t>ORD-01710</t>
  </si>
  <si>
    <t>ORD-01034</t>
  </si>
  <si>
    <t>ORD-01346</t>
  </si>
  <si>
    <t>ORD-01675</t>
  </si>
  <si>
    <t>ORD-01154</t>
  </si>
  <si>
    <t>CUST-0043</t>
  </si>
  <si>
    <t>ORD-01652</t>
  </si>
  <si>
    <t>ORD-01602</t>
  </si>
  <si>
    <t>ORD-01591</t>
  </si>
  <si>
    <t>ORD-01626</t>
  </si>
  <si>
    <t>ORD-01599</t>
  </si>
  <si>
    <t>ORD-01705</t>
  </si>
  <si>
    <t>ORD-01144</t>
  </si>
  <si>
    <t>ORD-01442</t>
  </si>
  <si>
    <t>ORD-01719</t>
  </si>
  <si>
    <t>ORD-01378</t>
  </si>
  <si>
    <t>ORD-01457</t>
  </si>
  <si>
    <t>ORD-01524</t>
  </si>
  <si>
    <t>ORD-01537</t>
  </si>
  <si>
    <t>ORD-01282</t>
  </si>
  <si>
    <t>ORD-01023</t>
  </si>
  <si>
    <t>ORD-01630</t>
  </si>
  <si>
    <t>ORD-01641</t>
  </si>
  <si>
    <t>ORD-01718</t>
  </si>
  <si>
    <t>ORD-01145</t>
  </si>
  <si>
    <t>ORD-01182</t>
  </si>
  <si>
    <t>ORD-01001</t>
  </si>
  <si>
    <t>ORD-01618</t>
  </si>
  <si>
    <t>ORD-01544</t>
  </si>
  <si>
    <t>ORD-01698</t>
  </si>
  <si>
    <t>ORD-01352</t>
  </si>
  <si>
    <t>ORD-01261</t>
  </si>
  <si>
    <t>ORD-01536</t>
  </si>
  <si>
    <t>ORD-01670</t>
  </si>
  <si>
    <t>ORD-01249</t>
  </si>
  <si>
    <t>ORD-01657</t>
  </si>
  <si>
    <t>ORD-01691</t>
  </si>
  <si>
    <t>ORD-01005</t>
  </si>
  <si>
    <t>ORD-01427</t>
  </si>
  <si>
    <t>ORD-01563</t>
  </si>
  <si>
    <t>ORD-01156</t>
  </si>
  <si>
    <t>ORD-01218</t>
  </si>
  <si>
    <t>ORD-01490</t>
  </si>
  <si>
    <t>ORD-01327</t>
  </si>
  <si>
    <t>ORD-01367</t>
  </si>
  <si>
    <t>ORD-01049</t>
  </si>
  <si>
    <t>ORD-01131</t>
  </si>
  <si>
    <t>ORD-01305</t>
  </si>
  <si>
    <t>ORD-01554</t>
  </si>
  <si>
    <t>ORD-01502</t>
  </si>
  <si>
    <t>ORD-01486</t>
  </si>
  <si>
    <t>ORD-01573</t>
  </si>
  <si>
    <t>ORD-01354</t>
  </si>
  <si>
    <t>ORD-01157</t>
  </si>
  <si>
    <t>ORD-01040</t>
  </si>
  <si>
    <t>ORD-01627</t>
  </si>
  <si>
    <t>ORD-01683</t>
  </si>
  <si>
    <t>ORD-01374</t>
  </si>
  <si>
    <t>ORD-01572</t>
  </si>
  <si>
    <t>ORD-01632</t>
  </si>
  <si>
    <t>ORD-01153</t>
  </si>
  <si>
    <t>ORD-01483</t>
  </si>
  <si>
    <t>ORD-01050</t>
  </si>
  <si>
    <t>ORD-01555</t>
  </si>
  <si>
    <t>ORD-01549</t>
  </si>
  <si>
    <t>ORD-01386</t>
  </si>
  <si>
    <t>ORD-01496</t>
  </si>
  <si>
    <t>ORD-01557</t>
  </si>
  <si>
    <t>ORD-01238</t>
  </si>
  <si>
    <t>ORD-01244</t>
  </si>
  <si>
    <t>ORD-01720</t>
  </si>
  <si>
    <t>ORD-01637</t>
  </si>
  <si>
    <t>ORD-01184</t>
  </si>
  <si>
    <t>ORD-01608</t>
  </si>
  <si>
    <t>ORD-01370</t>
  </si>
  <si>
    <t>ORD-01523</t>
  </si>
  <si>
    <t>ORD-01643</t>
  </si>
  <si>
    <t>ORD-01159</t>
  </si>
  <si>
    <t>ORD-01655</t>
  </si>
  <si>
    <t>ORD-01321</t>
  </si>
  <si>
    <t>ORD-01251</t>
  </si>
  <si>
    <t>ORD-01329</t>
  </si>
  <si>
    <t>ORD-01709</t>
  </si>
  <si>
    <t>ORD-01150</t>
  </si>
  <si>
    <t>ORD-01373</t>
  </si>
  <si>
    <t>ORD-01438</t>
  </si>
  <si>
    <t>ORD-01664</t>
  </si>
  <si>
    <t>ORD-01702</t>
  </si>
  <si>
    <t>ORD-01003</t>
  </si>
  <si>
    <t>ORD-01250</t>
  </si>
  <si>
    <t>ORD-01290</t>
  </si>
  <si>
    <t>ORD-01538</t>
  </si>
  <si>
    <t>ORD-01611</t>
  </si>
  <si>
    <t>ORD-01124</t>
  </si>
  <si>
    <t>ORD-01126</t>
  </si>
  <si>
    <t>ORD-01651</t>
  </si>
  <si>
    <t>ORD-01682</t>
  </si>
  <si>
    <t>ORD-01266</t>
  </si>
  <si>
    <t>ORD-01026</t>
  </si>
  <si>
    <t>ORD-01133</t>
  </si>
  <si>
    <t>CUST-0102</t>
  </si>
  <si>
    <t>Kai Nguyen</t>
  </si>
  <si>
    <t>ORD-01612</t>
  </si>
  <si>
    <t>ORD-01208</t>
  </si>
  <si>
    <t>ORD-01507</t>
  </si>
  <si>
    <t>ORD-01610</t>
  </si>
  <si>
    <t>ORD-01099</t>
  </si>
  <si>
    <t>ORD-01348</t>
  </si>
  <si>
    <t>ORD-01291</t>
  </si>
  <si>
    <t>ORD-01004</t>
  </si>
  <si>
    <t>CUST-0070</t>
  </si>
  <si>
    <t>Casey Miller</t>
  </si>
  <si>
    <t>ORD-01345</t>
  </si>
  <si>
    <t>ORD-01621</t>
  </si>
  <si>
    <t>ORD-01053</t>
  </si>
  <si>
    <t>ORD-01160</t>
  </si>
  <si>
    <t>ORD-01385</t>
  </si>
  <si>
    <t>ORD-01503</t>
  </si>
  <si>
    <t>ORD-01068</t>
  </si>
  <si>
    <t>ORD-01430</t>
  </si>
  <si>
    <t>ORD-01045</t>
  </si>
  <si>
    <t>ORD-01275</t>
  </si>
  <si>
    <t>ORD-01500</t>
  </si>
  <si>
    <t>ORD-01187</t>
  </si>
  <si>
    <t>ORD-01229</t>
  </si>
  <si>
    <t>ORD-01253</t>
  </si>
  <si>
    <t>ORD-01395</t>
  </si>
  <si>
    <t>ORD-01259</t>
  </si>
  <si>
    <t>ORD-01314</t>
  </si>
  <si>
    <t>ORD-01357</t>
  </si>
  <si>
    <t>ORD-01380</t>
  </si>
  <si>
    <t>ORD-01541</t>
  </si>
  <si>
    <t>ORD-01588</t>
  </si>
  <si>
    <t>ORD-01186</t>
  </si>
  <si>
    <t>ORD-01553</t>
  </si>
  <si>
    <t>ORD-01525</t>
  </si>
  <si>
    <t>ORD-01318</t>
  </si>
  <si>
    <t>ORD-01620</t>
  </si>
  <si>
    <t>ORD-01116</t>
  </si>
  <si>
    <t>ORD-01007</t>
  </si>
  <si>
    <t>ORD-01358</t>
  </si>
  <si>
    <t>ORD-01528</t>
  </si>
  <si>
    <t>ORD-01192</t>
  </si>
  <si>
    <t>CUST-0108</t>
  </si>
  <si>
    <t>Rowan Young</t>
  </si>
  <si>
    <t>ORD-01301</t>
  </si>
  <si>
    <t>ORD-01365</t>
  </si>
  <si>
    <t>ORD-01221</t>
  </si>
  <si>
    <t>ORD-01171</t>
  </si>
  <si>
    <t>ORD-01255</t>
  </si>
  <si>
    <t>ORD-01368</t>
  </si>
  <si>
    <t>ORD-01656</t>
  </si>
  <si>
    <t>ORD-01399</t>
  </si>
  <si>
    <t>ORD-01665</t>
  </si>
  <si>
    <t>ORD-01118</t>
  </si>
  <si>
    <t>ORD-01333</t>
  </si>
  <si>
    <t>ORD-01467</t>
  </si>
  <si>
    <t>ORD-01336</t>
  </si>
  <si>
    <t>ORD-01269</t>
  </si>
  <si>
    <t>ORD-01073</t>
  </si>
  <si>
    <t>ORD-01019</t>
  </si>
  <si>
    <t>ORD-01382</t>
  </si>
  <si>
    <t>ORD-01569</t>
  </si>
  <si>
    <t>ORD-01047</t>
  </si>
  <si>
    <t>ORD-01112</t>
  </si>
  <si>
    <t>ORD-01225</t>
  </si>
  <si>
    <t>ORD-01550</t>
  </si>
  <si>
    <t>ORD-01158</t>
  </si>
  <si>
    <t>ORD-01510</t>
  </si>
  <si>
    <t>ORD-01650</t>
  </si>
  <si>
    <t>ORD-01104</t>
  </si>
  <si>
    <t>ORD-01575</t>
  </si>
  <si>
    <t>ORD-01108</t>
  </si>
  <si>
    <t>ORD-01223</t>
  </si>
  <si>
    <t>ORD-01456</t>
  </si>
  <si>
    <t>ORD-01444</t>
  </si>
  <si>
    <t>ORD-01445</t>
  </si>
  <si>
    <t>ORD-01678</t>
  </si>
  <si>
    <t>ORD-01419</t>
  </si>
  <si>
    <t>ORD-01426</t>
  </si>
  <si>
    <t>ORD-01603</t>
  </si>
  <si>
    <t>ORD-01020</t>
  </si>
  <si>
    <t>ORD-01114</t>
  </si>
  <si>
    <t>ORD-01596</t>
  </si>
  <si>
    <t>ORD-01226</t>
  </si>
  <si>
    <t>ORD-01658</t>
  </si>
  <si>
    <t>ORD-01214</t>
  </si>
  <si>
    <t>ORD-01625</t>
  </si>
  <si>
    <t>ORD-01662</t>
  </si>
  <si>
    <t>ORD-01421</t>
  </si>
  <si>
    <t>ORD-01545</t>
  </si>
  <si>
    <t>ORD-01512</t>
  </si>
  <si>
    <t>ORD-01256</t>
  </si>
  <si>
    <t>ORD-01332</t>
  </si>
  <si>
    <t>ORD-01547</t>
  </si>
  <si>
    <t>ORD-01394</t>
  </si>
  <si>
    <t>ORD-01674</t>
  </si>
  <si>
    <t>ORD-01185</t>
  </si>
  <si>
    <t>ORD-01615</t>
  </si>
  <si>
    <t>ORD-01647</t>
  </si>
  <si>
    <t>ORD-01096</t>
  </si>
  <si>
    <t>ORD-01393</t>
  </si>
  <si>
    <t>ORD-01036</t>
  </si>
  <si>
    <t>ORD-01614</t>
  </si>
  <si>
    <t>ORD-01624</t>
  </si>
  <si>
    <t>ORD-01207</t>
  </si>
  <si>
    <t>ORD-01233</t>
  </si>
  <si>
    <t>ORD-01129</t>
  </si>
  <si>
    <t>ORD-01505</t>
  </si>
  <si>
    <t>ORD-01595</t>
  </si>
  <si>
    <t>ORD-01313</t>
  </si>
  <si>
    <t>ORD-01097</t>
  </si>
  <si>
    <t>ORD-01583</t>
  </si>
  <si>
    <t>ORD-01669</t>
  </si>
  <si>
    <t>ORD-01232</t>
  </si>
  <si>
    <t>ORD-01543</t>
  </si>
  <si>
    <t>ORD-01264</t>
  </si>
  <si>
    <t>ORD-01518</t>
  </si>
  <si>
    <t>ORD-01422</t>
  </si>
  <si>
    <t>ORD-01117</t>
  </si>
  <si>
    <t>ORD-01319</t>
  </si>
  <si>
    <t>ORD-01531</t>
  </si>
  <si>
    <t>ORD-01061</t>
  </si>
  <si>
    <t>ORD-01110</t>
  </si>
  <si>
    <t>ORD-01335</t>
  </si>
  <si>
    <t>ORD-01043</t>
  </si>
  <si>
    <t>ORD-01435</t>
  </si>
  <si>
    <t>ORD-01069</t>
  </si>
  <si>
    <t>ORD-01183</t>
  </si>
  <si>
    <t>CUST-0146</t>
  </si>
  <si>
    <t>Riley Davis</t>
  </si>
  <si>
    <t>ORD-01030</t>
  </si>
  <si>
    <t>ORD-01294</t>
  </si>
  <si>
    <t>ORD-01177</t>
  </si>
  <si>
    <t>ORD-01035</t>
  </si>
  <si>
    <t>ORD-01482</t>
  </si>
  <si>
    <t>ORD-01475</t>
  </si>
  <si>
    <t>ORD-01008</t>
  </si>
  <si>
    <t>ORD-01278</t>
  </si>
  <si>
    <t>ORD-01188</t>
  </si>
  <si>
    <t>ORD-01403</t>
  </si>
  <si>
    <t>ORD-01100</t>
  </si>
  <si>
    <t>ORD-01180</t>
  </si>
  <si>
    <t>ORD-01064</t>
  </si>
  <si>
    <t>ORD-01343</t>
  </si>
  <si>
    <t>ORD-01123</t>
  </si>
  <si>
    <t>ORD-01199</t>
  </si>
  <si>
    <t>ORD-01601</t>
  </si>
  <si>
    <t>ORD-01286</t>
  </si>
  <si>
    <t>ORD-01451</t>
  </si>
  <si>
    <t>ORD-01161</t>
  </si>
  <si>
    <t>ORD-01379</t>
  </si>
  <si>
    <t>ORD-01443</t>
  </si>
  <si>
    <t>Signup_Date</t>
  </si>
  <si>
    <t>Loyalty_Tier</t>
  </si>
  <si>
    <t>Platinum</t>
  </si>
  <si>
    <t>CUST-0003</t>
  </si>
  <si>
    <t>Silver</t>
  </si>
  <si>
    <t>Gold</t>
  </si>
  <si>
    <t>Bronze</t>
  </si>
  <si>
    <t>CUST-0019</t>
  </si>
  <si>
    <t>Owen Robinson</t>
  </si>
  <si>
    <t>CUST-0021</t>
  </si>
  <si>
    <t>Cameron Brown</t>
  </si>
  <si>
    <t>CUST-0069</t>
  </si>
  <si>
    <t>Priya Allen</t>
  </si>
  <si>
    <t>CUST-0083</t>
  </si>
  <si>
    <t>Nia Nguyen</t>
  </si>
  <si>
    <t>CUST-0157</t>
  </si>
  <si>
    <t>Kai King</t>
  </si>
  <si>
    <t>Standard_Cost</t>
  </si>
  <si>
    <t>List_Price</t>
  </si>
  <si>
    <t>Supplier</t>
  </si>
  <si>
    <t>Active_Flag</t>
  </si>
  <si>
    <t>NovaTech</t>
  </si>
  <si>
    <t>Active</t>
  </si>
  <si>
    <t>PixelWorks</t>
  </si>
  <si>
    <t>KeyLabs</t>
  </si>
  <si>
    <t>SignalCo</t>
  </si>
  <si>
    <t>Northline</t>
  </si>
  <si>
    <t>SeatWell</t>
  </si>
  <si>
    <t>StoreMore</t>
  </si>
  <si>
    <t>PaperTrail</t>
  </si>
  <si>
    <t>BindRight</t>
  </si>
  <si>
    <t>Inkline</t>
  </si>
  <si>
    <t>Deskly</t>
  </si>
  <si>
    <t>BrewNest</t>
  </si>
  <si>
    <t>PureSpace</t>
  </si>
  <si>
    <t>Discontinued</t>
  </si>
  <si>
    <t>Month</t>
  </si>
  <si>
    <t>Spend</t>
  </si>
  <si>
    <t>Campaigns</t>
  </si>
  <si>
    <t>Leads</t>
  </si>
  <si>
    <t>Status</t>
  </si>
  <si>
    <t>Total records count</t>
  </si>
  <si>
    <t>Unique Orders</t>
  </si>
  <si>
    <t>Duplicates Orders</t>
  </si>
  <si>
    <t>Invalid quantities</t>
  </si>
  <si>
    <t>Invalid prices</t>
  </si>
  <si>
    <t>Unusual discounts</t>
  </si>
  <si>
    <t>Inconsistent text values</t>
  </si>
  <si>
    <t>Invalid dates(not between 2024 and 2025)</t>
  </si>
  <si>
    <t>Invalid dates(shipdate before order date)</t>
  </si>
  <si>
    <t>Sales_channel</t>
  </si>
  <si>
    <t>Valid</t>
  </si>
  <si>
    <t>Missing state</t>
  </si>
  <si>
    <t>Missing Customer_ID</t>
  </si>
  <si>
    <t>Invalid Quantity</t>
  </si>
  <si>
    <t>Invalid Price</t>
  </si>
  <si>
    <t>Invalid Date</t>
  </si>
  <si>
    <t>Unknown</t>
  </si>
  <si>
    <t>Invalid Ship Date</t>
  </si>
  <si>
    <t>data quality</t>
  </si>
  <si>
    <t>Invalid state</t>
  </si>
  <si>
    <t>Invalid Customer</t>
  </si>
  <si>
    <t>Invalid return status</t>
  </si>
  <si>
    <t>S</t>
  </si>
  <si>
    <t>Customer Loyalty tier</t>
  </si>
  <si>
    <t>Customer SignUP date</t>
  </si>
  <si>
    <t>Product Cost</t>
  </si>
  <si>
    <t>Gross Sales</t>
  </si>
  <si>
    <t>Discount amount</t>
  </si>
  <si>
    <t>Net Sales</t>
  </si>
  <si>
    <t>COGS</t>
  </si>
  <si>
    <t>Gross Profit</t>
  </si>
  <si>
    <t>Margin %</t>
  </si>
  <si>
    <t>Delivery Days</t>
  </si>
  <si>
    <t>Late Shipment</t>
  </si>
  <si>
    <t>Order Month</t>
  </si>
  <si>
    <t>Order Quarter</t>
  </si>
  <si>
    <t>KPI Metric</t>
  </si>
  <si>
    <t>Current Value</t>
  </si>
  <si>
    <t>Total Net Sales</t>
  </si>
  <si>
    <t>Total Gross Profit</t>
  </si>
  <si>
    <t>Overall Margin %</t>
  </si>
  <si>
    <t>Total Order Count</t>
  </si>
  <si>
    <t>Average Order Value (AOV)</t>
  </si>
  <si>
    <t>Return Rate</t>
  </si>
  <si>
    <t>Late Shipment Rate</t>
  </si>
  <si>
    <t>Sum of Net Sales</t>
  </si>
  <si>
    <t>Grand Total</t>
  </si>
  <si>
    <t>Jan</t>
  </si>
  <si>
    <t>Feb</t>
  </si>
  <si>
    <t>Mar</t>
  </si>
  <si>
    <t>% of Grand total</t>
  </si>
  <si>
    <t>Order Dates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</si>
  <si>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</si>
  <si>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</si>
  <si>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</si>
  <si>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</si>
  <si>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</si>
  <si>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</si>
  <si>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</si>
  <si>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</si>
  <si>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</si>
  <si>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Summary by Month (Sales Trends)</t>
  </si>
  <si>
    <t>Summary by Region (Geographic Performance)</t>
  </si>
  <si>
    <t>January</t>
  </si>
  <si>
    <t>December</t>
  </si>
  <si>
    <t>November</t>
  </si>
  <si>
    <t>October</t>
  </si>
  <si>
    <t>February</t>
  </si>
  <si>
    <t>September</t>
  </si>
  <si>
    <t>March</t>
  </si>
  <si>
    <t>August</t>
  </si>
  <si>
    <t>July</t>
  </si>
  <si>
    <t>June</t>
  </si>
  <si>
    <t>April</t>
  </si>
  <si>
    <t>Regions</t>
  </si>
  <si>
    <t>Summary by Category (Product Performance)</t>
  </si>
  <si>
    <t>Summary by Customer Segment</t>
  </si>
  <si>
    <t>Customer Segment</t>
  </si>
  <si>
    <t>Summary by Sales Channel</t>
  </si>
  <si>
    <t>Sales Channel</t>
  </si>
  <si>
    <t>Summary by Loyalty Tier</t>
  </si>
  <si>
    <t>Actual Sales</t>
  </si>
  <si>
    <t>Target sales</t>
  </si>
  <si>
    <t>Variance($)</t>
  </si>
  <si>
    <t>Variance(%)</t>
  </si>
  <si>
    <t>Sales_Targets</t>
  </si>
  <si>
    <t>Profit_Targets</t>
  </si>
  <si>
    <t>Sales</t>
  </si>
  <si>
    <t>Profit</t>
  </si>
  <si>
    <t>Actual Revenue</t>
  </si>
  <si>
    <t>Total Orders</t>
  </si>
  <si>
    <t>Revenue per Marketing Dollar</t>
  </si>
  <si>
    <t>Conversion rate</t>
  </si>
  <si>
    <t>Lead</t>
  </si>
  <si>
    <t>Dataset Details</t>
  </si>
  <si>
    <t>Count</t>
  </si>
  <si>
    <t>Invalid data</t>
  </si>
  <si>
    <t>Anomalies</t>
  </si>
  <si>
    <t>Missing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</si>
</sst>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164" formatCode="yyyy\-mm\-dd"/>
    <numFmt numFmtId="165" formatCode="\$#,##0.00"/>
    <numFmt numFmtId="166" formatCode="0.0%"/>
    <numFmt numFmtId="167" formatCode="yyyy\-mm"/>
    <numFmt numFmtId="168" formatCode="\$#,##0"/>
    <numFmt numFmtId="169" formatCode="&quot;$&quot;#,##0.00"/>
    <numFmt numFmtId="170" formatCode="&quot;$&quot;#,##0"/>
  </numFmts>
  <fonts count="6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sz val="11"/>
      <name val="Carlito"/>
    </font>
    <font>
      <b/>
      <sz val="11"/>
      <name val="Carlito"/>
    </font>
    <font>
      <sz val="8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245B78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E1E7EF"/>
      </left>
      <right style="thin">
        <color rgb="FFE1E7EF"/>
      </right>
      <top style="thin">
        <color rgb="FFE1E7EF"/>
      </top>
      <bottom style="thin">
        <color rgb="FFE1E7EF"/>
      </bottom>
      <diagonal/>
    </border>
    <border>
      <left/>
      <right/>
      <top/>
      <bottom style="thin">
        <color rgb="FFD7DEE8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" fontId="0" fillId="0" borderId="0" xfId="0" applyNumberFormat="1"/>
    <xf numFmtId="14" fontId="0" fillId="0" borderId="0" xfId="0" applyNumberFormat="1"/>
    <xf numFmtId="169" fontId="0" fillId="0" borderId="0" xfId="0" applyNumberFormat="1"/>
    <xf numFmtId="9" fontId="0" fillId="0" borderId="0" xfId="2" applyFont="1"/>
    <xf numFmtId="169" fontId="0" fillId="0" borderId="0" xfId="1" applyNumberFormat="1" applyFont="1"/>
    <xf numFmtId="166" fontId="0" fillId="0" borderId="0" xfId="2" applyNumberFormat="1" applyFon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70" fontId="2" fillId="3" borderId="1" xfId="0" applyNumberFormat="1" applyFont="1" applyFill="1" applyBorder="1" applyAlignment="1">
      <alignment horizontal="center" vertical="center" wrapText="1"/>
    </xf>
    <xf numFmtId="170" fontId="0" fillId="0" borderId="0" xfId="0" applyNumberFormat="1"/>
    <xf numFmtId="10" fontId="0" fillId="0" borderId="0" xfId="2" applyNumberFormat="1" applyFont="1"/>
    <xf numFmtId="0" fontId="4" fillId="4" borderId="0" xfId="0" applyFont="1" applyFill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Fill="1"/>
  </cellXfs>
  <cellStyles count="3">
    <cellStyle name="Currency" xfId="1" builtinId="4"/>
    <cellStyle name="Normal" xfId="0" builtinId="0"/>
    <cellStyle name="Percent" xfId="2" builtinId="5"/>
  </cellStyles>
  <dxfs count="46"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0" formatCode="&quot;$&quot;#,##0"/>
    </dxf>
    <dxf>
      <numFmt numFmtId="170" formatCode="&quot;$&quot;#,##0"/>
    </dxf>
    <dxf>
      <numFmt numFmtId="170" formatCode="&quot;$&quot;#,##0"/>
    </dxf>
    <dxf>
      <numFmt numFmtId="14" formatCode="0.00%"/>
    </dxf>
    <dxf>
      <numFmt numFmtId="169" formatCode="&quot;$&quot;#,##0.00"/>
    </dxf>
    <dxf>
      <numFmt numFmtId="0" formatCode="General"/>
    </dxf>
    <dxf>
      <numFmt numFmtId="170" formatCode="&quot;$&quot;#,##0"/>
    </dxf>
    <dxf>
      <numFmt numFmtId="1" formatCode="0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69" formatCode="&quot;$&quot;#,##0.00"/>
    </dxf>
    <dxf>
      <numFmt numFmtId="169" formatCode="&quot;$&quot;#,##0.00"/>
    </dxf>
    <dxf>
      <numFmt numFmtId="169" formatCode="&quot;$&quot;#,##0.00"/>
    </dxf>
    <dxf>
      <numFmt numFmtId="169" formatCode="&quot;$&quot;#,##0.00"/>
    </dxf>
    <dxf>
      <numFmt numFmtId="169" formatCode="&quot;$&quot;#,##0.00"/>
    </dxf>
    <dxf>
      <numFmt numFmtId="169" formatCode="&quot;$&quot;#,##0.00"/>
    </dxf>
    <dxf>
      <numFmt numFmtId="19" formatCode="m/d/yyyy"/>
    </dxf>
    <dxf>
      <numFmt numFmtId="0" formatCode="General"/>
    </dxf>
    <dxf>
      <numFmt numFmtId="1" formatCode="0"/>
    </dxf>
    <dxf>
      <numFmt numFmtId="0" formatCode="General"/>
    </dxf>
    <dxf>
      <numFmt numFmtId="169" formatCode="&quot;$&quot;#,##0.00"/>
    </dxf>
    <dxf>
      <numFmt numFmtId="169" formatCode="&quot;$&quot;#,##0.0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13" formatCode="0%"/>
    </dxf>
    <dxf>
      <numFmt numFmtId="170" formatCode="&quot;$&quot;#,##0"/>
    </dxf>
    <dxf>
      <numFmt numFmtId="170" formatCode="&quot;$&quot;#,##0"/>
    </dxf>
    <dxf>
      <numFmt numFmtId="170" formatCode="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shangar" refreshedDate="46198.779570486113" createdVersion="8" refreshedVersion="8" minRefreshableVersion="3" recordCount="720" xr:uid="{732C706B-9AF9-429F-86A7-D3DC663E26A4}">
  <cacheSource type="worksheet">
    <worksheetSource name="Cleaned_data"/>
  </cacheSource>
  <cacheFields count="39">
    <cacheField name="Order_ID" numFmtId="0">
      <sharedItems/>
    </cacheField>
    <cacheField name="Order_Date" numFmtId="14">
      <sharedItems containsSemiMixedTypes="0" containsNonDate="0" containsDate="1" containsString="0" minDate="2024-01-05T00:00:00" maxDate="2025-12-31T00:00:00" count="459">
        <d v="2024-01-05T00:00:00"/>
        <d v="2024-01-06T00:00:00"/>
        <d v="2024-01-08T00:00:00"/>
        <d v="2024-01-09T00:00:00"/>
        <d v="2024-01-10T00:00:00"/>
        <d v="2024-01-11T00:00:00"/>
        <d v="2024-01-12T00:00:00"/>
        <d v="2024-01-14T00:00:00"/>
        <d v="2024-01-15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6T00:00:00"/>
        <d v="2024-01-27T00:00:00"/>
        <d v="2024-01-29T00:00:00"/>
        <d v="2024-01-30T00:00:00"/>
        <d v="2024-01-31T00:00:00"/>
        <d v="2024-02-02T00:00:00"/>
        <d v="2024-02-03T00:00:00"/>
        <d v="2024-02-04T00:00:00"/>
        <d v="2024-02-07T00:00:00"/>
        <d v="2024-02-09T00:00:00"/>
        <d v="2024-02-10T00:00:00"/>
        <d v="2024-02-12T00:00:00"/>
        <d v="2024-02-13T00:00:00"/>
        <d v="2024-02-15T00:00:00"/>
        <d v="2024-02-16T00:00:00"/>
        <d v="2024-02-17T00:00:00"/>
        <d v="2024-02-20T00:00:00"/>
        <d v="2024-02-22T00:00:00"/>
        <d v="2024-02-23T00:00:00"/>
        <d v="2024-02-24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5T00:00:00"/>
        <d v="2024-03-07T00:00:00"/>
        <d v="2024-03-08T00:00:00"/>
        <d v="2024-03-09T00:00:00"/>
        <d v="2024-03-10T00:00:00"/>
        <d v="2024-03-14T00:00:00"/>
        <d v="2024-03-15T00:00:00"/>
        <d v="2024-03-17T00:00:00"/>
        <d v="2024-03-19T00:00:00"/>
        <d v="2024-03-20T00:00:00"/>
        <d v="2024-03-21T00:00:00"/>
        <d v="2024-03-22T00:00:00"/>
        <d v="2024-03-25T00:00:00"/>
        <d v="2024-03-26T00:00:00"/>
        <d v="2024-03-27T00:00:00"/>
        <d v="2024-03-29T00:00:00"/>
        <d v="2024-03-30T00:00:00"/>
        <d v="2024-03-31T00:00:00"/>
        <d v="2024-04-06T00:00:00"/>
        <d v="2024-04-07T00:00:00"/>
        <d v="2024-04-08T00:00:00"/>
        <d v="2024-04-09T00:00:00"/>
        <d v="2024-04-11T00:00:00"/>
        <d v="2024-04-12T00:00:00"/>
        <d v="2024-04-13T00:00:00"/>
        <d v="2024-04-14T00:00:00"/>
        <d v="2024-04-15T00:00:00"/>
        <d v="2024-04-16T00:00:00"/>
        <d v="2024-04-19T00:00:00"/>
        <d v="2024-04-21T00:00:00"/>
        <d v="2024-04-24T00:00:00"/>
        <d v="2024-04-26T00:00:00"/>
        <d v="2024-05-01T00:00:00"/>
        <d v="2024-05-03T00:00:00"/>
        <d v="2024-05-04T00:00:00"/>
        <d v="2024-05-06T00:00:00"/>
        <d v="2024-05-07T00:00:00"/>
        <d v="2024-05-09T00:00:00"/>
        <d v="2024-05-10T00:00:00"/>
        <d v="2024-05-11T00:00:00"/>
        <d v="2024-05-12T00:00:00"/>
        <d v="2024-05-13T00:00:00"/>
        <d v="2024-05-17T00:00:00"/>
        <d v="2024-05-18T00:00:00"/>
        <d v="2024-05-20T00:00:00"/>
        <d v="2024-05-21T00:00:00"/>
        <d v="2024-05-22T00:00:00"/>
        <d v="2024-05-23T00:00:00"/>
        <d v="2024-05-24T00:00:00"/>
        <d v="2024-05-26T00:00:00"/>
        <d v="2024-05-29T00:00:00"/>
        <d v="2024-05-30T00:00:00"/>
        <d v="2024-06-04T00:00:00"/>
        <d v="2024-06-06T00:00:00"/>
        <d v="2024-06-08T00:00:00"/>
        <d v="2024-06-11T00:00:00"/>
        <d v="2024-06-14T00:00:00"/>
        <d v="2024-06-16T00:00:00"/>
        <d v="2024-06-17T00:00:00"/>
        <d v="2024-06-20T00:00:00"/>
        <d v="2024-06-21T00:00:00"/>
        <d v="2024-06-22T00:00:00"/>
        <d v="2024-06-24T00:00:00"/>
        <d v="2024-06-25T00:00:00"/>
        <d v="2024-06-27T00:00:00"/>
        <d v="2024-06-28T00:00:00"/>
        <d v="2024-06-30T00:00:00"/>
        <d v="2024-07-03T00:00:00"/>
        <d v="2024-07-04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7T00:00:00"/>
        <d v="2024-07-18T00:00:00"/>
        <d v="2024-07-21T00:00:00"/>
        <d v="2024-07-22T00:00:00"/>
        <d v="2024-07-23T00:00:00"/>
        <d v="2024-07-25T00:00:00"/>
        <d v="2024-07-27T00:00:00"/>
        <d v="2024-07-28T00:00:00"/>
        <d v="2024-07-29T00:00:00"/>
        <d v="2024-07-30T00:00:00"/>
        <d v="2024-07-31T00:00:00"/>
        <d v="2024-08-01T00:00:00"/>
        <d v="2024-08-03T00:00:00"/>
        <d v="2024-08-04T00:00:00"/>
        <d v="2024-08-07T00:00:00"/>
        <d v="2024-08-09T00:00:00"/>
        <d v="2024-08-10T00:00:00"/>
        <d v="2024-08-12T00:00:00"/>
        <d v="2024-08-13T00:00:00"/>
        <d v="2024-08-14T00:00:00"/>
        <d v="2024-08-15T00:00:00"/>
        <d v="2024-08-16T00:00:00"/>
        <d v="2024-08-18T00:00:00"/>
        <d v="2024-08-20T00:00:00"/>
        <d v="2024-08-21T00:00:00"/>
        <d v="2024-08-25T00:00:00"/>
        <d v="2024-08-31T00:00:00"/>
        <d v="2024-09-03T00:00:00"/>
        <d v="2024-09-06T00:00:00"/>
        <d v="2024-09-08T00:00:00"/>
        <d v="2024-09-09T00:00:00"/>
        <d v="2024-09-10T00:00:00"/>
        <d v="2024-09-11T00:00:00"/>
        <d v="2024-09-14T00:00:00"/>
        <d v="2024-09-16T00:00:00"/>
        <d v="2024-09-18T00:00:00"/>
        <d v="2024-09-19T00:00:00"/>
        <d v="2024-09-20T00:00:00"/>
        <d v="2024-09-23T00:00:00"/>
        <d v="2024-09-24T00:00:00"/>
        <d v="2024-09-27T00:00:00"/>
        <d v="2024-09-28T00:00:00"/>
        <d v="2024-10-02T00:00:00"/>
        <d v="2024-10-04T00:00:00"/>
        <d v="2024-10-05T00:00:00"/>
        <d v="2024-10-08T00:00:00"/>
        <d v="2024-10-09T00:00:00"/>
        <d v="2024-10-10T00:00:00"/>
        <d v="2024-10-11T00:00:00"/>
        <d v="2024-10-12T00:00:00"/>
        <d v="2024-10-13T00:00:00"/>
        <d v="2024-10-15T00:00:00"/>
        <d v="2024-10-16T00:00:00"/>
        <d v="2024-10-19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4T00:00:00"/>
        <d v="2024-11-05T00:00:00"/>
        <d v="2024-11-08T00:00:00"/>
        <d v="2024-11-12T00:00:00"/>
        <d v="2024-11-13T00:00:00"/>
        <d v="2024-11-15T00:00:00"/>
        <d v="2024-11-17T00:00:00"/>
        <d v="2024-11-19T00:00:00"/>
        <d v="2024-11-20T00:00:00"/>
        <d v="2024-11-21T00:00:00"/>
        <d v="2024-11-22T00:00:00"/>
        <d v="2024-11-23T00:00:00"/>
        <d v="2024-11-24T00:00:00"/>
        <d v="2024-11-26T00:00:00"/>
        <d v="2024-11-27T00:00:00"/>
        <d v="2024-11-28T00:00:00"/>
        <d v="2024-11-30T00:00:00"/>
        <d v="2024-12-01T00:00:00"/>
        <d v="2024-12-03T00:00:00"/>
        <d v="2024-12-04T00:00:00"/>
        <d v="2024-12-06T00:00:00"/>
        <d v="2024-12-10T00:00:00"/>
        <d v="2024-12-13T00:00:00"/>
        <d v="2024-12-14T00:00:00"/>
        <d v="2024-12-16T00:00:00"/>
        <d v="2024-12-17T00:00:00"/>
        <d v="2024-12-18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31T00:00:00"/>
        <d v="2025-01-01T00:00:00"/>
        <d v="2025-01-03T00:00:00"/>
        <d v="2025-01-05T00:00:00"/>
        <d v="2025-01-06T00:00:00"/>
        <d v="2025-01-07T00:00:00"/>
        <d v="2025-01-08T00:00:00"/>
        <d v="2025-01-09T00:00:00"/>
        <d v="2025-01-11T00:00:00"/>
        <d v="2025-01-13T00:00:00"/>
        <d v="2025-01-16T00:00:00"/>
        <d v="2025-01-17T00:00:00"/>
        <d v="2025-01-18T00:00:00"/>
        <d v="2025-01-20T00:00:00"/>
        <d v="2025-01-21T00:00:00"/>
        <d v="2025-01-22T00:00:00"/>
        <d v="2025-01-23T00:00:00"/>
        <d v="2025-01-26T00:00:00"/>
        <d v="2025-01-27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10T00:00:00"/>
        <d v="2025-02-13T00:00:00"/>
        <d v="2025-02-14T00:00:00"/>
        <d v="2025-02-15T00:00:00"/>
        <d v="2025-02-16T00:00:00"/>
        <d v="2025-02-17T00:00:00"/>
        <d v="2025-02-18T00:00:00"/>
        <d v="2025-02-20T00:00:00"/>
        <d v="2025-02-21T00:00:00"/>
        <d v="2025-02-22T00:00:00"/>
        <d v="2025-02-23T00:00:00"/>
        <d v="2025-02-24T00:00:00"/>
        <d v="2025-02-26T00:00:00"/>
        <d v="2025-03-02T00:00:00"/>
        <d v="2025-03-04T00:00:00"/>
        <d v="2025-03-06T00:00:00"/>
        <d v="2025-03-07T00:00:00"/>
        <d v="2025-03-08T00:00:00"/>
        <d v="2025-03-09T00:00:00"/>
        <d v="2025-03-10T00:00:00"/>
        <d v="2025-03-12T00:00:00"/>
        <d v="2025-03-14T00:00:00"/>
        <d v="2025-03-17T00:00:00"/>
        <d v="2025-03-18T00:00:00"/>
        <d v="2025-03-20T00:00:00"/>
        <d v="2025-03-21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9T00:00:00"/>
        <d v="2025-04-10T00:00:00"/>
        <d v="2025-04-11T00:00:00"/>
        <d v="2025-04-18T00:00:00"/>
        <d v="2025-04-19T00:00:00"/>
        <d v="2025-04-20T00:00:00"/>
        <d v="2025-04-22T00:00:00"/>
        <d v="2025-04-23T00:00:00"/>
        <d v="2025-04-24T00:00:00"/>
        <d v="2025-04-25T00:00:00"/>
        <d v="2025-04-28T00:00:00"/>
        <d v="2025-04-29T00:00:00"/>
        <d v="2025-05-01T00:00:00"/>
        <d v="2025-05-02T00:00:00"/>
        <d v="2025-05-03T00:00:00"/>
        <d v="2025-05-07T00:00:00"/>
        <d v="2025-05-08T00:00:00"/>
        <d v="2025-05-09T00:00:00"/>
        <d v="2025-05-10T00:00:00"/>
        <d v="2025-05-12T00:00:00"/>
        <d v="2025-05-13T00:00:00"/>
        <d v="2025-05-15T00:00:00"/>
        <d v="2025-05-16T00:00:00"/>
        <d v="2025-05-17T00:00:00"/>
        <d v="2025-05-19T00:00:00"/>
        <d v="2025-05-21T00:00:00"/>
        <d v="2025-05-22T00:00:00"/>
        <d v="2025-05-24T00:00:00"/>
        <d v="2025-05-25T00:00:00"/>
        <d v="2025-05-26T00:00:00"/>
        <d v="2025-05-27T00:00:00"/>
        <d v="2025-05-28T00:00:00"/>
        <d v="2025-05-29T00:00:00"/>
        <d v="2025-05-31T00:00:00"/>
        <d v="2025-06-02T00:00:00"/>
        <d v="2025-06-03T00:00:00"/>
        <d v="2025-06-05T00:00:00"/>
        <d v="2025-06-07T00:00:00"/>
        <d v="2025-06-09T00:00:00"/>
        <d v="2025-06-12T00:00:00"/>
        <d v="2025-06-13T00:00:00"/>
        <d v="2025-06-14T00:00:00"/>
        <d v="2025-06-17T00:00:00"/>
        <d v="2025-06-18T00:00:00"/>
        <d v="2025-06-19T00:00:00"/>
        <d v="2025-06-20T00:00:00"/>
        <d v="2025-06-22T00:00:00"/>
        <d v="2025-06-24T00:00:00"/>
        <d v="2025-06-26T00:00:00"/>
        <d v="2025-06-27T00:00:00"/>
        <d v="2025-06-28T00:00:00"/>
        <d v="2025-07-01T00:00:00"/>
        <d v="2025-07-02T00:00:00"/>
        <d v="2025-07-06T00:00:00"/>
        <d v="2025-07-07T00:00:00"/>
        <d v="2025-07-09T00:00:00"/>
        <d v="2025-07-10T00:00:00"/>
        <d v="2025-07-11T00:00:00"/>
        <d v="2025-07-12T00:00:00"/>
        <d v="2025-07-13T00:00:00"/>
        <d v="2025-07-15T00:00:00"/>
        <d v="2025-07-17T00:00:00"/>
        <d v="2025-07-18T00:00:00"/>
        <d v="2025-07-19T00:00:00"/>
        <d v="2025-07-20T00:00:00"/>
        <d v="2025-07-21T00:00:00"/>
        <d v="2025-07-23T00:00:00"/>
        <d v="2025-07-24T00:00:00"/>
        <d v="2025-08-01T00:00:00"/>
        <d v="2025-08-02T00:00:00"/>
        <d v="2025-08-05T00:00:00"/>
        <d v="2025-08-09T00:00:00"/>
        <d v="2025-08-12T00:00:00"/>
        <d v="2025-08-14T00:00:00"/>
        <d v="2025-08-15T00:00:00"/>
        <d v="2025-08-16T00:00:00"/>
        <d v="2025-08-17T00:00:00"/>
        <d v="2025-08-18T00:00:00"/>
        <d v="2025-08-19T00:00:00"/>
        <d v="2025-08-21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4T00:00:00"/>
        <d v="2025-09-05T00:00:00"/>
        <d v="2025-09-06T00:00:00"/>
        <d v="2025-09-07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5T00:00:00"/>
        <d v="2025-10-06T00:00:00"/>
        <d v="2025-10-07T00:00:00"/>
        <d v="2025-10-08T00:00:00"/>
        <d v="2025-10-09T00:00:00"/>
        <d v="2025-10-10T00:00:00"/>
        <d v="2025-10-13T00:00:00"/>
        <d v="2025-10-14T00:00:00"/>
        <d v="2025-10-15T00:00:00"/>
        <d v="2025-10-17T00:00:00"/>
        <d v="2025-10-18T00:00:00"/>
        <d v="2025-10-19T00:00:00"/>
        <d v="2025-10-20T00:00:00"/>
        <d v="2025-10-21T00:00:00"/>
        <d v="2025-10-24T00:00:00"/>
        <d v="2025-10-25T00:00:00"/>
        <d v="2025-10-28T00:00:00"/>
        <d v="2025-10-29T00:00:00"/>
        <d v="2025-10-31T00:00:00"/>
        <d v="2025-11-02T00:00:00"/>
        <d v="2025-11-04T00:00:00"/>
        <d v="2025-11-06T00:00:00"/>
        <d v="2025-11-08T00:00:00"/>
        <d v="2025-11-09T00:00:00"/>
        <d v="2025-11-11T00:00:00"/>
        <d v="2025-11-13T00:00:00"/>
        <d v="2025-11-14T00:00:00"/>
        <d v="2025-11-17T00:00:00"/>
        <d v="2025-11-18T00:00:00"/>
        <d v="2025-11-19T00:00:00"/>
        <d v="2025-11-20T00:00:00"/>
        <d v="2025-11-21T00:00:00"/>
        <d v="2025-11-22T00:00:00"/>
        <d v="2025-11-24T00:00:00"/>
        <d v="2025-11-27T00:00:00"/>
        <d v="2025-11-29T00:00:00"/>
        <d v="2025-12-01T00:00:00"/>
        <d v="2025-12-02T00:00:00"/>
        <d v="2025-12-06T00:00:00"/>
        <d v="2025-12-07T00:00:00"/>
        <d v="2025-12-09T00:00:00"/>
        <d v="2025-12-11T00:00:00"/>
        <d v="2025-12-13T00:00:00"/>
        <d v="2025-12-14T00:00:00"/>
        <d v="2025-12-15T00:00:00"/>
        <d v="2025-12-17T00:00:00"/>
        <d v="2025-12-20T00:00:00"/>
        <d v="2025-12-21T00:00:00"/>
        <d v="2025-12-22T00:00:00"/>
        <d v="2025-12-23T00:00:00"/>
        <d v="2025-12-27T00:00:00"/>
        <d v="2025-12-29T00:00:00"/>
        <d v="2025-12-30T00:00:00"/>
      </sharedItems>
      <fieldGroup par="38"/>
    </cacheField>
    <cacheField name="Ship_Date" numFmtId="14">
      <sharedItems containsSemiMixedTypes="0" containsNonDate="0" containsDate="1" containsString="0" minDate="2024-01-08T00:00:00" maxDate="2026-01-16T00:00:00"/>
    </cacheField>
    <cacheField name="Customer_ID" numFmtId="0">
      <sharedItems/>
    </cacheField>
    <cacheField name="Customer_Name" numFmtId="0">
      <sharedItems/>
    </cacheField>
    <cacheField name="Segment" numFmtId="0">
      <sharedItems count="3">
        <s v="Corporate"/>
        <s v="Small Business"/>
        <s v="Consumer"/>
      </sharedItems>
    </cacheField>
    <cacheField name="Region" numFmtId="0">
      <sharedItems count="4">
        <s v="East"/>
        <s v="West"/>
        <s v="Central"/>
        <s v="South"/>
      </sharedItems>
    </cacheField>
    <cacheField name="State" numFmtId="0">
      <sharedItems/>
    </cacheField>
    <cacheField name="City" numFmtId="0">
      <sharedItems/>
    </cacheField>
    <cacheField name="Sales_channel" numFmtId="0">
      <sharedItems count="4">
        <s v="Wholesale"/>
        <s v="Partner"/>
        <s v="Retail Store"/>
        <s v="Online"/>
      </sharedItems>
    </cacheField>
    <cacheField name="Marketing_Channel" numFmtId="0">
      <sharedItems count="6">
        <s v="Paid Search"/>
        <s v="Affiliate"/>
        <s v="Social"/>
        <s v="Organic"/>
        <s v="Email"/>
        <s v="Referral"/>
      </sharedItems>
    </cacheField>
    <cacheField name="SKU" numFmtId="0">
      <sharedItems/>
    </cacheField>
    <cacheField name="Product_Name" numFmtId="0">
      <sharedItems/>
    </cacheField>
    <cacheField name="Category" numFmtId="0">
      <sharedItems count="4">
        <s v="Appliances"/>
        <s v="Furniture"/>
        <s v="Office Supplies"/>
        <s v="Technology"/>
      </sharedItems>
    </cacheField>
    <cacheField name="Subcategory" numFmtId="0">
      <sharedItems count="13">
        <s v="Kitchen"/>
        <s v="Desks"/>
        <s v="Supplies"/>
        <s v="Cleaning"/>
        <s v="Monitors"/>
        <s v="Networking"/>
        <s v="Binders"/>
        <s v="Laptops"/>
        <s v="Writing"/>
        <s v="Storage"/>
        <s v="Accessories"/>
        <s v="Chairs"/>
        <s v="Paper"/>
      </sharedItems>
    </cacheField>
    <cacheField name="Quantity" numFmtId="1">
      <sharedItems containsSemiMixedTypes="0" containsString="0" containsNumber="1" containsInteger="1" minValue="-7" maxValue="10"/>
    </cacheField>
    <cacheField name="Unit_Price" numFmtId="169">
      <sharedItems containsSemiMixedTypes="0" containsString="0" containsNumber="1" minValue="0" maxValue="1472.21"/>
    </cacheField>
    <cacheField name="Discount_Pct" numFmtId="9">
      <sharedItems containsSemiMixedTypes="0" containsString="0" containsNumber="1" minValue="0" maxValue="0.88"/>
    </cacheField>
    <cacheField name="Shipping_Cost" numFmtId="169">
      <sharedItems containsSemiMixedTypes="0" containsString="0" containsNumber="1" minValue="5.0199999999999996" maxValue="29.85"/>
    </cacheField>
    <cacheField name="Order_Priority" numFmtId="0">
      <sharedItems/>
    </cacheField>
    <cacheField name="Returned" numFmtId="0">
      <sharedItems/>
    </cacheField>
    <cacheField name="Customer_Rating" numFmtId="1">
      <sharedItems containsString="0" containsBlank="1" containsNumber="1" containsInteger="1" minValue="1" maxValue="5"/>
    </cacheField>
    <cacheField name="data quality" numFmtId="0">
      <sharedItems/>
    </cacheField>
    <cacheField name="Customer Loyalty tier" numFmtId="0">
      <sharedItems count="5">
        <s v="Silver"/>
        <s v="Platinum"/>
        <s v="Bronze"/>
        <s v="Gold"/>
        <e v="#N/A"/>
      </sharedItems>
    </cacheField>
    <cacheField name="Customer SignUP date" numFmtId="14">
      <sharedItems containsDate="1" containsMixedTypes="1" minDate="2021-01-03T00:00:00" maxDate="2025-12-23T00:00:00"/>
    </cacheField>
    <cacheField name="Product Cost" numFmtId="169">
      <sharedItems containsSemiMixedTypes="0" containsString="0" containsNumber="1" containsInteger="1" minValue="5" maxValue="885"/>
    </cacheField>
    <cacheField name="Gross Sales" numFmtId="169">
      <sharedItems containsSemiMixedTypes="0" containsString="0" containsNumber="1" minValue="-178.64" maxValue="5887.96"/>
    </cacheField>
    <cacheField name="Discount amount" numFmtId="169">
      <sharedItems containsSemiMixedTypes="0" containsString="0" containsNumber="1" minValue="0" maxValue="471.10720000000003"/>
    </cacheField>
    <cacheField name="Net Sales" numFmtId="169">
      <sharedItems containsSemiMixedTypes="0" containsString="0" containsNumber="1" minValue="-180.1712" maxValue="5858.5201999999999"/>
    </cacheField>
    <cacheField name="COGS" numFmtId="169">
      <sharedItems containsSemiMixedTypes="0" containsString="0" containsNumber="1" containsInteger="1" minValue="-84" maxValue="3540"/>
    </cacheField>
    <cacheField name="Gross Profit" numFmtId="169">
      <sharedItems containsSemiMixedTypes="0" containsString="0" containsNumber="1" minValue="-125" maxValue="2318.5201999999999"/>
    </cacheField>
    <cacheField name="Margin %" numFmtId="9">
      <sharedItems containsMixedTypes="1" containsNumber="1" minValue="0.15804102484685695" maxValue="1"/>
    </cacheField>
    <cacheField name="Delivery Days" numFmtId="0">
      <sharedItems containsSemiMixedTypes="0" containsString="0" containsNumber="1" containsInteger="1" minValue="-2" maxValue="270"/>
    </cacheField>
    <cacheField name="Late Shipment" numFmtId="0">
      <sharedItems/>
    </cacheField>
    <cacheField name="Order Month" numFmtId="0">
      <sharedItems/>
    </cacheField>
    <cacheField name="Order Quarter" numFmtId="14">
      <sharedItems/>
    </cacheField>
    <cacheField name="Months (Order_Date)" numFmtId="0" databaseField="0">
      <fieldGroup base="1">
        <rangePr groupBy="months" startDate="2024-01-05T00:00:00" endDate="2025-12-31T00:00:00"/>
        <groupItems count="14">
          <s v="&lt;1/5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25"/>
        </groupItems>
      </fieldGroup>
    </cacheField>
    <cacheField name="Quarters (Order_Date)" numFmtId="0" databaseField="0">
      <fieldGroup base="1">
        <rangePr groupBy="quarters" startDate="2024-01-05T00:00:00" endDate="2025-12-31T00:00:00"/>
        <groupItems count="6">
          <s v="&lt;1/5/2024"/>
          <s v="Qtr1"/>
          <s v="Qtr2"/>
          <s v="Qtr3"/>
          <s v="Qtr4"/>
          <s v="&gt;12/31/2025"/>
        </groupItems>
      </fieldGroup>
    </cacheField>
    <cacheField name="Years (Order_Date)" numFmtId="0" databaseField="0">
      <fieldGroup base="1">
        <rangePr groupBy="years" startDate="2024-01-05T00:00:00" endDate="2025-12-31T00:00:00"/>
        <groupItems count="4">
          <s v="&lt;1/5/2024"/>
          <s v="2024"/>
          <s v="2025"/>
          <s v="&gt;12/3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0">
  <r>
    <s v="ORD-01074"/>
    <x v="0"/>
    <d v="2024-01-08T00:00:00"/>
    <s v="CUST-0096"/>
    <s v="Mila Wilson"/>
    <x v="0"/>
    <x v="0"/>
    <s v="VA"/>
    <s v="Richmond"/>
    <x v="0"/>
    <x v="0"/>
    <s v="APP-KIT-102"/>
    <s v="Mini Refrigerator"/>
    <x v="0"/>
    <x v="0"/>
    <n v="6"/>
    <n v="229.85"/>
    <n v="0.09"/>
    <n v="12.62"/>
    <s v="High"/>
    <s v="No"/>
    <n v="3"/>
    <s v="Valid"/>
    <x v="0"/>
    <d v="2025-12-08T00:00:00"/>
    <n v="125"/>
    <n v="1379.1"/>
    <n v="20.686499999999999"/>
    <n v="1358.4134999999999"/>
    <n v="750"/>
    <n v="608.41349999999989"/>
    <n v="0.44788534566242161"/>
    <n v="3"/>
    <s v="on time"/>
    <s v="January"/>
    <s v="Q1"/>
  </r>
  <r>
    <s v="ORD-01355"/>
    <x v="0"/>
    <d v="2024-01-15T00:00:00"/>
    <s v="CUST-0004"/>
    <s v="Riley Smith"/>
    <x v="1"/>
    <x v="0"/>
    <s v="VA"/>
    <s v="Richmond"/>
    <x v="0"/>
    <x v="1"/>
    <s v="FUR-DSK-101"/>
    <s v="Standing Desk 48"/>
    <x v="1"/>
    <x v="1"/>
    <n v="3"/>
    <n v="309.35000000000002"/>
    <n v="0.01"/>
    <n v="25.73"/>
    <s v="High"/>
    <s v="No"/>
    <m/>
    <s v="Valid"/>
    <x v="0"/>
    <d v="2022-06-24T00:00:00"/>
    <n v="184"/>
    <n v="928.05000000000007"/>
    <n v="3.0935000000000001"/>
    <n v="924.95650000000012"/>
    <n v="552"/>
    <n v="372.95650000000012"/>
    <n v="0.40321517822730052"/>
    <n v="10"/>
    <s v="on time"/>
    <s v="January"/>
    <s v="Q1"/>
  </r>
  <r>
    <s v="ORD-01217"/>
    <x v="1"/>
    <d v="2024-01-24T00:00:00"/>
    <s v="CUST-0038"/>
    <s v="Jordan Walker"/>
    <x v="0"/>
    <x v="0"/>
    <s v="PA"/>
    <s v="Philadelphia"/>
    <x v="0"/>
    <x v="2"/>
    <s v="OFF-SUP-402"/>
    <s v="Label Maker"/>
    <x v="2"/>
    <x v="2"/>
    <n v="10"/>
    <n v="76.11"/>
    <n v="0.11"/>
    <n v="6.28"/>
    <s v="Medium"/>
    <s v="No"/>
    <m/>
    <s v="Valid"/>
    <x v="1"/>
    <d v="2021-09-22T00:00:00"/>
    <n v="36"/>
    <n v="761.1"/>
    <n v="8.3720999999999997"/>
    <n v="752.72789999999998"/>
    <n v="360"/>
    <n v="392.72789999999998"/>
    <n v="0.52173952898517506"/>
    <n v="18"/>
    <s v="late"/>
    <s v="January"/>
    <s v="Q1"/>
  </r>
  <r>
    <s v="ORD-01509"/>
    <x v="1"/>
    <d v="2024-01-23T00:00:00"/>
    <s v="CUST-0015"/>
    <s v="Taylor Brown"/>
    <x v="0"/>
    <x v="0"/>
    <s v="PA"/>
    <s v="Philadelphia"/>
    <x v="1"/>
    <x v="0"/>
    <s v="APP-CLN-202"/>
    <s v="Robot Vacuum"/>
    <x v="0"/>
    <x v="3"/>
    <n v="5"/>
    <n v="319.14999999999998"/>
    <n v="0"/>
    <n v="5.12"/>
    <s v="Medium"/>
    <s v="No"/>
    <n v="5"/>
    <s v="Valid"/>
    <x v="0"/>
    <d v="2024-05-23T00:00:00"/>
    <n v="165"/>
    <n v="1595.75"/>
    <n v="0"/>
    <n v="1595.75"/>
    <n v="825"/>
    <n v="770.75"/>
    <n v="0.48300172332758889"/>
    <n v="17"/>
    <s v="late"/>
    <s v="January"/>
    <s v="Q1"/>
  </r>
  <r>
    <s v="ORD-01638"/>
    <x v="2"/>
    <d v="2024-01-14T00:00:00"/>
    <s v="CUST-0036"/>
    <s v="Avery Davis"/>
    <x v="1"/>
    <x v="0"/>
    <s v="NY"/>
    <s v="New York"/>
    <x v="1"/>
    <x v="2"/>
    <s v="TEC-MON-201"/>
    <s v="ClearView 27 Monitor"/>
    <x v="3"/>
    <x v="4"/>
    <n v="1"/>
    <n v="288.93"/>
    <n v="0.02"/>
    <n v="18.28"/>
    <s v="Critical"/>
    <s v="No"/>
    <n v="3"/>
    <s v="Valid"/>
    <x v="2"/>
    <d v="2022-02-02T00:00:00"/>
    <n v="168"/>
    <n v="288.93"/>
    <n v="5.7786"/>
    <n v="283.15140000000002"/>
    <n v="168"/>
    <n v="115.15140000000002"/>
    <n v="0.40667784090066311"/>
    <n v="6"/>
    <s v="on time"/>
    <s v="January"/>
    <s v="Q1"/>
  </r>
  <r>
    <s v="ORD-01012"/>
    <x v="3"/>
    <d v="2024-01-16T00:00:00"/>
    <s v="CUST-0087"/>
    <s v="Owen Wilson"/>
    <x v="0"/>
    <x v="1"/>
    <s v="OR"/>
    <s v="Portland"/>
    <x v="2"/>
    <x v="3"/>
    <s v="TEC-NET-402"/>
    <s v="8-Port Network Switch"/>
    <x v="3"/>
    <x v="5"/>
    <n v="1"/>
    <n v="88"/>
    <n v="0.02"/>
    <n v="11.18"/>
    <s v="Low"/>
    <s v="No"/>
    <n v="5"/>
    <s v="Valid"/>
    <x v="0"/>
    <d v="2023-04-17T00:00:00"/>
    <n v="44"/>
    <n v="88"/>
    <n v="1.76"/>
    <n v="86.24"/>
    <n v="44"/>
    <n v="42.239999999999995"/>
    <n v="0.48979591836734693"/>
    <n v="7"/>
    <s v="on time"/>
    <s v="January"/>
    <s v="Q1"/>
  </r>
  <r>
    <s v="ORD-01307"/>
    <x v="3"/>
    <d v="2024-01-12T00:00:00"/>
    <s v="CUST-0104"/>
    <s v="Drew Walker"/>
    <x v="0"/>
    <x v="2"/>
    <s v="MN"/>
    <s v="Minneapolis"/>
    <x v="0"/>
    <x v="0"/>
    <s v="OFF-BIN-201"/>
    <s v="Heavy-Duty Binder 12-Pack"/>
    <x v="2"/>
    <x v="6"/>
    <n v="9"/>
    <n v="36.770000000000003"/>
    <n v="0.01"/>
    <n v="15.4"/>
    <s v="Critical"/>
    <s v="No"/>
    <n v="3"/>
    <s v="Valid"/>
    <x v="0"/>
    <d v="2023-11-06T00:00:00"/>
    <n v="18"/>
    <n v="330.93"/>
    <n v="0.36770000000000003"/>
    <n v="330.56229999999999"/>
    <n v="162"/>
    <n v="168.56229999999999"/>
    <n v="0.50992596554416514"/>
    <n v="3"/>
    <s v="on time"/>
    <s v="January"/>
    <s v="Q1"/>
  </r>
  <r>
    <s v="ORD-01323"/>
    <x v="4"/>
    <d v="2024-01-12T00:00:00"/>
    <s v="CUST-0154"/>
    <s v="Rowan Nguyen"/>
    <x v="0"/>
    <x v="0"/>
    <s v="NY"/>
    <s v="New York"/>
    <x v="1"/>
    <x v="4"/>
    <s v="APP-KIT-102"/>
    <s v="Mini Refrigerator"/>
    <x v="0"/>
    <x v="0"/>
    <n v="10"/>
    <n v="246.67"/>
    <n v="0.21"/>
    <n v="16.760000000000002"/>
    <s v="Critical"/>
    <s v="Yes"/>
    <n v="1"/>
    <s v="Valid"/>
    <x v="1"/>
    <d v="2022-04-17T00:00:00"/>
    <n v="125"/>
    <n v="2466.6999999999998"/>
    <n v="51.800699999999992"/>
    <n v="2414.8993"/>
    <n v="1250"/>
    <n v="1164.8993"/>
    <n v="0.48238007274257771"/>
    <n v="2"/>
    <s v="on time"/>
    <s v="January"/>
    <s v="Q1"/>
  </r>
  <r>
    <s v="ORD-01392"/>
    <x v="4"/>
    <d v="2024-01-17T00:00:00"/>
    <s v="CUST-0085"/>
    <s v="Avery Chen"/>
    <x v="2"/>
    <x v="2"/>
    <s v="OH"/>
    <s v="Columbus"/>
    <x v="2"/>
    <x v="0"/>
    <s v="APP-CLN-201"/>
    <s v="Air Purifier"/>
    <x v="0"/>
    <x v="3"/>
    <n v="8"/>
    <n v="164.77"/>
    <n v="0.12"/>
    <n v="16.670000000000002"/>
    <s v="Low"/>
    <s v="No"/>
    <n v="3"/>
    <s v="Valid"/>
    <x v="1"/>
    <d v="2025-07-20T00:00:00"/>
    <n v="82"/>
    <n v="1318.16"/>
    <n v="19.772400000000001"/>
    <n v="1298.3876"/>
    <n v="656"/>
    <n v="642.38760000000002"/>
    <n v="0.49475795979567272"/>
    <n v="7"/>
    <s v="on time"/>
    <s v="January"/>
    <s v="Q1"/>
  </r>
  <r>
    <s v="ORD-01120"/>
    <x v="5"/>
    <d v="2024-01-18T00:00:00"/>
    <s v="CUST-0059"/>
    <s v="Avery Young"/>
    <x v="1"/>
    <x v="1"/>
    <s v="CA"/>
    <s v="San Diego"/>
    <x v="1"/>
    <x v="2"/>
    <s v="TEC-LAP-101"/>
    <s v="ApexBook 14 Laptop"/>
    <x v="3"/>
    <x v="7"/>
    <n v="3"/>
    <n v="876.03"/>
    <n v="0"/>
    <n v="12.08"/>
    <s v="High"/>
    <s v="No"/>
    <n v="3"/>
    <s v="Valid"/>
    <x v="0"/>
    <d v="2021-10-07T00:00:00"/>
    <n v="585"/>
    <n v="2628.09"/>
    <n v="0"/>
    <n v="2628.09"/>
    <n v="1755"/>
    <n v="873.09000000000015"/>
    <n v="0.33221465018321295"/>
    <n v="7"/>
    <s v="on time"/>
    <s v="January"/>
    <s v="Q1"/>
  </r>
  <r>
    <s v="ORD-01673"/>
    <x v="5"/>
    <d v="2024-01-14T00:00:00"/>
    <s v="CUST-0029"/>
    <s v="Iris Miller"/>
    <x v="0"/>
    <x v="0"/>
    <s v="NY"/>
    <s v="New York"/>
    <x v="2"/>
    <x v="5"/>
    <s v="OFF-WRT-301"/>
    <s v="Gel Pen Variety Pack"/>
    <x v="2"/>
    <x v="8"/>
    <n v="10"/>
    <n v="15.53"/>
    <n v="0.1"/>
    <n v="10.77"/>
    <s v="Medium"/>
    <s v="No"/>
    <n v="3"/>
    <s v="Valid"/>
    <x v="1"/>
    <d v="2025-12-22T00:00:00"/>
    <n v="6"/>
    <n v="155.29999999999998"/>
    <n v="1.5529999999999999"/>
    <n v="153.74699999999999"/>
    <n v="60"/>
    <n v="93.746999999999986"/>
    <n v="0.60974848289722727"/>
    <n v="3"/>
    <s v="on time"/>
    <s v="January"/>
    <s v="Q1"/>
  </r>
  <r>
    <s v="ORD-01308"/>
    <x v="6"/>
    <d v="2024-01-19T00:00:00"/>
    <s v="CUST-0130"/>
    <s v="Iris Allen"/>
    <x v="1"/>
    <x v="1"/>
    <s v="OR"/>
    <s v="Portland"/>
    <x v="0"/>
    <x v="1"/>
    <s v="FUR-STO-301"/>
    <s v="Two-Drawer File Cabinet"/>
    <x v="1"/>
    <x v="9"/>
    <n v="3"/>
    <n v="178.71"/>
    <n v="0.19"/>
    <n v="28.13"/>
    <s v="Low"/>
    <s v="No"/>
    <n v="5"/>
    <s v="Valid"/>
    <x v="3"/>
    <d v="2021-12-13T00:00:00"/>
    <n v="88"/>
    <n v="536.13"/>
    <n v="33.954900000000002"/>
    <n v="502.17509999999999"/>
    <n v="264"/>
    <n v="238.17509999999999"/>
    <n v="0.4742869568801798"/>
    <n v="7"/>
    <s v="on time"/>
    <s v="January"/>
    <s v="Q1"/>
  </r>
  <r>
    <s v="ORD-01285"/>
    <x v="7"/>
    <d v="2024-01-16T00:00:00"/>
    <s v="CUST-0154"/>
    <s v="Rowan Nguyen"/>
    <x v="0"/>
    <x v="0"/>
    <s v="NY"/>
    <s v="New York"/>
    <x v="2"/>
    <x v="4"/>
    <s v="APP-KIT-102"/>
    <s v="Mini Refrigerator"/>
    <x v="0"/>
    <x v="0"/>
    <n v="9"/>
    <n v="233.25"/>
    <n v="0.09"/>
    <n v="11.73"/>
    <s v="Medium"/>
    <s v="No"/>
    <n v="4"/>
    <s v="Valid"/>
    <x v="1"/>
    <d v="2022-04-17T00:00:00"/>
    <n v="125"/>
    <n v="2099.25"/>
    <n v="20.9925"/>
    <n v="2078.2575000000002"/>
    <n v="1125"/>
    <n v="953.25750000000016"/>
    <n v="0.45868113070685423"/>
    <n v="2"/>
    <s v="on time"/>
    <s v="January"/>
    <s v="Q1"/>
  </r>
  <r>
    <s v="ORD-01515"/>
    <x v="8"/>
    <d v="2024-01-19T00:00:00"/>
    <s v="CUST-0053"/>
    <s v="Kai Martinez"/>
    <x v="0"/>
    <x v="1"/>
    <s v="CA"/>
    <s v="Los Angeles"/>
    <x v="0"/>
    <x v="4"/>
    <s v="OFF-SUP-402"/>
    <s v="Label Maker"/>
    <x v="2"/>
    <x v="2"/>
    <n v="7"/>
    <n v="71.64"/>
    <n v="0.11"/>
    <n v="8.27"/>
    <s v="Critical"/>
    <s v="No"/>
    <n v="2"/>
    <s v="Valid"/>
    <x v="3"/>
    <d v="2025-10-01T00:00:00"/>
    <n v="36"/>
    <n v="501.48"/>
    <n v="7.8803999999999998"/>
    <n v="493.59960000000001"/>
    <n v="252"/>
    <n v="241.59960000000001"/>
    <n v="0.48946474024695319"/>
    <n v="4"/>
    <s v="on time"/>
    <s v="January"/>
    <s v="Q1"/>
  </r>
  <r>
    <s v="ORD-01219"/>
    <x v="9"/>
    <d v="2024-01-25T00:00:00"/>
    <s v="CUST-0006"/>
    <s v="Priya Wilson"/>
    <x v="0"/>
    <x v="2"/>
    <s v="IL"/>
    <s v="Chicago"/>
    <x v="0"/>
    <x v="2"/>
    <s v="TEC-ACC-301"/>
    <s v="Wireless Keyboard and Mouse"/>
    <x v="3"/>
    <x v="10"/>
    <n v="4"/>
    <n v="56.41"/>
    <n v="0.1"/>
    <n v="21.22"/>
    <s v="Critical"/>
    <s v="No"/>
    <n v="5"/>
    <s v="Valid"/>
    <x v="1"/>
    <d v="2025-12-22T00:00:00"/>
    <n v="28"/>
    <n v="225.64"/>
    <n v="5.641"/>
    <n v="219.999"/>
    <n v="112"/>
    <n v="107.999"/>
    <n v="0.49090677684898565"/>
    <n v="8"/>
    <s v="on time"/>
    <s v="January"/>
    <s v="Q1"/>
  </r>
  <r>
    <s v="ORD-01258"/>
    <x v="9"/>
    <d v="2024-01-25T00:00:00"/>
    <s v="CUST-0116"/>
    <s v="Iris Clark"/>
    <x v="1"/>
    <x v="3"/>
    <s v="TN"/>
    <s v="Nashville"/>
    <x v="0"/>
    <x v="5"/>
    <s v="TEC-MON-202"/>
    <s v="ClearView Ultrawide Monitor"/>
    <x v="3"/>
    <x v="4"/>
    <n v="3"/>
    <n v="522.48"/>
    <n v="0.11"/>
    <n v="7.39"/>
    <s v="High"/>
    <s v="No"/>
    <n v="1"/>
    <s v="Valid"/>
    <x v="2"/>
    <d v="2021-09-08T00:00:00"/>
    <n v="310"/>
    <n v="1567.44"/>
    <n v="57.472799999999999"/>
    <n v="1509.9672"/>
    <n v="930"/>
    <n v="579.96720000000005"/>
    <n v="0.38409258161369336"/>
    <n v="8"/>
    <s v="on time"/>
    <s v="January"/>
    <s v="Q1"/>
  </r>
  <r>
    <s v="ORD-01224"/>
    <x v="10"/>
    <d v="2024-01-27T00:00:00"/>
    <s v="CUST-0031"/>
    <s v="Noah Martinez"/>
    <x v="0"/>
    <x v="3"/>
    <s v="NC"/>
    <s v="Charlotte"/>
    <x v="0"/>
    <x v="3"/>
    <s v="FUR-DSK-101"/>
    <s v="Standing Desk 48"/>
    <x v="1"/>
    <x v="1"/>
    <n v="2"/>
    <n v="329.84"/>
    <n v="0.06"/>
    <n v="18.829999999999998"/>
    <s v="Low"/>
    <s v="No"/>
    <m/>
    <s v="Valid"/>
    <x v="0"/>
    <d v="2025-07-09T00:00:00"/>
    <n v="184"/>
    <n v="659.68"/>
    <n v="19.790399999999998"/>
    <n v="639.88959999999997"/>
    <n v="368"/>
    <n v="271.88959999999997"/>
    <n v="0.42490079538720427"/>
    <n v="9"/>
    <s v="on time"/>
    <s v="January"/>
    <s v="Q1"/>
  </r>
  <r>
    <s v="ORD-01604"/>
    <x v="10"/>
    <d v="2024-01-27T00:00:00"/>
    <s v="CUST-0121"/>
    <s v="Lena Chen"/>
    <x v="0"/>
    <x v="3"/>
    <s v="NC"/>
    <s v="Charlotte"/>
    <x v="1"/>
    <x v="2"/>
    <s v="TEC-LAP-102"/>
    <s v="ApexBook Pro 16 Laptop"/>
    <x v="3"/>
    <x v="7"/>
    <n v="4"/>
    <n v="1324.74"/>
    <n v="0.11"/>
    <n v="16.059999999999999"/>
    <s v="Low"/>
    <s v="No"/>
    <n v="1"/>
    <s v="Valid"/>
    <x v="0"/>
    <d v="2025-03-09T00:00:00"/>
    <n v="885"/>
    <n v="5298.96"/>
    <n v="145.72139999999999"/>
    <n v="5153.2385999999997"/>
    <n v="3540"/>
    <n v="1613.2385999999997"/>
    <n v="0.31305334862624057"/>
    <n v="9"/>
    <s v="on time"/>
    <s v="January"/>
    <s v="Q1"/>
  </r>
  <r>
    <s v="ORD-01172"/>
    <x v="11"/>
    <d v="2024-01-24T00:00:00"/>
    <s v="CUST-0023"/>
    <s v="Jordan Smith"/>
    <x v="1"/>
    <x v="0"/>
    <s v="NJ"/>
    <s v="Newark"/>
    <x v="0"/>
    <x v="5"/>
    <s v="OFF-WRT-302"/>
    <s v="Mechanical Pencil Set"/>
    <x v="2"/>
    <x v="8"/>
    <n v="3"/>
    <n v="12.47"/>
    <n v="7.0000000000000007E-2"/>
    <n v="7.01"/>
    <s v="Critical"/>
    <s v="No"/>
    <n v="4"/>
    <s v="Valid"/>
    <x v="1"/>
    <d v="2023-05-13T00:00:00"/>
    <n v="5"/>
    <n v="37.410000000000004"/>
    <n v="0.87290000000000012"/>
    <n v="36.537100000000002"/>
    <n v="15"/>
    <n v="21.537100000000002"/>
    <n v="0.58945838613354651"/>
    <n v="5"/>
    <s v="on time"/>
    <s v="January"/>
    <s v="Q1"/>
  </r>
  <r>
    <s v="ORD-01079"/>
    <x v="12"/>
    <d v="2024-01-23T00:00:00"/>
    <s v="CUST-0151"/>
    <s v="Owen Johnson"/>
    <x v="1"/>
    <x v="0"/>
    <s v="PA"/>
    <s v="Philadelphia"/>
    <x v="3"/>
    <x v="5"/>
    <s v="FUR-STO-302"/>
    <s v="Modular Bookcase"/>
    <x v="1"/>
    <x v="9"/>
    <n v="1"/>
    <n v="218"/>
    <n v="0.11"/>
    <n v="24.18"/>
    <s v="Low"/>
    <s v="Yes"/>
    <n v="4"/>
    <s v="Valid"/>
    <x v="2"/>
    <d v="2024-05-07T00:00:00"/>
    <n v="118"/>
    <n v="218"/>
    <n v="23.98"/>
    <n v="194.02"/>
    <n v="118"/>
    <n v="76.02000000000001"/>
    <n v="0.39181527677559019"/>
    <n v="3"/>
    <s v="on time"/>
    <s v="January"/>
    <s v="Q1"/>
  </r>
  <r>
    <s v="ORD-01453"/>
    <x v="12"/>
    <d v="2024-01-21T00:00:00"/>
    <s v="CUST-0139"/>
    <s v="Riley Clark"/>
    <x v="2"/>
    <x v="3"/>
    <s v="GA"/>
    <s v="Atlanta"/>
    <x v="3"/>
    <x v="0"/>
    <s v="APP-KIT-102"/>
    <s v="Mini Refrigerator"/>
    <x v="0"/>
    <x v="0"/>
    <n v="4"/>
    <n v="236.71"/>
    <n v="0.09"/>
    <n v="16.760000000000002"/>
    <s v="Critical"/>
    <s v="No"/>
    <n v="4"/>
    <s v="Valid"/>
    <x v="1"/>
    <d v="2023-09-02T00:00:00"/>
    <n v="125"/>
    <n v="946.84"/>
    <n v="21.303899999999999"/>
    <n v="925.53610000000003"/>
    <n v="500"/>
    <n v="425.53610000000003"/>
    <n v="0.45977255776408937"/>
    <n v="1"/>
    <s v="on time"/>
    <s v="January"/>
    <s v="Q1"/>
  </r>
  <r>
    <s v="ORD-01072"/>
    <x v="13"/>
    <d v="2024-01-25T00:00:00"/>
    <s v="CUST-0072"/>
    <s v="Sam Wright"/>
    <x v="0"/>
    <x v="3"/>
    <s v="LA"/>
    <s v="New Orleans"/>
    <x v="3"/>
    <x v="4"/>
    <s v="OFF-WRT-301"/>
    <s v="Gel Pen Variety Pack"/>
    <x v="2"/>
    <x v="8"/>
    <n v="10"/>
    <n v="15.14"/>
    <n v="0.04"/>
    <n v="9.77"/>
    <s v="Low"/>
    <s v="No"/>
    <n v="3"/>
    <s v="Valid"/>
    <x v="0"/>
    <d v="2025-07-05T00:00:00"/>
    <n v="6"/>
    <n v="151.4"/>
    <n v="0.60560000000000003"/>
    <n v="150.7944"/>
    <n v="60"/>
    <n v="90.794399999999996"/>
    <n v="0.60210724005665994"/>
    <n v="4"/>
    <s v="on time"/>
    <s v="January"/>
    <s v="Q1"/>
  </r>
  <r>
    <s v="ORD-01297"/>
    <x v="13"/>
    <d v="2024-01-26T00:00:00"/>
    <s v="CUST-0104"/>
    <s v="Drew Walker"/>
    <x v="0"/>
    <x v="2"/>
    <s v="MN"/>
    <s v="Minneapolis"/>
    <x v="0"/>
    <x v="1"/>
    <s v="FUR-DSK-101"/>
    <s v="Standing Desk 48"/>
    <x v="1"/>
    <x v="1"/>
    <n v="2"/>
    <n v="334.34"/>
    <n v="0.2"/>
    <n v="19.079999999999998"/>
    <s v="Critical"/>
    <s v="No"/>
    <n v="3"/>
    <s v="Valid"/>
    <x v="0"/>
    <d v="2023-11-06T00:00:00"/>
    <n v="184"/>
    <n v="668.68"/>
    <n v="66.867999999999995"/>
    <n v="601.8119999999999"/>
    <n v="368"/>
    <n v="233.8119999999999"/>
    <n v="0.38851335633054829"/>
    <n v="5"/>
    <s v="on time"/>
    <s v="January"/>
    <s v="Q1"/>
  </r>
  <r>
    <s v="ORD-01584"/>
    <x v="14"/>
    <d v="2024-01-28T00:00:00"/>
    <s v="CUST-0036"/>
    <s v="Avery Davis"/>
    <x v="1"/>
    <x v="0"/>
    <s v="NY"/>
    <s v="New York"/>
    <x v="2"/>
    <x v="0"/>
    <s v="FUR-CHR-202"/>
    <s v="Mesh Conference Chair"/>
    <x v="1"/>
    <x v="11"/>
    <n v="1"/>
    <n v="153.06"/>
    <n v="0.01"/>
    <n v="20.37"/>
    <s v="Medium"/>
    <s v="No"/>
    <n v="5"/>
    <s v="Valid"/>
    <x v="2"/>
    <d v="2022-02-02T00:00:00"/>
    <n v="82"/>
    <n v="153.06"/>
    <n v="1.5306"/>
    <n v="151.52940000000001"/>
    <n v="82"/>
    <n v="69.52940000000001"/>
    <n v="0.45885088966233617"/>
    <n v="6"/>
    <s v="on time"/>
    <s v="January"/>
    <s v="Q1"/>
  </r>
  <r>
    <s v="ORD-01121"/>
    <x v="15"/>
    <d v="2024-01-31T00:00:00"/>
    <s v="CUST-0092"/>
    <s v="Alex Brown"/>
    <x v="1"/>
    <x v="3"/>
    <s v="FL"/>
    <s v="Miami"/>
    <x v="3"/>
    <x v="5"/>
    <s v="TEC-NET-401"/>
    <s v="Mesh Wi-Fi Router"/>
    <x v="3"/>
    <x v="5"/>
    <n v="3"/>
    <n v="188.21"/>
    <n v="0.22"/>
    <n v="12.11"/>
    <s v="Critical"/>
    <s v="No"/>
    <n v="1"/>
    <s v="Valid"/>
    <x v="2"/>
    <d v="2025-04-04T00:00:00"/>
    <n v="96"/>
    <n v="564.63"/>
    <n v="41.406200000000005"/>
    <n v="523.22379999999998"/>
    <n v="288"/>
    <n v="235.22379999999998"/>
    <n v="0.44956632324447016"/>
    <n v="8"/>
    <s v="on time"/>
    <s v="January"/>
    <s v="Q1"/>
  </r>
  <r>
    <s v="ORD-01168"/>
    <x v="15"/>
    <d v="2024-01-25T00:00:00"/>
    <s v="CUST-0062"/>
    <s v="Taylor Johnson"/>
    <x v="0"/>
    <x v="2"/>
    <s v="MN"/>
    <s v="Minneapolis"/>
    <x v="2"/>
    <x v="0"/>
    <s v="APP-CLN-201"/>
    <s v="Air Purifier"/>
    <x v="0"/>
    <x v="3"/>
    <n v="10"/>
    <n v="160.79"/>
    <n v="0.09"/>
    <n v="7.83"/>
    <s v="High"/>
    <s v="No"/>
    <n v="3"/>
    <s v="Valid"/>
    <x v="2"/>
    <d v="2024-06-04T00:00:00"/>
    <n v="82"/>
    <n v="1607.8999999999999"/>
    <n v="14.471099999999998"/>
    <n v="1593.4288999999999"/>
    <n v="820"/>
    <n v="773.42889999999989"/>
    <n v="0.48538651457871762"/>
    <n v="2"/>
    <s v="on time"/>
    <s v="January"/>
    <s v="Q1"/>
  </r>
  <r>
    <s v="ORD-01402"/>
    <x v="15"/>
    <d v="2024-01-27T00:00:00"/>
    <s v="CUST-0161"/>
    <s v="Drew Walker"/>
    <x v="0"/>
    <x v="0"/>
    <s v="PA"/>
    <s v="Philadelphia"/>
    <x v="1"/>
    <x v="0"/>
    <s v="OFF-PAP-102"/>
    <s v="Recycled Notebook Pack"/>
    <x v="2"/>
    <x v="12"/>
    <n v="7"/>
    <n v="20.76"/>
    <n v="7.0000000000000007E-2"/>
    <n v="7.97"/>
    <s v="Medium"/>
    <s v="No"/>
    <n v="3"/>
    <s v="Valid"/>
    <x v="3"/>
    <d v="2023-10-05T00:00:00"/>
    <n v="10"/>
    <n v="145.32000000000002"/>
    <n v="1.4532000000000003"/>
    <n v="143.86680000000001"/>
    <n v="70"/>
    <n v="73.866800000000012"/>
    <n v="0.5134388197972013"/>
    <n v="4"/>
    <s v="on time"/>
    <s v="January"/>
    <s v="Q1"/>
  </r>
  <r>
    <s v="ORD-01293"/>
    <x v="16"/>
    <d v="2024-02-03T00:00:00"/>
    <s v="CUST-0093"/>
    <s v="Iris Miller"/>
    <x v="2"/>
    <x v="0"/>
    <s v="NJ"/>
    <s v="Newark"/>
    <x v="2"/>
    <x v="5"/>
    <s v="APP-KIT-101"/>
    <s v="Compact Coffee Brewer"/>
    <x v="0"/>
    <x v="0"/>
    <n v="10"/>
    <n v="93.42"/>
    <n v="0.01"/>
    <n v="16.59"/>
    <s v="Medium"/>
    <s v="No"/>
    <n v="4"/>
    <s v="Valid"/>
    <x v="0"/>
    <d v="2023-11-13T00:00:00"/>
    <n v="48"/>
    <n v="934.2"/>
    <n v="0.93420000000000003"/>
    <n v="933.26580000000001"/>
    <n v="480"/>
    <n v="453.26580000000001"/>
    <n v="0.4856770707766212"/>
    <n v="10"/>
    <s v="on time"/>
    <s v="January"/>
    <s v="Q1"/>
  </r>
  <r>
    <s v="ORD-01016"/>
    <x v="17"/>
    <d v="2024-01-30T00:00:00"/>
    <s v="CUST-0062"/>
    <s v="Taylor Johnson"/>
    <x v="0"/>
    <x v="2"/>
    <s v="MN"/>
    <s v="Minneapolis"/>
    <x v="1"/>
    <x v="5"/>
    <s v="APP-KIT-101"/>
    <s v="Compact Coffee Brewer"/>
    <x v="0"/>
    <x v="0"/>
    <n v="9"/>
    <n v="91.16"/>
    <n v="0"/>
    <n v="8.5500000000000007"/>
    <s v="Medium"/>
    <s v="No"/>
    <n v="5"/>
    <s v="Valid"/>
    <x v="2"/>
    <d v="2024-06-04T00:00:00"/>
    <n v="48"/>
    <n v="820.43999999999994"/>
    <n v="0"/>
    <n v="820.43999999999994"/>
    <n v="432"/>
    <n v="388.43999999999994"/>
    <n v="0.47345326897762174"/>
    <n v="4"/>
    <s v="on time"/>
    <s v="January"/>
    <s v="Q1"/>
  </r>
  <r>
    <s v="ORD-01272"/>
    <x v="17"/>
    <d v="2024-01-27T00:00:00"/>
    <s v="CUST-0156"/>
    <s v="Alex Young"/>
    <x v="2"/>
    <x v="3"/>
    <s v="GA"/>
    <s v="Atlanta"/>
    <x v="0"/>
    <x v="1"/>
    <s v="OFF-PAP-102"/>
    <s v="Recycled Notebook Pack"/>
    <x v="2"/>
    <x v="12"/>
    <n v="5"/>
    <n v="21.09"/>
    <n v="0.18"/>
    <n v="13.01"/>
    <s v="Critical"/>
    <s v="No"/>
    <n v="4"/>
    <s v="Valid"/>
    <x v="3"/>
    <d v="2024-08-10T00:00:00"/>
    <n v="10"/>
    <n v="105.45"/>
    <n v="3.7961999999999998"/>
    <n v="101.6538"/>
    <n v="50"/>
    <n v="51.653800000000004"/>
    <n v="0.50813447210040352"/>
    <n v="1"/>
    <s v="on time"/>
    <s v="January"/>
    <s v="Q1"/>
  </r>
  <r>
    <s v="ORD-01429"/>
    <x v="17"/>
    <d v="2024-02-04T00:00:00"/>
    <s v="CUST-0059"/>
    <s v="Avery Young"/>
    <x v="1"/>
    <x v="1"/>
    <s v="CA"/>
    <s v="San Diego"/>
    <x v="3"/>
    <x v="2"/>
    <s v="OFF-SUP-401"/>
    <s v="Desk Organizer Kit"/>
    <x v="2"/>
    <x v="2"/>
    <n v="6"/>
    <n v="25.54"/>
    <n v="0.02"/>
    <n v="10.58"/>
    <s v="High"/>
    <s v="No"/>
    <n v="2"/>
    <s v="Valid"/>
    <x v="0"/>
    <d v="2021-10-07T00:00:00"/>
    <n v="12"/>
    <n v="153.24"/>
    <n v="0.51080000000000003"/>
    <n v="152.72920000000002"/>
    <n v="72"/>
    <n v="80.72920000000002"/>
    <n v="0.52857737747595102"/>
    <n v="9"/>
    <s v="on time"/>
    <s v="January"/>
    <s v="Q1"/>
  </r>
  <r>
    <s v="ORD-01701"/>
    <x v="18"/>
    <d v="2024-02-06T00:00:00"/>
    <s v="CUST-0035"/>
    <s v="Priya Chen"/>
    <x v="0"/>
    <x v="3"/>
    <s v="LA"/>
    <s v="New Orleans"/>
    <x v="1"/>
    <x v="0"/>
    <s v="OFF-WRT-302"/>
    <s v="Mechanical Pencil Set"/>
    <x v="2"/>
    <x v="8"/>
    <n v="6"/>
    <n v="12.12"/>
    <n v="0.09"/>
    <n v="12.91"/>
    <s v="Critical"/>
    <s v="No"/>
    <n v="3"/>
    <s v="Valid"/>
    <x v="0"/>
    <d v="2025-09-13T00:00:00"/>
    <n v="5"/>
    <n v="72.72"/>
    <n v="1.0908"/>
    <n v="71.629199999999997"/>
    <n v="30"/>
    <n v="41.629199999999997"/>
    <n v="0.58117639175085023"/>
    <n v="10"/>
    <s v="on time"/>
    <s v="January"/>
    <s v="Q1"/>
  </r>
  <r>
    <s v="ORD-01056"/>
    <x v="19"/>
    <d v="2024-02-02T00:00:00"/>
    <s v="CUST-0006"/>
    <s v="Priya Wilson"/>
    <x v="0"/>
    <x v="2"/>
    <s v="IL"/>
    <s v="Chicago"/>
    <x v="0"/>
    <x v="0"/>
    <s v="APP-CLN-202"/>
    <s v="Robot Vacuum"/>
    <x v="0"/>
    <x v="3"/>
    <n v="1"/>
    <n v="330.5"/>
    <n v="0.12"/>
    <n v="7.7"/>
    <s v="Medium"/>
    <s v="No"/>
    <n v="2"/>
    <s v="Valid"/>
    <x v="1"/>
    <d v="2025-12-22T00:00:00"/>
    <n v="165"/>
    <n v="330.5"/>
    <n v="39.659999999999997"/>
    <n v="290.84000000000003"/>
    <n v="165"/>
    <n v="125.84000000000003"/>
    <n v="0.43267776096823002"/>
    <n v="4"/>
    <s v="on time"/>
    <s v="January"/>
    <s v="Q1"/>
  </r>
  <r>
    <s v="ORD-01410"/>
    <x v="19"/>
    <d v="2024-02-05T00:00:00"/>
    <s v="CUST-0103"/>
    <s v="Kai Clark"/>
    <x v="0"/>
    <x v="0"/>
    <s v="NJ"/>
    <s v="Newark"/>
    <x v="2"/>
    <x v="4"/>
    <s v="TEC-LAP-101"/>
    <s v="ApexBook 14 Laptop"/>
    <x v="3"/>
    <x v="7"/>
    <n v="1"/>
    <n v="933.13"/>
    <n v="0.03"/>
    <n v="17.010000000000002"/>
    <s v="Critical"/>
    <s v="No"/>
    <n v="4"/>
    <s v="Valid"/>
    <x v="2"/>
    <d v="2021-10-11T00:00:00"/>
    <n v="585"/>
    <n v="933.13"/>
    <n v="27.9939"/>
    <n v="905.13609999999994"/>
    <n v="585"/>
    <n v="320.13609999999994"/>
    <n v="0.35368835692223521"/>
    <n v="7"/>
    <s v="on time"/>
    <s v="January"/>
    <s v="Q1"/>
  </r>
  <r>
    <s v="ORD-01086"/>
    <x v="20"/>
    <d v="2024-02-08T00:00:00"/>
    <s v="CUST-0165"/>
    <s v="Maya Wilson"/>
    <x v="1"/>
    <x v="0"/>
    <s v="MA"/>
    <s v="Boston"/>
    <x v="2"/>
    <x v="1"/>
    <s v="OFF-PAP-102"/>
    <s v="Recycled Notebook Pack"/>
    <x v="2"/>
    <x v="12"/>
    <n v="1"/>
    <n v="22.39"/>
    <n v="7.0000000000000007E-2"/>
    <n v="14.64"/>
    <s v="High"/>
    <s v="No"/>
    <m/>
    <s v="Valid"/>
    <x v="0"/>
    <d v="2022-12-14T00:00:00"/>
    <n v="10"/>
    <n v="22.39"/>
    <n v="1.5673000000000001"/>
    <n v="20.822700000000001"/>
    <n v="10"/>
    <n v="10.822700000000001"/>
    <n v="0.51975488289222826"/>
    <n v="9"/>
    <s v="on time"/>
    <s v="January"/>
    <s v="Q1"/>
  </r>
  <r>
    <s v="ORD-01015"/>
    <x v="21"/>
    <d v="2024-02-01T00:00:00"/>
    <s v="CUST-0054"/>
    <s v="Maya Brown"/>
    <x v="2"/>
    <x v="0"/>
    <s v="NJ"/>
    <s v="Newark"/>
    <x v="3"/>
    <x v="4"/>
    <s v="TEC-NET-401"/>
    <s v="Mesh Wi-Fi Router"/>
    <x v="3"/>
    <x v="5"/>
    <n v="3"/>
    <n v="189.23"/>
    <n v="0.06"/>
    <n v="5.29"/>
    <s v="Medium"/>
    <s v="No"/>
    <n v="1"/>
    <s v="Valid"/>
    <x v="0"/>
    <d v="2021-04-05T00:00:00"/>
    <n v="96"/>
    <n v="567.68999999999994"/>
    <n v="11.3538"/>
    <n v="556.33619999999996"/>
    <n v="288"/>
    <n v="268.33619999999996"/>
    <n v="0.48232741281261221"/>
    <n v="1"/>
    <s v="on time"/>
    <s v="January"/>
    <s v="Q1"/>
  </r>
  <r>
    <s v="ORD-01302"/>
    <x v="21"/>
    <d v="2024-02-17T00:00:00"/>
    <s v="CUST-0063"/>
    <s v="Avery Brown"/>
    <x v="1"/>
    <x v="1"/>
    <s v="CA"/>
    <s v="Los Angeles"/>
    <x v="1"/>
    <x v="3"/>
    <s v="APP-CLN-201"/>
    <s v="Air Purifier"/>
    <x v="0"/>
    <x v="3"/>
    <n v="10"/>
    <n v="172.82"/>
    <n v="0.11"/>
    <n v="12.65"/>
    <s v="High"/>
    <s v="No"/>
    <n v="2"/>
    <s v="Valid"/>
    <x v="2"/>
    <d v="2025-04-25T00:00:00"/>
    <n v="82"/>
    <n v="1728.1999999999998"/>
    <n v="19.010200000000001"/>
    <n v="1709.1897999999999"/>
    <n v="820"/>
    <n v="889.18979999999988"/>
    <n v="0.5202405256572441"/>
    <n v="17"/>
    <s v="late"/>
    <s v="January"/>
    <s v="Q1"/>
  </r>
  <r>
    <s v="ORD-01246"/>
    <x v="22"/>
    <d v="2024-02-09T00:00:00"/>
    <s v="CUST-0045"/>
    <s v="Jamie Brown"/>
    <x v="1"/>
    <x v="0"/>
    <s v="MA"/>
    <s v="Boston"/>
    <x v="3"/>
    <x v="5"/>
    <s v="OFF-BIN-202"/>
    <s v="Presentation Folder Box"/>
    <x v="2"/>
    <x v="6"/>
    <n v="5"/>
    <n v="29.23"/>
    <n v="7.0000000000000007E-2"/>
    <n v="11.54"/>
    <s v="High"/>
    <s v="No"/>
    <n v="5"/>
    <s v="Valid"/>
    <x v="1"/>
    <d v="2022-06-25T00:00:00"/>
    <n v="14"/>
    <n v="146.15"/>
    <n v="2.0461"/>
    <n v="144.10390000000001"/>
    <n v="70"/>
    <n v="74.10390000000001"/>
    <n v="0.51423937867052871"/>
    <n v="7"/>
    <s v="on time"/>
    <s v="February"/>
    <s v="Q1"/>
  </r>
  <r>
    <s v="ORD-01205"/>
    <x v="23"/>
    <d v="2024-02-04T00:00:00"/>
    <s v="CUST-0056"/>
    <s v="Rowan Nguyen"/>
    <x v="1"/>
    <x v="3"/>
    <s v="TN"/>
    <s v="Nashville"/>
    <x v="1"/>
    <x v="2"/>
    <s v="TEC-MON-201"/>
    <s v="ClearView 27 Monitor"/>
    <x v="3"/>
    <x v="4"/>
    <n v="3"/>
    <n v="282.02999999999997"/>
    <n v="0.08"/>
    <n v="11.74"/>
    <s v="High"/>
    <s v="No"/>
    <m/>
    <s v="Valid"/>
    <x v="3"/>
    <d v="2025-07-10T00:00:00"/>
    <n v="168"/>
    <n v="846.08999999999992"/>
    <n v="22.562399999999997"/>
    <n v="823.52759999999989"/>
    <n v="504"/>
    <n v="319.52759999999989"/>
    <n v="0.38799865359703783"/>
    <n v="1"/>
    <s v="on time"/>
    <s v="February"/>
    <s v="Q1"/>
  </r>
  <r>
    <s v="ORD-01341"/>
    <x v="24"/>
    <d v="2024-02-07T00:00:00"/>
    <s v="CUST-0100"/>
    <s v="Jamie Robinson"/>
    <x v="0"/>
    <x v="1"/>
    <s v="WA"/>
    <s v="Seattle"/>
    <x v="1"/>
    <x v="0"/>
    <s v="OFF-BIN-202"/>
    <s v="Presentation Folder Box"/>
    <x v="2"/>
    <x v="6"/>
    <n v="4"/>
    <n v="28.74"/>
    <n v="0.3"/>
    <n v="13.61"/>
    <s v="High"/>
    <s v="No"/>
    <n v="3"/>
    <s v="Valid"/>
    <x v="0"/>
    <d v="2022-06-22T00:00:00"/>
    <n v="14"/>
    <n v="114.96"/>
    <n v="8.6219999999999999"/>
    <n v="106.33799999999999"/>
    <n v="56"/>
    <n v="50.337999999999994"/>
    <n v="0.47337734394101821"/>
    <n v="3"/>
    <s v="on time"/>
    <s v="February"/>
    <s v="Q1"/>
  </r>
  <r>
    <s v="ORD-01155"/>
    <x v="25"/>
    <d v="2024-02-08T00:00:00"/>
    <s v="CUST-0016"/>
    <s v="Rowan Nguyen"/>
    <x v="2"/>
    <x v="3"/>
    <s v="GA"/>
    <s v="Atlanta"/>
    <x v="0"/>
    <x v="2"/>
    <s v="OFF-PAP-102"/>
    <s v="Recycled Notebook Pack"/>
    <x v="2"/>
    <x v="12"/>
    <n v="6"/>
    <n v="20.97"/>
    <n v="0.09"/>
    <n v="11.4"/>
    <s v="Critical"/>
    <s v="No"/>
    <n v="3"/>
    <s v="Valid"/>
    <x v="2"/>
    <d v="2023-08-11T00:00:00"/>
    <n v="10"/>
    <n v="125.82"/>
    <n v="1.8872999999999998"/>
    <n v="123.9327"/>
    <n v="60"/>
    <n v="63.932699999999997"/>
    <n v="0.5158662725818125"/>
    <n v="1"/>
    <s v="on time"/>
    <s v="February"/>
    <s v="Q1"/>
  </r>
  <r>
    <s v="ORD-01506"/>
    <x v="25"/>
    <d v="2024-02-15T00:00:00"/>
    <s v="CUST-0045"/>
    <s v="Jamie Brown"/>
    <x v="1"/>
    <x v="0"/>
    <s v="MA"/>
    <s v="Boston"/>
    <x v="0"/>
    <x v="1"/>
    <s v="TEC-NET-401"/>
    <s v="Mesh Wi-Fi Router"/>
    <x v="3"/>
    <x v="5"/>
    <n v="4"/>
    <n v="185.14"/>
    <n v="0.09"/>
    <n v="12.24"/>
    <s v="Critical"/>
    <s v="No"/>
    <n v="2"/>
    <s v="Valid"/>
    <x v="1"/>
    <d v="2022-06-25T00:00:00"/>
    <n v="96"/>
    <n v="740.56"/>
    <n v="16.662599999999998"/>
    <n v="723.89739999999995"/>
    <n v="384"/>
    <n v="339.89739999999995"/>
    <n v="0.46953808647468548"/>
    <n v="8"/>
    <s v="on time"/>
    <s v="February"/>
    <s v="Q1"/>
  </r>
  <r>
    <s v="ORD-01568"/>
    <x v="25"/>
    <d v="2024-02-11T00:00:00"/>
    <s v="CUST-0078"/>
    <s v="Reese Nguyen"/>
    <x v="0"/>
    <x v="1"/>
    <s v="WA"/>
    <s v="Seattle"/>
    <x v="3"/>
    <x v="5"/>
    <s v="OFF-WRT-302"/>
    <s v="Mechanical Pencil Set"/>
    <x v="2"/>
    <x v="8"/>
    <n v="10"/>
    <n v="12.69"/>
    <n v="0.05"/>
    <n v="15.4"/>
    <s v="Low"/>
    <s v="No"/>
    <n v="2"/>
    <s v="Valid"/>
    <x v="2"/>
    <d v="2022-12-16T00:00:00"/>
    <n v="5"/>
    <n v="126.89999999999999"/>
    <n v="0.63450000000000006"/>
    <n v="126.26549999999999"/>
    <n v="50"/>
    <n v="76.265499999999989"/>
    <n v="0.60400901275486962"/>
    <n v="4"/>
    <s v="on time"/>
    <s v="February"/>
    <s v="Q1"/>
  </r>
  <r>
    <s v="ORD-01276"/>
    <x v="26"/>
    <d v="2024-02-12T00:00:00"/>
    <s v="CUST-0058"/>
    <s v="Avery Chen"/>
    <x v="2"/>
    <x v="0"/>
    <s v="PA"/>
    <s v="Philadelphia"/>
    <x v="2"/>
    <x v="2"/>
    <s v="TEC-ACC-302"/>
    <s v="USB-C Docking Station"/>
    <x v="3"/>
    <x v="10"/>
    <n v="3"/>
    <n v="132.36000000000001"/>
    <n v="0.06"/>
    <n v="11.25"/>
    <s v="High"/>
    <s v="No"/>
    <n v="1"/>
    <s v="Valid"/>
    <x v="3"/>
    <d v="2023-03-10T00:00:00"/>
    <n v="72"/>
    <n v="397.08000000000004"/>
    <n v="7.9416000000000002"/>
    <n v="389.13840000000005"/>
    <n v="216"/>
    <n v="173.13840000000005"/>
    <n v="0.44492756304697767"/>
    <n v="3"/>
    <s v="on time"/>
    <s v="February"/>
    <s v="Q1"/>
  </r>
  <r>
    <s v="ORD-01377"/>
    <x v="26"/>
    <d v="2024-02-10T00:00:00"/>
    <s v="CUST-0121"/>
    <s v="Lena Chen"/>
    <x v="0"/>
    <x v="3"/>
    <s v="NC"/>
    <s v="Charlotte"/>
    <x v="0"/>
    <x v="2"/>
    <s v="FUR-CHR-202"/>
    <s v="Mesh Conference Chair"/>
    <x v="1"/>
    <x v="11"/>
    <n v="2"/>
    <n v="151.59"/>
    <n v="0.08"/>
    <n v="29.7"/>
    <s v="Low"/>
    <s v="No"/>
    <n v="3"/>
    <s v="Valid"/>
    <x v="0"/>
    <d v="2025-03-09T00:00:00"/>
    <n v="82"/>
    <n v="303.18"/>
    <n v="12.1272"/>
    <n v="291.05279999999999"/>
    <n v="164"/>
    <n v="127.05279999999999"/>
    <n v="0.43652835499263359"/>
    <n v="1"/>
    <s v="on time"/>
    <s v="February"/>
    <s v="Q1"/>
  </r>
  <r>
    <s v="ORD-01408"/>
    <x v="27"/>
    <d v="2024-02-17T00:00:00"/>
    <s v="CUST-0066"/>
    <s v="Kai Robinson"/>
    <x v="2"/>
    <x v="2"/>
    <s v="IL"/>
    <s v="Chicago"/>
    <x v="1"/>
    <x v="3"/>
    <s v="APP-KIT-102"/>
    <s v="Mini Refrigerator"/>
    <x v="0"/>
    <x v="0"/>
    <n v="10"/>
    <n v="228.33"/>
    <n v="0.08"/>
    <n v="7.56"/>
    <s v="Low"/>
    <s v="No"/>
    <m/>
    <s v="Valid"/>
    <x v="3"/>
    <d v="2024-02-11T00:00:00"/>
    <n v="125"/>
    <n v="2283.3000000000002"/>
    <n v="18.266400000000001"/>
    <n v="2265.0336000000002"/>
    <n v="1250"/>
    <n v="1015.0336000000002"/>
    <n v="0.44813180696304022"/>
    <n v="7"/>
    <s v="on time"/>
    <s v="February"/>
    <s v="Q1"/>
  </r>
  <r>
    <s v="ORD-01098"/>
    <x v="28"/>
    <d v="2024-02-20T00:00:00"/>
    <s v="CUST-0054"/>
    <s v="Maya Brown"/>
    <x v="2"/>
    <x v="0"/>
    <s v="NJ"/>
    <s v="Newark"/>
    <x v="0"/>
    <x v="0"/>
    <s v="TEC-ACC-302"/>
    <s v="USB-C Docking Station"/>
    <x v="3"/>
    <x v="10"/>
    <n v="3"/>
    <n v="133.84"/>
    <n v="0.04"/>
    <n v="20.59"/>
    <s v="Critical"/>
    <s v="No"/>
    <m/>
    <s v="Valid"/>
    <x v="0"/>
    <d v="2021-04-05T00:00:00"/>
    <n v="72"/>
    <n v="401.52"/>
    <n v="5.3536000000000001"/>
    <n v="396.16639999999995"/>
    <n v="216"/>
    <n v="180.16639999999995"/>
    <n v="0.45477455937706979"/>
    <n v="8"/>
    <s v="on time"/>
    <s v="February"/>
    <s v="Q1"/>
  </r>
  <r>
    <s v="ORD-01548"/>
    <x v="28"/>
    <d v="2024-02-21T00:00:00"/>
    <s v="CUST-0033"/>
    <s v="Cameron Smith"/>
    <x v="1"/>
    <x v="0"/>
    <s v="VA"/>
    <s v="Richmond"/>
    <x v="1"/>
    <x v="0"/>
    <s v="TEC-ACC-301"/>
    <s v="Wireless Keyboard and Mouse"/>
    <x v="3"/>
    <x v="10"/>
    <n v="1"/>
    <n v="60.19"/>
    <n v="0.06"/>
    <n v="10.42"/>
    <s v="Critical"/>
    <s v="No"/>
    <n v="2"/>
    <s v="Valid"/>
    <x v="1"/>
    <d v="2021-11-18T00:00:00"/>
    <n v="28"/>
    <n v="60.19"/>
    <n v="3.6113999999999997"/>
    <n v="56.578599999999994"/>
    <n v="28"/>
    <n v="28.578599999999994"/>
    <n v="0.5051132406952451"/>
    <n v="9"/>
    <s v="on time"/>
    <s v="February"/>
    <s v="Q1"/>
  </r>
  <r>
    <s v="ORD-01234"/>
    <x v="29"/>
    <d v="2024-02-18T00:00:00"/>
    <s v="CUST-0159"/>
    <s v="Morgan Allen"/>
    <x v="0"/>
    <x v="3"/>
    <s v="GA"/>
    <s v="Atlanta"/>
    <x v="2"/>
    <x v="3"/>
    <s v="OFF-WRT-301"/>
    <s v="Gel Pen Variety Pack"/>
    <x v="2"/>
    <x v="8"/>
    <n v="1"/>
    <n v="15.29"/>
    <n v="0.08"/>
    <n v="10.14"/>
    <s v="Critical"/>
    <s v="Yes"/>
    <n v="4"/>
    <s v="Valid"/>
    <x v="3"/>
    <d v="2022-05-13T00:00:00"/>
    <n v="6"/>
    <n v="15.29"/>
    <n v="1.2232000000000001"/>
    <n v="14.066799999999999"/>
    <n v="6"/>
    <n v="8.0667999999999989"/>
    <n v="0.57346375863735888"/>
    <n v="5"/>
    <s v="on time"/>
    <s v="February"/>
    <s v="Q1"/>
  </r>
  <r>
    <s v="ORD-01671"/>
    <x v="29"/>
    <d v="2024-02-14T00:00:00"/>
    <s v="CUST-0090"/>
    <s v="Reese Davis"/>
    <x v="1"/>
    <x v="0"/>
    <s v="MA"/>
    <s v="Boston"/>
    <x v="3"/>
    <x v="3"/>
    <s v="TEC-NET-401"/>
    <s v="Mesh Wi-Fi Router"/>
    <x v="3"/>
    <x v="5"/>
    <n v="2"/>
    <n v="184.7"/>
    <n v="0.32"/>
    <n v="6.33"/>
    <s v="Low"/>
    <s v="No"/>
    <n v="4"/>
    <s v="Valid"/>
    <x v="2"/>
    <d v="2025-05-10T00:00:00"/>
    <n v="96"/>
    <n v="369.4"/>
    <n v="59.103999999999999"/>
    <n v="310.29599999999999"/>
    <n v="192"/>
    <n v="118.29599999999999"/>
    <n v="0.38123598112769741"/>
    <n v="1"/>
    <s v="on time"/>
    <s v="February"/>
    <s v="Q1"/>
  </r>
  <r>
    <s v="ORD-01231"/>
    <x v="30"/>
    <d v="2024-02-23T00:00:00"/>
    <s v="CUST-0161"/>
    <s v="Drew Walker"/>
    <x v="0"/>
    <x v="0"/>
    <s v="PA"/>
    <s v="Philadelphia"/>
    <x v="1"/>
    <x v="3"/>
    <s v="TEC-MON-201"/>
    <s v="ClearView 27 Monitor"/>
    <x v="3"/>
    <x v="4"/>
    <n v="3"/>
    <n v="297.42"/>
    <n v="0.06"/>
    <n v="8.17"/>
    <s v="High"/>
    <s v="Yes"/>
    <n v="1"/>
    <s v="Valid"/>
    <x v="3"/>
    <d v="2023-10-05T00:00:00"/>
    <n v="168"/>
    <n v="892.26"/>
    <n v="17.845200000000002"/>
    <n v="874.41480000000001"/>
    <n v="504"/>
    <n v="370.41480000000001"/>
    <n v="0.42361451338655293"/>
    <n v="8"/>
    <s v="on time"/>
    <s v="February"/>
    <s v="Q1"/>
  </r>
  <r>
    <s v="ORD-01103"/>
    <x v="31"/>
    <d v="2024-02-26T00:00:00"/>
    <s v="CUST-0011"/>
    <s v="Reese Young"/>
    <x v="2"/>
    <x v="0"/>
    <s v="NJ"/>
    <s v="Newark"/>
    <x v="0"/>
    <x v="1"/>
    <s v="TEC-ACC-302"/>
    <s v="USB-C Docking Station"/>
    <x v="3"/>
    <x v="10"/>
    <n v="1"/>
    <n v="141.49"/>
    <n v="0.1"/>
    <n v="9.4700000000000006"/>
    <s v="High"/>
    <s v="No"/>
    <n v="5"/>
    <s v="Valid"/>
    <x v="1"/>
    <d v="2021-12-15T00:00:00"/>
    <n v="72"/>
    <n v="141.49"/>
    <n v="14.149000000000001"/>
    <n v="127.34100000000001"/>
    <n v="72"/>
    <n v="55.341000000000008"/>
    <n v="0.43458901689165313"/>
    <n v="10"/>
    <s v="on time"/>
    <s v="February"/>
    <s v="Q1"/>
  </r>
  <r>
    <s v="ORD-01142"/>
    <x v="31"/>
    <d v="2024-02-22T00:00:00"/>
    <s v="CUST-0061"/>
    <s v="Maya Miller"/>
    <x v="0"/>
    <x v="3"/>
    <s v="FL"/>
    <s v="Miami"/>
    <x v="0"/>
    <x v="2"/>
    <s v="OFF-WRT-302"/>
    <s v="Mechanical Pencil Set"/>
    <x v="2"/>
    <x v="8"/>
    <n v="1"/>
    <n v="12.02"/>
    <n v="0.03"/>
    <n v="12.66"/>
    <s v="Low"/>
    <s v="No"/>
    <n v="1"/>
    <s v="Valid"/>
    <x v="0"/>
    <d v="2021-12-10T00:00:00"/>
    <n v="5"/>
    <n v="12.02"/>
    <n v="0.36059999999999998"/>
    <n v="11.6594"/>
    <n v="5"/>
    <n v="6.6593999999999998"/>
    <n v="0.57116146628471443"/>
    <n v="6"/>
    <s v="on time"/>
    <s v="February"/>
    <s v="Q1"/>
  </r>
  <r>
    <s v="ORD-01054"/>
    <x v="32"/>
    <d v="2024-02-26T00:00:00"/>
    <s v="CUST-0152"/>
    <s v="Cameron Robinson"/>
    <x v="0"/>
    <x v="0"/>
    <s v="MA"/>
    <s v="Boston"/>
    <x v="0"/>
    <x v="5"/>
    <s v="OFF-WRT-301"/>
    <s v="Gel Pen Variety Pack"/>
    <x v="2"/>
    <x v="8"/>
    <n v="8"/>
    <n v="14.43"/>
    <n v="0.04"/>
    <n v="7.61"/>
    <s v="High"/>
    <s v="No"/>
    <n v="4"/>
    <s v="Valid"/>
    <x v="2"/>
    <d v="2022-08-22T00:00:00"/>
    <n v="6"/>
    <n v="115.44"/>
    <n v="0.57720000000000005"/>
    <n v="114.86279999999999"/>
    <n v="48"/>
    <n v="66.862799999999993"/>
    <n v="0.58211013487395391"/>
    <n v="9"/>
    <s v="on time"/>
    <s v="February"/>
    <s v="Q1"/>
  </r>
  <r>
    <s v="ORD-01014"/>
    <x v="33"/>
    <d v="2024-03-02T00:00:00"/>
    <s v="CUST-0005"/>
    <s v="Maya Hall"/>
    <x v="1"/>
    <x v="0"/>
    <s v="NY"/>
    <s v="New York"/>
    <x v="2"/>
    <x v="3"/>
    <s v="OFF-SUP-402"/>
    <s v="Label Maker"/>
    <x v="2"/>
    <x v="2"/>
    <n v="10"/>
    <n v="70.91"/>
    <n v="0.05"/>
    <n v="7.36"/>
    <s v="Medium"/>
    <s v="No"/>
    <m/>
    <s v="Valid"/>
    <x v="0"/>
    <d v="2024-06-08T00:00:00"/>
    <n v="36"/>
    <n v="709.09999999999991"/>
    <n v="3.5455000000000001"/>
    <n v="705.55449999999996"/>
    <n v="360"/>
    <n v="345.55449999999996"/>
    <n v="0.4897630161808903"/>
    <n v="11"/>
    <s v="late"/>
    <s v="February"/>
    <s v="Q1"/>
  </r>
  <r>
    <s v="ORD-01315"/>
    <x v="34"/>
    <d v="2024-02-27T00:00:00"/>
    <s v="CUST-0087"/>
    <s v="Owen Wilson"/>
    <x v="0"/>
    <x v="1"/>
    <s v="OR"/>
    <s v="Portland"/>
    <x v="3"/>
    <x v="5"/>
    <s v="APP-CLN-202"/>
    <s v="Robot Vacuum"/>
    <x v="0"/>
    <x v="3"/>
    <n v="1"/>
    <n v="316.75"/>
    <n v="0.3"/>
    <n v="10.88"/>
    <s v="Critical"/>
    <s v="No"/>
    <n v="1"/>
    <s v="Valid"/>
    <x v="0"/>
    <d v="2023-04-17T00:00:00"/>
    <n v="165"/>
    <n v="316.75"/>
    <n v="95.024999999999991"/>
    <n v="221.72500000000002"/>
    <n v="165"/>
    <n v="56.725000000000023"/>
    <n v="0.25583493065734586"/>
    <n v="5"/>
    <s v="on time"/>
    <s v="February"/>
    <s v="Q1"/>
  </r>
  <r>
    <s v="ORD-01499"/>
    <x v="34"/>
    <d v="2024-03-03T00:00:00"/>
    <s v="CUST-0030"/>
    <s v="Lena Martinez"/>
    <x v="0"/>
    <x v="1"/>
    <s v="OR"/>
    <s v="Portland"/>
    <x v="1"/>
    <x v="5"/>
    <s v="APP-KIT-102"/>
    <s v="Mini Refrigerator"/>
    <x v="0"/>
    <x v="0"/>
    <n v="1"/>
    <n v="239.42"/>
    <n v="0.11"/>
    <n v="9.5"/>
    <s v="Medium"/>
    <s v="No"/>
    <n v="2"/>
    <s v="Valid"/>
    <x v="0"/>
    <d v="2024-03-22T00:00:00"/>
    <n v="125"/>
    <n v="239.42"/>
    <n v="26.336199999999998"/>
    <n v="213.0838"/>
    <n v="125"/>
    <n v="88.083799999999997"/>
    <n v="0.41337633363024312"/>
    <n v="10"/>
    <s v="on time"/>
    <s v="February"/>
    <s v="Q1"/>
  </r>
  <r>
    <s v="ORD-01708"/>
    <x v="35"/>
    <d v="2024-03-10T00:00:00"/>
    <s v="CUST-0140"/>
    <s v="Sam Allen"/>
    <x v="0"/>
    <x v="1"/>
    <s v="WA"/>
    <s v="Seattle"/>
    <x v="0"/>
    <x v="1"/>
    <s v="FUR-CHR-201"/>
    <s v="ErgoFlex Office Chair"/>
    <x v="1"/>
    <x v="11"/>
    <n v="3"/>
    <n v="277.39999999999998"/>
    <n v="0.03"/>
    <n v="21.75"/>
    <s v="Medium"/>
    <s v="Yes"/>
    <n v="3"/>
    <s v="Valid"/>
    <x v="2"/>
    <d v="2022-07-22T00:00:00"/>
    <n v="146"/>
    <n v="832.19999999999993"/>
    <n v="8.3219999999999992"/>
    <n v="823.87799999999993"/>
    <n v="438"/>
    <n v="385.87799999999993"/>
    <n v="0.46836788942052093"/>
    <n v="16"/>
    <s v="late"/>
    <s v="February"/>
    <s v="Q1"/>
  </r>
  <r>
    <s v="ORD-01200"/>
    <x v="36"/>
    <d v="2024-03-04T00:00:00"/>
    <s v="CUST-0063"/>
    <s v="Avery Brown"/>
    <x v="1"/>
    <x v="1"/>
    <s v="CA"/>
    <s v="Los Angeles"/>
    <x v="1"/>
    <x v="0"/>
    <s v="OFF-WRT-301"/>
    <s v="Gel Pen Variety Pack"/>
    <x v="2"/>
    <x v="8"/>
    <n v="3"/>
    <n v="14.63"/>
    <n v="0.03"/>
    <n v="15.72"/>
    <s v="Critical"/>
    <s v="No"/>
    <n v="1"/>
    <s v="Valid"/>
    <x v="2"/>
    <d v="2025-04-25T00:00:00"/>
    <n v="6"/>
    <n v="43.89"/>
    <n v="0.43890000000000001"/>
    <n v="43.451100000000004"/>
    <n v="18"/>
    <n v="25.451100000000004"/>
    <n v="0.58574121253547096"/>
    <n v="9"/>
    <s v="on time"/>
    <s v="February"/>
    <s v="Q1"/>
  </r>
  <r>
    <s v="ORD-01088"/>
    <x v="37"/>
    <d v="2024-03-03T00:00:00"/>
    <s v="CUST-0162"/>
    <s v="Quinn Robinson"/>
    <x v="1"/>
    <x v="2"/>
    <s v="IL"/>
    <s v="Chicago"/>
    <x v="2"/>
    <x v="3"/>
    <s v="APP-KIT-101"/>
    <s v="Compact Coffee Brewer"/>
    <x v="0"/>
    <x v="0"/>
    <n v="9"/>
    <n v="97.72"/>
    <n v="0.06"/>
    <n v="12.41"/>
    <s v="Critical"/>
    <s v="No"/>
    <n v="2"/>
    <s v="Valid"/>
    <x v="2"/>
    <d v="2023-12-22T00:00:00"/>
    <n v="48"/>
    <n v="879.48"/>
    <n v="5.8632"/>
    <n v="873.61680000000001"/>
    <n v="432"/>
    <n v="441.61680000000001"/>
    <n v="0.50550401503267794"/>
    <n v="6"/>
    <s v="on time"/>
    <s v="February"/>
    <s v="Q1"/>
  </r>
  <r>
    <s v="ORD-01400"/>
    <x v="37"/>
    <d v="2024-03-02T00:00:00"/>
    <s v="CUST-0139"/>
    <s v="Riley Clark"/>
    <x v="2"/>
    <x v="3"/>
    <s v="GA"/>
    <s v="Atlanta"/>
    <x v="2"/>
    <x v="5"/>
    <s v="FUR-CHR-202"/>
    <s v="Mesh Conference Chair"/>
    <x v="1"/>
    <x v="11"/>
    <n v="2"/>
    <n v="140.69999999999999"/>
    <n v="0.23"/>
    <n v="20.350000000000001"/>
    <s v="Low"/>
    <s v="No"/>
    <n v="5"/>
    <s v="Valid"/>
    <x v="1"/>
    <d v="2023-09-02T00:00:00"/>
    <n v="82"/>
    <n v="281.39999999999998"/>
    <n v="32.360999999999997"/>
    <n v="249.03899999999999"/>
    <n v="164"/>
    <n v="85.038999999999987"/>
    <n v="0.3414686053188456"/>
    <n v="5"/>
    <s v="on time"/>
    <s v="February"/>
    <s v="Q1"/>
  </r>
  <r>
    <s v="ORD-01011"/>
    <x v="38"/>
    <d v="2024-03-06T00:00:00"/>
    <s v="CUST-0138"/>
    <s v="Morgan Johnson"/>
    <x v="1"/>
    <x v="2"/>
    <s v="CO"/>
    <s v="Denver"/>
    <x v="3"/>
    <x v="1"/>
    <s v="TEC-MON-202"/>
    <s v="ClearView Ultrawide Monitor"/>
    <x v="3"/>
    <x v="4"/>
    <n v="2"/>
    <n v="525.45000000000005"/>
    <n v="0.05"/>
    <n v="22.79"/>
    <s v="Critical"/>
    <s v="No"/>
    <n v="2"/>
    <s v="Valid"/>
    <x v="3"/>
    <d v="2025-12-06T00:00:00"/>
    <n v="310"/>
    <n v="1050.9000000000001"/>
    <n v="26.272500000000004"/>
    <n v="1024.6275000000001"/>
    <n v="620"/>
    <n v="404.62750000000005"/>
    <n v="0.39490204976930643"/>
    <n v="8"/>
    <s v="on time"/>
    <s v="February"/>
    <s v="Q1"/>
  </r>
  <r>
    <s v="ORD-01687"/>
    <x v="38"/>
    <d v="2024-03-05T00:00:00"/>
    <s v="CUST-0095"/>
    <s v="Drew Martinez"/>
    <x v="2"/>
    <x v="1"/>
    <s v="CA"/>
    <s v="Los Angeles"/>
    <x v="1"/>
    <x v="4"/>
    <s v="TEC-MON-202"/>
    <s v="ClearView Ultrawide Monitor"/>
    <x v="3"/>
    <x v="4"/>
    <n v="2"/>
    <n v="510.19"/>
    <n v="0.1"/>
    <n v="10.49"/>
    <s v="High"/>
    <s v="No"/>
    <n v="3"/>
    <s v="Valid"/>
    <x v="2"/>
    <d v="2023-07-08T00:00:00"/>
    <n v="310"/>
    <n v="1020.38"/>
    <n v="51.019000000000005"/>
    <n v="969.36099999999999"/>
    <n v="620"/>
    <n v="349.36099999999999"/>
    <n v="0.36040339976541247"/>
    <n v="7"/>
    <s v="on time"/>
    <s v="February"/>
    <s v="Q1"/>
  </r>
  <r>
    <s v="ORD-01139"/>
    <x v="39"/>
    <d v="2024-03-06T00:00:00"/>
    <s v="CUST-0143"/>
    <s v="Reese Brown"/>
    <x v="0"/>
    <x v="1"/>
    <s v="CA"/>
    <s v="Los Angeles"/>
    <x v="3"/>
    <x v="3"/>
    <s v="APP-KIT-102"/>
    <s v="Mini Refrigerator"/>
    <x v="0"/>
    <x v="0"/>
    <n v="9"/>
    <n v="252.78"/>
    <n v="0.04"/>
    <n v="14.4"/>
    <s v="Critical"/>
    <s v="No"/>
    <n v="1"/>
    <s v="Valid"/>
    <x v="2"/>
    <d v="2021-02-14T00:00:00"/>
    <n v="125"/>
    <n v="2275.02"/>
    <n v="10.1112"/>
    <n v="2264.9088000000002"/>
    <n v="1125"/>
    <n v="1139.9088000000002"/>
    <n v="0.5032912583500051"/>
    <n v="7"/>
    <s v="on time"/>
    <s v="February"/>
    <s v="Q1"/>
  </r>
  <r>
    <s v="ORD-01013"/>
    <x v="40"/>
    <d v="2024-03-03T00:00:00"/>
    <s v="CUST-0072"/>
    <s v="Sam Wright"/>
    <x v="0"/>
    <x v="3"/>
    <s v="LA"/>
    <s v="New Orleans"/>
    <x v="1"/>
    <x v="2"/>
    <s v="TEC-MON-202"/>
    <s v="ClearView Ultrawide Monitor"/>
    <x v="3"/>
    <x v="4"/>
    <n v="3"/>
    <n v="512.74"/>
    <n v="0.02"/>
    <n v="11.44"/>
    <s v="Critical"/>
    <s v="Yes"/>
    <n v="4"/>
    <s v="Valid"/>
    <x v="0"/>
    <d v="2025-07-05T00:00:00"/>
    <n v="310"/>
    <n v="1538.22"/>
    <n v="10.254800000000001"/>
    <n v="1527.9652000000001"/>
    <n v="930"/>
    <n v="597.9652000000001"/>
    <n v="0.39134739456108036"/>
    <n v="3"/>
    <s v="on time"/>
    <s v="February"/>
    <s v="Q1"/>
  </r>
  <r>
    <s v="ORD-01082"/>
    <x v="41"/>
    <d v="2024-03-09T00:00:00"/>
    <s v="CUST-0137"/>
    <s v="Kai Davis"/>
    <x v="0"/>
    <x v="0"/>
    <s v="PA"/>
    <s v="Philadelphia"/>
    <x v="1"/>
    <x v="4"/>
    <s v="FUR-DSK-102"/>
    <s v="Executive Desk 60"/>
    <x v="1"/>
    <x v="1"/>
    <n v="2"/>
    <n v="434.18"/>
    <n v="0.04"/>
    <n v="29.52"/>
    <s v="Low"/>
    <s v="No"/>
    <m/>
    <s v="Valid"/>
    <x v="2"/>
    <d v="2022-12-21T00:00:00"/>
    <n v="265"/>
    <n v="868.36"/>
    <n v="17.3672"/>
    <n v="850.99279999999999"/>
    <n v="530"/>
    <n v="320.99279999999999"/>
    <n v="0.37719802094682819"/>
    <n v="8"/>
    <s v="on time"/>
    <s v="March"/>
    <s v="Q1"/>
  </r>
  <r>
    <s v="ORD-01151"/>
    <x v="41"/>
    <d v="2024-03-02T00:00:00"/>
    <s v="CUST-0028"/>
    <s v="Rowan Scott"/>
    <x v="1"/>
    <x v="3"/>
    <s v="FL"/>
    <s v="Miami"/>
    <x v="3"/>
    <x v="2"/>
    <s v="TEC-ACC-301"/>
    <s v="Wireless Keyboard and Mouse"/>
    <x v="3"/>
    <x v="10"/>
    <n v="1"/>
    <n v="59.92"/>
    <n v="0.08"/>
    <n v="13.39"/>
    <s v="Low"/>
    <s v="No"/>
    <m/>
    <s v="Valid"/>
    <x v="0"/>
    <d v="2023-04-10T00:00:00"/>
    <n v="28"/>
    <n v="59.92"/>
    <n v="4.7936000000000005"/>
    <n v="55.126400000000004"/>
    <n v="28"/>
    <n v="27.126400000000004"/>
    <n v="0.49207639171068673"/>
    <n v="1"/>
    <s v="on time"/>
    <s v="March"/>
    <s v="Q1"/>
  </r>
  <r>
    <s v="ORD-01325"/>
    <x v="41"/>
    <d v="2024-03-06T00:00:00"/>
    <s v="CUST-0093"/>
    <s v="Iris Miller"/>
    <x v="2"/>
    <x v="0"/>
    <s v="NJ"/>
    <s v="Newark"/>
    <x v="0"/>
    <x v="1"/>
    <s v="APP-CLN-201"/>
    <s v="Air Purifier"/>
    <x v="0"/>
    <x v="3"/>
    <n v="4"/>
    <n v="159.84"/>
    <n v="0.05"/>
    <n v="14.02"/>
    <s v="Critical"/>
    <s v="No"/>
    <n v="4"/>
    <s v="Valid"/>
    <x v="0"/>
    <d v="2023-11-13T00:00:00"/>
    <n v="82"/>
    <n v="639.36"/>
    <n v="7.9920000000000009"/>
    <n v="631.36800000000005"/>
    <n v="328"/>
    <n v="303.36800000000005"/>
    <n v="0.48049315137922738"/>
    <n v="5"/>
    <s v="on time"/>
    <s v="March"/>
    <s v="Q1"/>
  </r>
  <r>
    <s v="ORD-01065"/>
    <x v="42"/>
    <d v="2024-03-07T00:00:00"/>
    <s v="CUST-0068"/>
    <s v="Quinn Robinson"/>
    <x v="1"/>
    <x v="3"/>
    <s v="LA"/>
    <s v="New Orleans"/>
    <x v="0"/>
    <x v="3"/>
    <s v="TEC-MON-202"/>
    <s v="ClearView Ultrawide Monitor"/>
    <x v="3"/>
    <x v="4"/>
    <n v="2"/>
    <n v="507.33"/>
    <n v="0.06"/>
    <n v="14.85"/>
    <s v="High"/>
    <s v="No"/>
    <n v="3"/>
    <s v="Valid"/>
    <x v="0"/>
    <d v="2024-09-14T00:00:00"/>
    <n v="310"/>
    <n v="1014.66"/>
    <n v="30.439799999999998"/>
    <n v="984.22019999999998"/>
    <n v="620"/>
    <n v="364.22019999999998"/>
    <n v="0.3700596675418773"/>
    <n v="5"/>
    <s v="on time"/>
    <s v="March"/>
    <s v="Q1"/>
  </r>
  <r>
    <s v="ORD-01060"/>
    <x v="43"/>
    <d v="2024-03-10T00:00:00"/>
    <s v="CUST-0148"/>
    <s v="Alex Wright"/>
    <x v="1"/>
    <x v="3"/>
    <s v="FL"/>
    <s v="Miami"/>
    <x v="1"/>
    <x v="0"/>
    <s v="OFF-BIN-201"/>
    <s v="Heavy-Duty Binder 12-Pack"/>
    <x v="2"/>
    <x v="6"/>
    <n v="10"/>
    <n v="35.26"/>
    <n v="0.02"/>
    <n v="5.96"/>
    <s v="Low"/>
    <s v="No"/>
    <n v="2"/>
    <s v="Valid"/>
    <x v="1"/>
    <d v="2025-01-13T00:00:00"/>
    <n v="18"/>
    <n v="352.59999999999997"/>
    <n v="0.70519999999999994"/>
    <n v="351.89479999999998"/>
    <n v="180"/>
    <n v="171.89479999999998"/>
    <n v="0.48848348995211066"/>
    <n v="7"/>
    <s v="on time"/>
    <s v="March"/>
    <s v="Q1"/>
  </r>
  <r>
    <s v="ORD-01067"/>
    <x v="43"/>
    <d v="2024-03-11T00:00:00"/>
    <s v="CUST-0138"/>
    <s v="Morgan Johnson"/>
    <x v="1"/>
    <x v="2"/>
    <s v="CO"/>
    <s v="Denver"/>
    <x v="2"/>
    <x v="3"/>
    <s v="FUR-CHR-201"/>
    <s v="ErgoFlex Office Chair"/>
    <x v="1"/>
    <x v="11"/>
    <n v="2"/>
    <n v="263"/>
    <n v="0.03"/>
    <n v="21.32"/>
    <s v="High"/>
    <s v="No"/>
    <n v="4"/>
    <s v="Valid"/>
    <x v="3"/>
    <d v="2025-12-06T00:00:00"/>
    <n v="146"/>
    <n v="526"/>
    <n v="7.89"/>
    <n v="518.11"/>
    <n v="292"/>
    <n v="226.11"/>
    <n v="0.43641311690567641"/>
    <n v="8"/>
    <s v="on time"/>
    <s v="March"/>
    <s v="Q1"/>
  </r>
  <r>
    <s v="ORD-01148"/>
    <x v="43"/>
    <d v="2024-03-09T00:00:00"/>
    <s v="CUST-0073"/>
    <s v="Jordan Robinson"/>
    <x v="1"/>
    <x v="2"/>
    <s v="CO"/>
    <s v="Denver"/>
    <x v="0"/>
    <x v="1"/>
    <s v="OFF-SUP-401"/>
    <s v="Desk Organizer Kit"/>
    <x v="2"/>
    <x v="2"/>
    <n v="1"/>
    <n v="25.67"/>
    <n v="0.34"/>
    <n v="12.04"/>
    <s v="Medium"/>
    <s v="No"/>
    <n v="3"/>
    <s v="Valid"/>
    <x v="1"/>
    <d v="2025-02-09T00:00:00"/>
    <n v="12"/>
    <n v="25.67"/>
    <n v="8.727800000000002"/>
    <n v="16.9422"/>
    <n v="12"/>
    <n v="4.9421999999999997"/>
    <n v="0.29170945922017211"/>
    <n v="6"/>
    <s v="on time"/>
    <s v="March"/>
    <s v="Q1"/>
  </r>
  <r>
    <s v="ORD-01407"/>
    <x v="44"/>
    <d v="2024-03-14T00:00:00"/>
    <s v="CUST-0028"/>
    <s v="Rowan Scott"/>
    <x v="1"/>
    <x v="3"/>
    <s v="FL"/>
    <s v="Miami"/>
    <x v="0"/>
    <x v="1"/>
    <s v="APP-KIT-101"/>
    <s v="Compact Coffee Brewer"/>
    <x v="0"/>
    <x v="0"/>
    <n v="6"/>
    <n v="94.64"/>
    <n v="0.03"/>
    <n v="11.25"/>
    <s v="Low"/>
    <s v="No"/>
    <n v="1"/>
    <s v="Valid"/>
    <x v="0"/>
    <d v="2023-04-10T00:00:00"/>
    <n v="48"/>
    <n v="567.84"/>
    <n v="2.8391999999999999"/>
    <n v="565.00080000000003"/>
    <n v="288"/>
    <n v="277.00080000000003"/>
    <n v="0.4902662084726252"/>
    <n v="9"/>
    <s v="on time"/>
    <s v="March"/>
    <s v="Q1"/>
  </r>
  <r>
    <s v="ORD-01146"/>
    <x v="45"/>
    <d v="2024-03-18T00:00:00"/>
    <s v="CUST-0053"/>
    <s v="Kai Martinez"/>
    <x v="0"/>
    <x v="1"/>
    <s v="CA"/>
    <s v="Los Angeles"/>
    <x v="3"/>
    <x v="5"/>
    <s v="TEC-MON-202"/>
    <s v="ClearView Ultrawide Monitor"/>
    <x v="3"/>
    <x v="4"/>
    <n v="2"/>
    <n v="515.08000000000004"/>
    <n v="0.08"/>
    <n v="22.67"/>
    <s v="High"/>
    <s v="No"/>
    <n v="3"/>
    <s v="Valid"/>
    <x v="3"/>
    <d v="2025-10-01T00:00:00"/>
    <n v="310"/>
    <n v="1030.1600000000001"/>
    <n v="41.206400000000002"/>
    <n v="988.95360000000005"/>
    <n v="620"/>
    <n v="368.95360000000005"/>
    <n v="0.37307473272760222"/>
    <n v="11"/>
    <s v="late"/>
    <s v="March"/>
    <s v="Q1"/>
  </r>
  <r>
    <s v="ORD-01556"/>
    <x v="46"/>
    <d v="2024-03-17T00:00:00"/>
    <s v="CUST-0027"/>
    <s v="Cameron Lopez"/>
    <x v="2"/>
    <x v="1"/>
    <s v="CA"/>
    <s v="San Diego"/>
    <x v="2"/>
    <x v="1"/>
    <s v="FUR-CHR-202"/>
    <s v="Mesh Conference Chair"/>
    <x v="1"/>
    <x v="11"/>
    <n v="1"/>
    <n v="154.81"/>
    <n v="0.03"/>
    <n v="20.27"/>
    <s v="Low"/>
    <s v="No"/>
    <n v="2"/>
    <s v="Valid"/>
    <x v="3"/>
    <d v="2025-02-25T00:00:00"/>
    <n v="82"/>
    <n v="154.81"/>
    <n v="4.6443000000000003"/>
    <n v="150.16570000000002"/>
    <n v="82"/>
    <n v="68.165700000000015"/>
    <n v="0.4539365514228616"/>
    <n v="9"/>
    <s v="on time"/>
    <s v="March"/>
    <s v="Q1"/>
  </r>
  <r>
    <s v="ORD-01222"/>
    <x v="47"/>
    <d v="2024-03-18T00:00:00"/>
    <s v="CUST-0107"/>
    <s v="Jordan Clark"/>
    <x v="2"/>
    <x v="3"/>
    <s v="NC"/>
    <s v="Charlotte"/>
    <x v="3"/>
    <x v="3"/>
    <s v="TEC-MON-202"/>
    <s v="ClearView Ultrawide Monitor"/>
    <x v="3"/>
    <x v="4"/>
    <n v="2"/>
    <n v="539.53"/>
    <n v="7.0000000000000007E-2"/>
    <n v="10.88"/>
    <s v="High"/>
    <s v="No"/>
    <n v="1"/>
    <s v="Valid"/>
    <x v="3"/>
    <d v="2025-09-19T00:00:00"/>
    <n v="310"/>
    <n v="1079.06"/>
    <n v="37.767099999999999"/>
    <n v="1041.2928999999999"/>
    <n v="620"/>
    <n v="421.29289999999992"/>
    <n v="0.40458635605793525"/>
    <n v="9"/>
    <s v="on time"/>
    <s v="March"/>
    <s v="Q1"/>
  </r>
  <r>
    <s v="ORD-01303"/>
    <x v="47"/>
    <d v="2024-03-19T00:00:00"/>
    <s v="CUST-0097"/>
    <s v="Kai Chen"/>
    <x v="0"/>
    <x v="1"/>
    <s v="WA"/>
    <s v="Seattle"/>
    <x v="3"/>
    <x v="4"/>
    <s v="TEC-LAP-101"/>
    <s v="ApexBook 14 Laptop"/>
    <x v="3"/>
    <x v="7"/>
    <n v="1"/>
    <n v="853.71"/>
    <n v="0"/>
    <n v="7.66"/>
    <s v="Medium"/>
    <s v="No"/>
    <n v="1"/>
    <s v="Valid"/>
    <x v="0"/>
    <d v="2025-08-01T00:00:00"/>
    <n v="585"/>
    <n v="853.71"/>
    <n v="0"/>
    <n v="853.71"/>
    <n v="585"/>
    <n v="268.71000000000004"/>
    <n v="0.31475559616263138"/>
    <n v="10"/>
    <s v="on time"/>
    <s v="March"/>
    <s v="Q1"/>
  </r>
  <r>
    <s v="ORD-01242"/>
    <x v="48"/>
    <d v="2024-03-13T00:00:00"/>
    <s v="CUST-0053"/>
    <s v="Kai Martinez"/>
    <x v="0"/>
    <x v="1"/>
    <s v="CA"/>
    <s v="Los Angeles"/>
    <x v="0"/>
    <x v="3"/>
    <s v="OFF-SUP-402"/>
    <s v="Label Maker"/>
    <x v="2"/>
    <x v="2"/>
    <n v="9"/>
    <n v="72.599999999999994"/>
    <n v="0.03"/>
    <n v="12.16"/>
    <s v="Low"/>
    <s v="No"/>
    <m/>
    <s v="Valid"/>
    <x v="3"/>
    <d v="2025-10-01T00:00:00"/>
    <n v="36"/>
    <n v="653.4"/>
    <n v="2.1779999999999999"/>
    <n v="651.22199999999998"/>
    <n v="324"/>
    <n v="327.22199999999998"/>
    <n v="0.50247381077420605"/>
    <n v="3"/>
    <s v="on time"/>
    <s v="March"/>
    <s v="Q1"/>
  </r>
  <r>
    <s v="ORD-01606"/>
    <x v="48"/>
    <d v="2024-03-14T00:00:00"/>
    <s v="CUST-0151"/>
    <s v="Owen Johnson"/>
    <x v="1"/>
    <x v="0"/>
    <s v="PA"/>
    <s v="Philadelphia"/>
    <x v="1"/>
    <x v="3"/>
    <s v="TEC-NET-401"/>
    <s v="Mesh Wi-Fi Router"/>
    <x v="3"/>
    <x v="5"/>
    <n v="3"/>
    <n v="192.5"/>
    <n v="0.26"/>
    <n v="10.37"/>
    <s v="Critical"/>
    <s v="No"/>
    <n v="1"/>
    <s v="Valid"/>
    <x v="2"/>
    <d v="2024-05-07T00:00:00"/>
    <n v="96"/>
    <n v="577.5"/>
    <n v="50.050000000000004"/>
    <n v="527.45000000000005"/>
    <n v="288"/>
    <n v="239.45000000000005"/>
    <n v="0.45397668025405258"/>
    <n v="4"/>
    <s v="on time"/>
    <s v="March"/>
    <s v="Q1"/>
  </r>
  <r>
    <s v="ORD-01107"/>
    <x v="49"/>
    <d v="2024-03-19T00:00:00"/>
    <s v="CUST-0122"/>
    <s v="Iris Wilson"/>
    <x v="1"/>
    <x v="2"/>
    <s v="IL"/>
    <s v="Chicago"/>
    <x v="1"/>
    <x v="3"/>
    <s v="APP-CLN-201"/>
    <s v="Air Purifier"/>
    <x v="0"/>
    <x v="3"/>
    <n v="1"/>
    <n v="165.61"/>
    <n v="0.21"/>
    <n v="5.66"/>
    <s v="Low"/>
    <s v="No"/>
    <n v="2"/>
    <s v="Valid"/>
    <x v="2"/>
    <d v="2024-07-20T00:00:00"/>
    <n v="82"/>
    <n v="165.61"/>
    <n v="34.778100000000002"/>
    <n v="130.83190000000002"/>
    <n v="82"/>
    <n v="48.831900000000019"/>
    <n v="0.37324154124491055"/>
    <n v="5"/>
    <s v="on time"/>
    <s v="March"/>
    <s v="Q1"/>
  </r>
  <r>
    <s v="ORD-01469"/>
    <x v="50"/>
    <d v="2024-03-22T00:00:00"/>
    <s v="CUST-0118"/>
    <s v="Maya Garcia"/>
    <x v="0"/>
    <x v="1"/>
    <s v="CA"/>
    <s v="San Diego"/>
    <x v="1"/>
    <x v="4"/>
    <s v="APP-CLN-202"/>
    <s v="Robot Vacuum"/>
    <x v="0"/>
    <x v="3"/>
    <n v="1"/>
    <n v="329.47"/>
    <n v="0.08"/>
    <n v="12.77"/>
    <s v="Low"/>
    <s v="No"/>
    <n v="3"/>
    <s v="Valid"/>
    <x v="3"/>
    <d v="2021-02-09T00:00:00"/>
    <n v="165"/>
    <n v="329.47"/>
    <n v="26.357600000000001"/>
    <n v="303.11240000000004"/>
    <n v="165"/>
    <n v="138.11240000000004"/>
    <n v="0.45564747598580602"/>
    <n v="7"/>
    <s v="on time"/>
    <s v="March"/>
    <s v="Q1"/>
  </r>
  <r>
    <s v="ORD-01712"/>
    <x v="51"/>
    <d v="2024-03-25T00:00:00"/>
    <s v="CUST-0165"/>
    <s v="Maya Wilson"/>
    <x v="1"/>
    <x v="0"/>
    <s v="MA"/>
    <s v="Boston"/>
    <x v="2"/>
    <x v="1"/>
    <s v="FUR-DSK-102"/>
    <s v="Executive Desk 60"/>
    <x v="1"/>
    <x v="1"/>
    <n v="1"/>
    <n v="470.49"/>
    <n v="0.06"/>
    <n v="22.76"/>
    <s v="Medium"/>
    <s v="No"/>
    <n v="2"/>
    <s v="Valid"/>
    <x v="0"/>
    <d v="2022-12-14T00:00:00"/>
    <n v="265"/>
    <n v="470.49"/>
    <n v="28.229399999999998"/>
    <n v="442.26060000000001"/>
    <n v="265"/>
    <n v="177.26060000000001"/>
    <n v="0.40080576926816452"/>
    <n v="8"/>
    <s v="on time"/>
    <s v="March"/>
    <s v="Q1"/>
  </r>
  <r>
    <s v="ORD-01491"/>
    <x v="52"/>
    <d v="2024-03-29T00:00:00"/>
    <s v="CUST-0039"/>
    <s v="Priya Miller"/>
    <x v="2"/>
    <x v="2"/>
    <s v="IL"/>
    <s v="Chicago"/>
    <x v="2"/>
    <x v="2"/>
    <s v="APP-CLN-201"/>
    <s v="Air Purifier"/>
    <x v="0"/>
    <x v="3"/>
    <n v="5"/>
    <n v="165.36"/>
    <n v="0.24"/>
    <n v="11.66"/>
    <s v="Medium"/>
    <s v="No"/>
    <n v="5"/>
    <s v="Valid"/>
    <x v="3"/>
    <d v="2022-09-14T00:00:00"/>
    <n v="82"/>
    <n v="826.80000000000007"/>
    <n v="39.686399999999999"/>
    <n v="787.11360000000002"/>
    <n v="410"/>
    <n v="377.11360000000002"/>
    <n v="0.47910949575766448"/>
    <n v="10"/>
    <s v="on time"/>
    <s v="March"/>
    <s v="Q1"/>
  </r>
  <r>
    <s v="ORD-01227"/>
    <x v="53"/>
    <d v="2024-03-28T00:00:00"/>
    <s v="CUST-0061"/>
    <s v="Maya Miller"/>
    <x v="0"/>
    <x v="3"/>
    <s v="FL"/>
    <s v="Miami"/>
    <x v="3"/>
    <x v="2"/>
    <s v="OFF-SUP-401"/>
    <s v="Desk Organizer Kit"/>
    <x v="2"/>
    <x v="2"/>
    <n v="5"/>
    <n v="25.83"/>
    <n v="0.1"/>
    <n v="16.88"/>
    <s v="Critical"/>
    <s v="No"/>
    <n v="1"/>
    <s v="Valid"/>
    <x v="0"/>
    <d v="2021-12-10T00:00:00"/>
    <n v="12"/>
    <n v="129.14999999999998"/>
    <n v="2.5830000000000002"/>
    <n v="126.56699999999998"/>
    <n v="60"/>
    <n v="66.566999999999979"/>
    <n v="0.52594278129370209"/>
    <n v="8"/>
    <s v="on time"/>
    <s v="March"/>
    <s v="Q1"/>
  </r>
  <r>
    <s v="ORD-01450"/>
    <x v="54"/>
    <d v="2024-03-23T00:00:00"/>
    <s v="CUST-0153"/>
    <s v="Reese Davis"/>
    <x v="2"/>
    <x v="0"/>
    <s v="MA"/>
    <s v="Boston"/>
    <x v="3"/>
    <x v="4"/>
    <s v="FUR-CHR-202"/>
    <s v="Mesh Conference Chair"/>
    <x v="1"/>
    <x v="11"/>
    <n v="3"/>
    <n v="157.24"/>
    <n v="0.08"/>
    <n v="27.74"/>
    <s v="Medium"/>
    <s v="No"/>
    <n v="4"/>
    <s v="Valid"/>
    <x v="3"/>
    <d v="2021-03-24T00:00:00"/>
    <n v="82"/>
    <n v="471.72"/>
    <n v="12.5792"/>
    <n v="459.14080000000001"/>
    <n v="246"/>
    <n v="213.14080000000001"/>
    <n v="0.46421664116976752"/>
    <n v="2"/>
    <s v="on time"/>
    <s v="March"/>
    <s v="Q1"/>
  </r>
  <r>
    <s v="ORD-01474"/>
    <x v="54"/>
    <d v="2024-03-26T00:00:00"/>
    <s v="CUST-0065"/>
    <s v="Drew Nguyen"/>
    <x v="0"/>
    <x v="0"/>
    <s v="NJ"/>
    <s v="Newark"/>
    <x v="0"/>
    <x v="5"/>
    <s v="OFF-PAP-102"/>
    <s v="Recycled Notebook Pack"/>
    <x v="2"/>
    <x v="12"/>
    <n v="7"/>
    <n v="22.89"/>
    <n v="0.34"/>
    <n v="12.54"/>
    <s v="Critical"/>
    <s v="No"/>
    <n v="1"/>
    <s v="Valid"/>
    <x v="2"/>
    <d v="2025-01-01T00:00:00"/>
    <n v="10"/>
    <n v="160.23000000000002"/>
    <n v="7.7826000000000004"/>
    <n v="152.44740000000002"/>
    <n v="70"/>
    <n v="82.447400000000016"/>
    <n v="0.54082522889862339"/>
    <n v="5"/>
    <s v="on time"/>
    <s v="March"/>
    <s v="Q1"/>
  </r>
  <r>
    <s v="ORD-01078"/>
    <x v="55"/>
    <d v="2024-03-26T00:00:00"/>
    <s v="CUST-0090"/>
    <s v="Reese Davis"/>
    <x v="1"/>
    <x v="0"/>
    <s v="MA"/>
    <s v="Boston"/>
    <x v="1"/>
    <x v="2"/>
    <s v="OFF-SUP-401"/>
    <s v="Desk Organizer Kit"/>
    <x v="2"/>
    <x v="2"/>
    <n v="5"/>
    <n v="26.76"/>
    <n v="0.11"/>
    <n v="6.05"/>
    <s v="Medium"/>
    <s v="No"/>
    <n v="4"/>
    <s v="Valid"/>
    <x v="2"/>
    <d v="2025-05-10T00:00:00"/>
    <n v="12"/>
    <n v="133.80000000000001"/>
    <n v="2.9436"/>
    <n v="130.85640000000001"/>
    <n v="60"/>
    <n v="70.856400000000008"/>
    <n v="0.5414821132172366"/>
    <n v="4"/>
    <s v="on time"/>
    <s v="March"/>
    <s v="Q1"/>
  </r>
  <r>
    <s v="ORD-01654"/>
    <x v="55"/>
    <d v="2024-03-25T00:00:00"/>
    <s v="CUST-0048"/>
    <s v="Drew Clark"/>
    <x v="1"/>
    <x v="0"/>
    <s v="NY"/>
    <s v="New York"/>
    <x v="0"/>
    <x v="3"/>
    <s v="OFF-PAP-102"/>
    <s v="Recycled Notebook Pack"/>
    <x v="2"/>
    <x v="12"/>
    <n v="4"/>
    <n v="23.29"/>
    <n v="0.1"/>
    <n v="13.32"/>
    <s v="Low"/>
    <s v="No"/>
    <n v="3"/>
    <s v="Valid"/>
    <x v="2"/>
    <d v="2025-08-10T00:00:00"/>
    <n v="10"/>
    <n v="93.16"/>
    <n v="2.3290000000000002"/>
    <n v="90.831000000000003"/>
    <n v="40"/>
    <n v="50.831000000000003"/>
    <n v="0.55962171505323077"/>
    <n v="3"/>
    <s v="on time"/>
    <s v="March"/>
    <s v="Q1"/>
  </r>
  <r>
    <s v="ORD-01390"/>
    <x v="56"/>
    <d v="2024-03-26T00:00:00"/>
    <s v="CUST-0118"/>
    <s v="Maya Garcia"/>
    <x v="0"/>
    <x v="1"/>
    <s v="CA"/>
    <s v="San Diego"/>
    <x v="1"/>
    <x v="4"/>
    <s v="FUR-CHR-201"/>
    <s v="ErgoFlex Office Chair"/>
    <x v="1"/>
    <x v="11"/>
    <n v="4"/>
    <n v="262.31"/>
    <n v="0.02"/>
    <n v="29.45"/>
    <s v="High"/>
    <s v="No"/>
    <m/>
    <s v="Valid"/>
    <x v="3"/>
    <d v="2021-02-09T00:00:00"/>
    <n v="146"/>
    <n v="1049.24"/>
    <n v="5.2462"/>
    <n v="1043.9938"/>
    <n v="584"/>
    <n v="459.99379999999996"/>
    <n v="0.44060970477027733"/>
    <n v="1"/>
    <s v="on time"/>
    <s v="March"/>
    <s v="Q1"/>
  </r>
  <r>
    <s v="ORD-01716"/>
    <x v="56"/>
    <d v="2024-03-29T00:00:00"/>
    <s v="CUST-0041"/>
    <s v="Quinn Patel"/>
    <x v="0"/>
    <x v="1"/>
    <s v="WA"/>
    <s v="Seattle"/>
    <x v="3"/>
    <x v="3"/>
    <s v="OFF-SUP-401"/>
    <s v="Desk Organizer Kit"/>
    <x v="2"/>
    <x v="2"/>
    <n v="4"/>
    <n v="28.06"/>
    <n v="0"/>
    <n v="12.5"/>
    <s v="High"/>
    <s v="No"/>
    <n v="2"/>
    <s v="Valid"/>
    <x v="1"/>
    <d v="2021-08-13T00:00:00"/>
    <n v="12"/>
    <n v="112.24"/>
    <n v="0"/>
    <n v="112.24"/>
    <n v="48"/>
    <n v="64.239999999999995"/>
    <n v="0.57234497505345683"/>
    <n v="4"/>
    <s v="on time"/>
    <s v="March"/>
    <s v="Q1"/>
  </r>
  <r>
    <s v="ORD-01042"/>
    <x v="57"/>
    <d v="2024-04-05T00:00:00"/>
    <s v="CUST-0008"/>
    <s v="Owen Walker"/>
    <x v="1"/>
    <x v="2"/>
    <s v="MN"/>
    <s v="Minneapolis"/>
    <x v="0"/>
    <x v="5"/>
    <s v="OFF-WRT-302"/>
    <s v="Mechanical Pencil Set"/>
    <x v="2"/>
    <x v="8"/>
    <n v="8"/>
    <n v="12.01"/>
    <n v="0.12"/>
    <n v="11.03"/>
    <s v="Critical"/>
    <s v="No"/>
    <n v="1"/>
    <s v="Valid"/>
    <x v="1"/>
    <d v="2023-02-02T00:00:00"/>
    <n v="5"/>
    <n v="96.08"/>
    <n v="1.4411999999999998"/>
    <n v="94.638800000000003"/>
    <n v="40"/>
    <n v="54.638800000000003"/>
    <n v="0.57734037202500454"/>
    <n v="10"/>
    <s v="on time"/>
    <s v="March"/>
    <s v="Q1"/>
  </r>
  <r>
    <s v="ORD-01660"/>
    <x v="57"/>
    <d v="2024-03-30T00:00:00"/>
    <s v="CUST-0147"/>
    <s v="Priya Scott"/>
    <x v="1"/>
    <x v="2"/>
    <s v="IL"/>
    <s v="Chicago"/>
    <x v="1"/>
    <x v="5"/>
    <s v="OFF-WRT-301"/>
    <s v="Gel Pen Variety Pack"/>
    <x v="2"/>
    <x v="8"/>
    <n v="2"/>
    <n v="15.81"/>
    <n v="0.21"/>
    <n v="13.04"/>
    <s v="Critical"/>
    <s v="No"/>
    <n v="5"/>
    <s v="Valid"/>
    <x v="0"/>
    <d v="2022-10-11T00:00:00"/>
    <n v="6"/>
    <n v="31.62"/>
    <n v="3.3201000000000001"/>
    <n v="28.299900000000001"/>
    <n v="12"/>
    <n v="16.299900000000001"/>
    <n v="0.57597023311036433"/>
    <n v="4"/>
    <s v="on time"/>
    <s v="March"/>
    <s v="Q1"/>
  </r>
  <r>
    <s v="ORD-01324"/>
    <x v="58"/>
    <d v="2024-04-14T00:00:00"/>
    <s v="CUST-0010"/>
    <s v="Cameron Kim"/>
    <x v="0"/>
    <x v="1"/>
    <s v="CA"/>
    <s v="San Diego"/>
    <x v="3"/>
    <x v="1"/>
    <s v="OFF-WRT-302"/>
    <s v="Mechanical Pencil Set"/>
    <x v="2"/>
    <x v="8"/>
    <n v="5"/>
    <n v="12.01"/>
    <n v="0.06"/>
    <n v="5.98"/>
    <s v="Critical"/>
    <s v="No"/>
    <n v="2"/>
    <s v="Valid"/>
    <x v="0"/>
    <d v="2022-07-10T00:00:00"/>
    <n v="5"/>
    <n v="60.05"/>
    <n v="0.72059999999999991"/>
    <n v="59.3294"/>
    <n v="25"/>
    <n v="34.3294"/>
    <n v="0.5786237514621756"/>
    <n v="18"/>
    <s v="late"/>
    <s v="March"/>
    <s v="Q1"/>
  </r>
  <r>
    <s v="ORD-01138"/>
    <x v="59"/>
    <d v="2024-04-06T00:00:00"/>
    <s v="CUST-0058"/>
    <s v="Avery Chen"/>
    <x v="2"/>
    <x v="0"/>
    <s v="PA"/>
    <s v="Philadelphia"/>
    <x v="3"/>
    <x v="0"/>
    <s v="FUR-DSK-101"/>
    <s v="Standing Desk 48"/>
    <x v="1"/>
    <x v="1"/>
    <n v="4"/>
    <n v="335.39"/>
    <n v="0.12"/>
    <n v="21.25"/>
    <s v="Low"/>
    <s v="No"/>
    <n v="1"/>
    <s v="Valid"/>
    <x v="3"/>
    <d v="2023-03-10T00:00:00"/>
    <n v="184"/>
    <n v="1341.56"/>
    <n v="40.2468"/>
    <n v="1301.3132000000001"/>
    <n v="736"/>
    <n v="565.31320000000005"/>
    <n v="0.43441747920485246"/>
    <n v="8"/>
    <s v="on time"/>
    <s v="March"/>
    <s v="Q1"/>
  </r>
  <r>
    <s v="ORD-01018"/>
    <x v="60"/>
    <d v="2024-04-03T00:00:00"/>
    <s v="CUST-0041"/>
    <s v="Quinn Patel"/>
    <x v="0"/>
    <x v="1"/>
    <s v="WA"/>
    <s v="Seattle"/>
    <x v="0"/>
    <x v="0"/>
    <s v="TEC-ACC-302"/>
    <s v="USB-C Docking Station"/>
    <x v="3"/>
    <x v="10"/>
    <n v="2"/>
    <n v="146.68"/>
    <n v="0.1"/>
    <n v="13.74"/>
    <s v="Critical"/>
    <s v="No"/>
    <n v="1"/>
    <s v="Valid"/>
    <x v="1"/>
    <d v="2021-08-13T00:00:00"/>
    <n v="72"/>
    <n v="293.36"/>
    <n v="14.668000000000001"/>
    <n v="278.69200000000001"/>
    <n v="144"/>
    <n v="134.69200000000001"/>
    <n v="0.48330056119300163"/>
    <n v="4"/>
    <s v="on time"/>
    <s v="March"/>
    <s v="Q1"/>
  </r>
  <r>
    <s v="ORD-01140"/>
    <x v="60"/>
    <d v="2024-04-08T00:00:00"/>
    <s v="CUST-0012"/>
    <s v="Jordan Johnson"/>
    <x v="2"/>
    <x v="2"/>
    <s v="CO"/>
    <s v="Denver"/>
    <x v="3"/>
    <x v="5"/>
    <s v="APP-KIT-102"/>
    <s v="Mini Refrigerator"/>
    <x v="0"/>
    <x v="0"/>
    <n v="6"/>
    <n v="247.22"/>
    <n v="0.08"/>
    <n v="10.050000000000001"/>
    <s v="High"/>
    <s v="No"/>
    <n v="4"/>
    <s v="Valid"/>
    <x v="2"/>
    <d v="2025-07-21T00:00:00"/>
    <n v="125"/>
    <n v="1483.32"/>
    <n v="19.7776"/>
    <n v="1463.5424"/>
    <n v="750"/>
    <n v="713.54240000000004"/>
    <n v="0.48754474076050003"/>
    <n v="9"/>
    <s v="on time"/>
    <s v="March"/>
    <s v="Q1"/>
  </r>
  <r>
    <s v="ORD-01375"/>
    <x v="60"/>
    <d v="2024-04-09T00:00:00"/>
    <s v="CUST-0013"/>
    <s v="Drew Allen"/>
    <x v="2"/>
    <x v="3"/>
    <s v="FL"/>
    <s v="Miami"/>
    <x v="3"/>
    <x v="2"/>
    <s v="OFF-BIN-202"/>
    <s v="Presentation Folder Box"/>
    <x v="2"/>
    <x v="6"/>
    <n v="2"/>
    <n v="27.48"/>
    <n v="0.19"/>
    <n v="16.649999999999999"/>
    <s v="Low"/>
    <s v="No"/>
    <n v="5"/>
    <s v="Valid"/>
    <x v="3"/>
    <d v="2025-08-16T00:00:00"/>
    <n v="14"/>
    <n v="54.96"/>
    <n v="5.2212000000000005"/>
    <n v="49.738799999999998"/>
    <n v="28"/>
    <n v="21.738799999999998"/>
    <n v="0.43705919724641523"/>
    <n v="10"/>
    <s v="on time"/>
    <s v="March"/>
    <s v="Q1"/>
  </r>
  <r>
    <s v="ORD-01141"/>
    <x v="61"/>
    <d v="2024-04-06T00:00:00"/>
    <s v="CUST-0050"/>
    <s v="Riley Clark"/>
    <x v="0"/>
    <x v="3"/>
    <s v="GA"/>
    <s v="Atlanta"/>
    <x v="2"/>
    <x v="5"/>
    <s v="OFF-PAP-101"/>
    <s v="Premium Copy Paper Case"/>
    <x v="2"/>
    <x v="12"/>
    <n v="2"/>
    <n v="38.049999999999997"/>
    <n v="0.06"/>
    <n v="6.49"/>
    <s v="Critical"/>
    <s v="No"/>
    <n v="2"/>
    <s v="Valid"/>
    <x v="3"/>
    <d v="2021-06-19T00:00:00"/>
    <n v="20"/>
    <n v="76.099999999999994"/>
    <n v="2.2829999999999999"/>
    <n v="73.816999999999993"/>
    <n v="40"/>
    <n v="33.816999999999993"/>
    <n v="0.45811940338946305"/>
    <n v="6"/>
    <s v="on time"/>
    <s v="March"/>
    <s v="Q1"/>
  </r>
  <r>
    <s v="ORD-01174"/>
    <x v="61"/>
    <d v="2024-04-05T00:00:00"/>
    <s v="CUST-0087"/>
    <s v="Owen Wilson"/>
    <x v="0"/>
    <x v="1"/>
    <s v="OR"/>
    <s v="Portland"/>
    <x v="2"/>
    <x v="3"/>
    <s v="TEC-ACC-302"/>
    <s v="USB-C Docking Station"/>
    <x v="3"/>
    <x v="10"/>
    <n v="3"/>
    <n v="135.22"/>
    <n v="0.05"/>
    <n v="21.98"/>
    <s v="Critical"/>
    <s v="No"/>
    <n v="2"/>
    <s v="Valid"/>
    <x v="0"/>
    <d v="2023-04-17T00:00:00"/>
    <n v="72"/>
    <n v="405.65999999999997"/>
    <n v="6.7610000000000001"/>
    <n v="398.89899999999994"/>
    <n v="216"/>
    <n v="182.89899999999994"/>
    <n v="0.45850954752957507"/>
    <n v="5"/>
    <s v="on time"/>
    <s v="March"/>
    <s v="Q1"/>
  </r>
  <r>
    <s v="ORD-01551"/>
    <x v="61"/>
    <d v="2024-04-02T00:00:00"/>
    <s v="CUST-0079"/>
    <s v="Taylor Scott"/>
    <x v="1"/>
    <x v="2"/>
    <s v="OH"/>
    <s v="Columbus"/>
    <x v="3"/>
    <x v="5"/>
    <s v="TEC-NET-401"/>
    <s v="Mesh Wi-Fi Router"/>
    <x v="3"/>
    <x v="5"/>
    <n v="4"/>
    <n v="183.19"/>
    <n v="0.04"/>
    <n v="8.58"/>
    <s v="Critical"/>
    <s v="No"/>
    <m/>
    <s v="Valid"/>
    <x v="0"/>
    <d v="2024-04-12T00:00:00"/>
    <n v="96"/>
    <n v="732.76"/>
    <n v="7.3276000000000003"/>
    <n v="725.43240000000003"/>
    <n v="384"/>
    <n v="341.43240000000003"/>
    <n v="0.47066053294559218"/>
    <n v="2"/>
    <s v="on time"/>
    <s v="March"/>
    <s v="Q1"/>
  </r>
  <r>
    <s v="ORD-01091"/>
    <x v="62"/>
    <d v="2024-04-14T00:00:00"/>
    <s v="CUST-0064"/>
    <s v="Quinn Wright"/>
    <x v="2"/>
    <x v="3"/>
    <s v="FL"/>
    <s v="Miami"/>
    <x v="3"/>
    <x v="3"/>
    <s v="OFF-PAP-102"/>
    <s v="Recycled Notebook Pack"/>
    <x v="2"/>
    <x v="12"/>
    <n v="3"/>
    <n v="22.63"/>
    <n v="0.08"/>
    <n v="13.29"/>
    <s v="Low"/>
    <s v="No"/>
    <n v="1"/>
    <s v="Valid"/>
    <x v="2"/>
    <d v="2021-10-04T00:00:00"/>
    <n v="10"/>
    <n v="67.89"/>
    <n v="1.8104"/>
    <n v="66.079599999999999"/>
    <n v="30"/>
    <n v="36.079599999999999"/>
    <n v="0.54600209444367098"/>
    <n v="8"/>
    <s v="on time"/>
    <s v="April"/>
    <s v="Q2"/>
  </r>
  <r>
    <s v="ORD-01397"/>
    <x v="62"/>
    <d v="2024-04-10T00:00:00"/>
    <s v="CUST-0089"/>
    <s v="Jamie Garcia"/>
    <x v="1"/>
    <x v="3"/>
    <s v="NC"/>
    <s v="Charlotte"/>
    <x v="2"/>
    <x v="3"/>
    <s v="FUR-CHR-202"/>
    <s v="Mesh Conference Chair"/>
    <x v="1"/>
    <x v="11"/>
    <n v="1"/>
    <n v="151.04"/>
    <n v="0.09"/>
    <n v="22"/>
    <s v="Low"/>
    <s v="No"/>
    <n v="1"/>
    <s v="Valid"/>
    <x v="0"/>
    <d v="2023-08-04T00:00:00"/>
    <n v="82"/>
    <n v="151.04"/>
    <n v="13.593599999999999"/>
    <n v="137.44639999999998"/>
    <n v="82"/>
    <n v="55.446399999999983"/>
    <n v="0.4034037995902402"/>
    <n v="4"/>
    <s v="on time"/>
    <s v="April"/>
    <s v="Q2"/>
  </r>
  <r>
    <s v="ORD-01344"/>
    <x v="63"/>
    <d v="2024-04-13T00:00:00"/>
    <s v="CUST-0054"/>
    <s v="Maya Brown"/>
    <x v="2"/>
    <x v="0"/>
    <s v="NJ"/>
    <s v="Newark"/>
    <x v="0"/>
    <x v="0"/>
    <s v="OFF-WRT-302"/>
    <s v="Mechanical Pencil Set"/>
    <x v="2"/>
    <x v="8"/>
    <n v="10"/>
    <n v="11.41"/>
    <n v="0.02"/>
    <n v="10.47"/>
    <s v="High"/>
    <s v="No"/>
    <n v="4"/>
    <s v="Valid"/>
    <x v="0"/>
    <d v="2021-04-05T00:00:00"/>
    <n v="5"/>
    <n v="114.1"/>
    <n v="0.22820000000000001"/>
    <n v="113.87179999999999"/>
    <n v="50"/>
    <n v="63.871799999999993"/>
    <n v="0.56090972479577905"/>
    <n v="6"/>
    <s v="on time"/>
    <s v="April"/>
    <s v="Q2"/>
  </r>
  <r>
    <s v="ORD-01449"/>
    <x v="64"/>
    <d v="2024-04-17T00:00:00"/>
    <s v="CUST-0057"/>
    <s v="Morgan Lopez"/>
    <x v="2"/>
    <x v="1"/>
    <s v="CA"/>
    <s v="Los Angeles"/>
    <x v="3"/>
    <x v="0"/>
    <s v="OFF-PAP-102"/>
    <s v="Recycled Notebook Pack"/>
    <x v="2"/>
    <x v="12"/>
    <n v="6"/>
    <n v="21.46"/>
    <n v="0.08"/>
    <n v="9.7200000000000006"/>
    <s v="Medium"/>
    <s v="No"/>
    <n v="4"/>
    <s v="Valid"/>
    <x v="2"/>
    <d v="2025-02-02T00:00:00"/>
    <n v="10"/>
    <n v="128.76"/>
    <n v="1.7168000000000001"/>
    <n v="127.04319999999998"/>
    <n v="60"/>
    <n v="67.043199999999985"/>
    <n v="0.52771970479333008"/>
    <n v="9"/>
    <s v="on time"/>
    <s v="April"/>
    <s v="Q2"/>
  </r>
  <r>
    <s v="ORD-01212"/>
    <x v="65"/>
    <d v="2024-04-13T00:00:00"/>
    <s v="CUST-0158"/>
    <s v="Jamie Scott"/>
    <x v="1"/>
    <x v="1"/>
    <s v="CA"/>
    <s v="Los Angeles"/>
    <x v="3"/>
    <x v="4"/>
    <s v="APP-KIT-101"/>
    <s v="Compact Coffee Brewer"/>
    <x v="0"/>
    <x v="0"/>
    <n v="2"/>
    <n v="99.5"/>
    <n v="0.18"/>
    <n v="16.62"/>
    <s v="High"/>
    <s v="No"/>
    <m/>
    <s v="Valid"/>
    <x v="2"/>
    <d v="2021-03-23T00:00:00"/>
    <n v="48"/>
    <n v="199"/>
    <n v="17.91"/>
    <n v="181.09"/>
    <n v="96"/>
    <n v="85.09"/>
    <n v="0.46987685681153019"/>
    <n v="4"/>
    <s v="on time"/>
    <s v="April"/>
    <s v="Q2"/>
  </r>
  <r>
    <s v="ORD-01359"/>
    <x v="65"/>
    <d v="2024-04-10T00:00:00"/>
    <s v="CUST-0123"/>
    <s v="Taylor Wright"/>
    <x v="1"/>
    <x v="1"/>
    <s v="CA"/>
    <s v="San Diego"/>
    <x v="1"/>
    <x v="5"/>
    <s v="FUR-DSK-102"/>
    <s v="Executive Desk 60"/>
    <x v="1"/>
    <x v="1"/>
    <n v="3"/>
    <n v="469.11"/>
    <n v="0.08"/>
    <n v="19.09"/>
    <s v="Critical"/>
    <s v="No"/>
    <n v="5"/>
    <s v="Valid"/>
    <x v="0"/>
    <d v="2024-07-22T00:00:00"/>
    <n v="265"/>
    <n v="1407.33"/>
    <n v="37.528800000000004"/>
    <n v="1369.8011999999999"/>
    <n v="795"/>
    <n v="574.80119999999988"/>
    <n v="0.41962381110485225"/>
    <n v="1"/>
    <s v="on time"/>
    <s v="April"/>
    <s v="Q2"/>
  </r>
  <r>
    <s v="ORD-01038"/>
    <x v="66"/>
    <d v="2024-04-20T00:00:00"/>
    <s v="CUST-0014"/>
    <s v="Maya Hall"/>
    <x v="1"/>
    <x v="0"/>
    <s v="NJ"/>
    <s v="Newark"/>
    <x v="3"/>
    <x v="5"/>
    <s v="TEC-NET-402"/>
    <s v="8-Port Network Switch"/>
    <x v="3"/>
    <x v="5"/>
    <n v="2"/>
    <n v="92.05"/>
    <n v="0.01"/>
    <n v="10"/>
    <s v="High"/>
    <s v="No"/>
    <n v="3"/>
    <s v="Valid"/>
    <x v="3"/>
    <d v="2024-09-03T00:00:00"/>
    <n v="44"/>
    <n v="184.1"/>
    <n v="0.92049999999999998"/>
    <n v="183.17949999999999"/>
    <n v="88"/>
    <n v="95.17949999999999"/>
    <n v="0.51959689812451715"/>
    <n v="9"/>
    <s v="on time"/>
    <s v="April"/>
    <s v="Q2"/>
  </r>
  <r>
    <s v="ORD-01089"/>
    <x v="66"/>
    <d v="2024-04-20T00:00:00"/>
    <s v="CUST-0082"/>
    <s v="Alex Wright"/>
    <x v="1"/>
    <x v="2"/>
    <s v="TX"/>
    <s v="Austin"/>
    <x v="1"/>
    <x v="4"/>
    <s v="OFF-WRT-301"/>
    <s v="Gel Pen Variety Pack"/>
    <x v="2"/>
    <x v="8"/>
    <n v="10"/>
    <n v="14.94"/>
    <n v="0.11"/>
    <n v="11.12"/>
    <s v="Low"/>
    <s v="No"/>
    <n v="1"/>
    <s v="Valid"/>
    <x v="2"/>
    <d v="2022-06-23T00:00:00"/>
    <n v="6"/>
    <n v="149.4"/>
    <n v="1.6434"/>
    <n v="147.75659999999999"/>
    <n v="60"/>
    <n v="87.756599999999992"/>
    <n v="0.59392676875347694"/>
    <n v="9"/>
    <s v="on time"/>
    <s v="April"/>
    <s v="Q2"/>
  </r>
  <r>
    <s v="ORD-01083"/>
    <x v="67"/>
    <d v="2024-04-19T00:00:00"/>
    <s v="CUST-0117"/>
    <s v="Alex Hall"/>
    <x v="0"/>
    <x v="0"/>
    <s v="MA"/>
    <s v="Boston"/>
    <x v="0"/>
    <x v="5"/>
    <s v="OFF-WRT-301"/>
    <s v="Gel Pen Variety Pack"/>
    <x v="2"/>
    <x v="8"/>
    <n v="2"/>
    <n v="14.68"/>
    <n v="0.1"/>
    <n v="12.99"/>
    <s v="High"/>
    <s v="No"/>
    <n v="1"/>
    <s v="Valid"/>
    <x v="3"/>
    <d v="2024-12-21T00:00:00"/>
    <n v="6"/>
    <n v="29.36"/>
    <n v="1.468"/>
    <n v="27.891999999999999"/>
    <n v="12"/>
    <n v="15.891999999999999"/>
    <n v="0.5697691094220565"/>
    <n v="7"/>
    <s v="on time"/>
    <s v="April"/>
    <s v="Q2"/>
  </r>
  <r>
    <s v="ORD-01470"/>
    <x v="67"/>
    <d v="2024-04-22T00:00:00"/>
    <s v="CUST-0018"/>
    <s v="Owen Nguyen"/>
    <x v="2"/>
    <x v="3"/>
    <s v="NC"/>
    <s v="Charlotte"/>
    <x v="0"/>
    <x v="5"/>
    <s v="TEC-NET-402"/>
    <s v="8-Port Network Switch"/>
    <x v="3"/>
    <x v="5"/>
    <n v="1"/>
    <n v="88.93"/>
    <n v="0.23"/>
    <n v="10.34"/>
    <s v="Critical"/>
    <s v="No"/>
    <n v="5"/>
    <s v="Valid"/>
    <x v="0"/>
    <d v="2025-07-24T00:00:00"/>
    <n v="44"/>
    <n v="88.93"/>
    <n v="20.453900000000001"/>
    <n v="68.476100000000002"/>
    <n v="44"/>
    <n v="24.476100000000002"/>
    <n v="0.35744004112383737"/>
    <n v="10"/>
    <s v="on time"/>
    <s v="April"/>
    <s v="Q2"/>
  </r>
  <r>
    <s v="ORD-01634"/>
    <x v="68"/>
    <d v="2024-04-15T00:00:00"/>
    <s v="CUST-0014"/>
    <s v="Maya Hall"/>
    <x v="1"/>
    <x v="0"/>
    <s v="NJ"/>
    <s v="Newark"/>
    <x v="3"/>
    <x v="2"/>
    <s v="TEC-NET-401"/>
    <s v="Mesh Wi-Fi Router"/>
    <x v="3"/>
    <x v="5"/>
    <n v="4"/>
    <n v="193.4"/>
    <n v="0.01"/>
    <n v="18.190000000000001"/>
    <s v="High"/>
    <s v="No"/>
    <n v="4"/>
    <s v="Valid"/>
    <x v="3"/>
    <d v="2024-09-03T00:00:00"/>
    <n v="96"/>
    <n v="773.6"/>
    <n v="1.9340000000000002"/>
    <n v="771.66600000000005"/>
    <n v="384"/>
    <n v="387.66600000000005"/>
    <n v="0.50237538002192661"/>
    <n v="2"/>
    <s v="on time"/>
    <s v="April"/>
    <s v="Q2"/>
  </r>
  <r>
    <s v="ORD-01448"/>
    <x v="69"/>
    <d v="2024-04-15T00:00:00"/>
    <s v="CUST-0150"/>
    <s v="Rowan Scott"/>
    <x v="2"/>
    <x v="0"/>
    <s v="VA"/>
    <s v="Richmond"/>
    <x v="1"/>
    <x v="1"/>
    <s v="OFF-BIN-202"/>
    <s v="Presentation Folder Box"/>
    <x v="2"/>
    <x v="6"/>
    <n v="3"/>
    <n v="26.63"/>
    <n v="0.09"/>
    <n v="15.4"/>
    <s v="Critical"/>
    <s v="No"/>
    <n v="3"/>
    <s v="Valid"/>
    <x v="0"/>
    <d v="2022-05-17T00:00:00"/>
    <n v="14"/>
    <n v="79.89"/>
    <n v="2.3966999999999996"/>
    <n v="77.493300000000005"/>
    <n v="42"/>
    <n v="35.493300000000005"/>
    <n v="0.45801766088165047"/>
    <n v="1"/>
    <s v="on time"/>
    <s v="April"/>
    <s v="Q2"/>
  </r>
  <r>
    <s v="ORD-01477"/>
    <x v="69"/>
    <d v="2024-04-18T00:00:00"/>
    <s v="CUST-0144"/>
    <s v="Iris Garcia"/>
    <x v="1"/>
    <x v="2"/>
    <s v="IL"/>
    <s v="Chicago"/>
    <x v="3"/>
    <x v="2"/>
    <s v="FUR-STO-301"/>
    <s v="Two-Drawer File Cabinet"/>
    <x v="1"/>
    <x v="9"/>
    <n v="3"/>
    <n v="173.08"/>
    <n v="0.09"/>
    <n v="29.62"/>
    <s v="High"/>
    <s v="No"/>
    <n v="5"/>
    <s v="Valid"/>
    <x v="1"/>
    <d v="2023-06-25T00:00:00"/>
    <n v="88"/>
    <n v="519.24"/>
    <n v="15.577200000000001"/>
    <n v="503.6628"/>
    <n v="264"/>
    <n v="239.6628"/>
    <n v="0.47583978804867066"/>
    <n v="4"/>
    <s v="on time"/>
    <s v="April"/>
    <s v="Q2"/>
  </r>
  <r>
    <s v="ORD-01622"/>
    <x v="69"/>
    <d v="2024-04-20T00:00:00"/>
    <s v="CUST-0032"/>
    <s v="Maya Wilson"/>
    <x v="1"/>
    <x v="3"/>
    <s v="FL"/>
    <s v="Miami"/>
    <x v="1"/>
    <x v="0"/>
    <s v="APP-KIT-101"/>
    <s v="Compact Coffee Brewer"/>
    <x v="0"/>
    <x v="0"/>
    <n v="8"/>
    <n v="93.95"/>
    <n v="0.05"/>
    <n v="9.6300000000000008"/>
    <s v="Low"/>
    <s v="No"/>
    <n v="3"/>
    <s v="Valid"/>
    <x v="2"/>
    <d v="2021-10-25T00:00:00"/>
    <n v="48"/>
    <n v="751.6"/>
    <n v="4.6975000000000007"/>
    <n v="746.90250000000003"/>
    <n v="384"/>
    <n v="362.90250000000003"/>
    <n v="0.48587667064978363"/>
    <n v="6"/>
    <s v="on time"/>
    <s v="April"/>
    <s v="Q2"/>
  </r>
  <r>
    <s v="ORD-01522"/>
    <x v="70"/>
    <d v="2024-04-23T00:00:00"/>
    <s v="CUST-0106"/>
    <s v="Morgan Martinez"/>
    <x v="0"/>
    <x v="2"/>
    <s v="OH"/>
    <s v="Columbus"/>
    <x v="0"/>
    <x v="5"/>
    <s v="FUR-CHR-201"/>
    <s v="ErgoFlex Office Chair"/>
    <x v="1"/>
    <x v="11"/>
    <n v="3"/>
    <n v="271.58999999999997"/>
    <n v="0.08"/>
    <n v="24.19"/>
    <s v="High"/>
    <s v="No"/>
    <n v="2"/>
    <s v="Valid"/>
    <x v="1"/>
    <d v="2023-04-04T00:00:00"/>
    <n v="146"/>
    <n v="814.77"/>
    <n v="21.7272"/>
    <n v="793.04279999999994"/>
    <n v="438"/>
    <n v="355.04279999999994"/>
    <n v="0.44769689605655577"/>
    <n v="8"/>
    <s v="on time"/>
    <s v="April"/>
    <s v="Q2"/>
  </r>
  <r>
    <s v="ORD-01454"/>
    <x v="71"/>
    <d v="2024-04-17T00:00:00"/>
    <s v="CUST-0106"/>
    <s v="Morgan Martinez"/>
    <x v="0"/>
    <x v="2"/>
    <s v="OH"/>
    <s v="Columbus"/>
    <x v="1"/>
    <x v="4"/>
    <s v="OFF-SUP-401"/>
    <s v="Desk Organizer Kit"/>
    <x v="2"/>
    <x v="2"/>
    <n v="4"/>
    <n v="28.36"/>
    <n v="0.01"/>
    <n v="14.69"/>
    <s v="Low"/>
    <s v="No"/>
    <n v="5"/>
    <s v="Valid"/>
    <x v="1"/>
    <d v="2023-04-04T00:00:00"/>
    <n v="12"/>
    <n v="113.44"/>
    <n v="0.28360000000000002"/>
    <n v="113.15639999999999"/>
    <n v="48"/>
    <n v="65.156399999999991"/>
    <n v="0.575808350212626"/>
    <n v="1"/>
    <s v="on time"/>
    <s v="April"/>
    <s v="Q2"/>
  </r>
  <r>
    <s v="ORD-01452"/>
    <x v="72"/>
    <d v="2024-04-26T00:00:00"/>
    <s v="CUST-0099"/>
    <s v="Jamie Clark"/>
    <x v="0"/>
    <x v="3"/>
    <s v="FL"/>
    <s v="Miami"/>
    <x v="2"/>
    <x v="3"/>
    <s v="OFF-WRT-302"/>
    <s v="Mechanical Pencil Set"/>
    <x v="2"/>
    <x v="8"/>
    <n v="2"/>
    <n v="12.44"/>
    <n v="0.04"/>
    <n v="10.6"/>
    <s v="Medium"/>
    <s v="No"/>
    <n v="2"/>
    <s v="Valid"/>
    <x v="3"/>
    <d v="2025-04-09T00:00:00"/>
    <n v="5"/>
    <n v="24.88"/>
    <n v="0.49759999999999999"/>
    <n v="24.382400000000001"/>
    <n v="10"/>
    <n v="14.382400000000001"/>
    <n v="0.58986810158146863"/>
    <n v="7"/>
    <s v="on time"/>
    <s v="April"/>
    <s v="Q2"/>
  </r>
  <r>
    <s v="ORD-01529"/>
    <x v="73"/>
    <d v="2024-04-24T00:00:00"/>
    <s v="CUST-0162"/>
    <s v="Quinn Robinson"/>
    <x v="1"/>
    <x v="2"/>
    <s v="IL"/>
    <s v="Chicago"/>
    <x v="3"/>
    <x v="0"/>
    <s v="TEC-NET-401"/>
    <s v="Mesh Wi-Fi Router"/>
    <x v="3"/>
    <x v="5"/>
    <n v="2"/>
    <n v="180.59"/>
    <n v="0.01"/>
    <n v="9.7799999999999994"/>
    <s v="High"/>
    <s v="No"/>
    <n v="1"/>
    <s v="Valid"/>
    <x v="2"/>
    <d v="2023-12-22T00:00:00"/>
    <n v="96"/>
    <n v="361.18"/>
    <n v="1.8059000000000001"/>
    <n v="359.3741"/>
    <n v="192"/>
    <n v="167.3741"/>
    <n v="0.46573779245638458"/>
    <n v="3"/>
    <s v="on time"/>
    <s v="April"/>
    <s v="Q2"/>
  </r>
  <r>
    <s v="ORD-01715"/>
    <x v="74"/>
    <d v="2024-04-25T00:00:00"/>
    <s v="CUST-0047"/>
    <s v="Reese Miller"/>
    <x v="0"/>
    <x v="3"/>
    <s v="FL"/>
    <s v="Miami"/>
    <x v="2"/>
    <x v="4"/>
    <s v="OFF-PAP-102"/>
    <s v="Recycled Notebook Pack"/>
    <x v="2"/>
    <x v="12"/>
    <n v="7"/>
    <n v="21.4"/>
    <n v="0.05"/>
    <n v="6.85"/>
    <s v="Critical"/>
    <s v="No"/>
    <n v="4"/>
    <s v="Valid"/>
    <x v="1"/>
    <d v="2021-07-19T00:00:00"/>
    <n v="10"/>
    <n v="149.79999999999998"/>
    <n v="1.07"/>
    <n v="148.72999999999999"/>
    <n v="70"/>
    <n v="78.72999999999999"/>
    <n v="0.52934848382975863"/>
    <n v="1"/>
    <s v="on time"/>
    <s v="April"/>
    <s v="Q2"/>
  </r>
  <r>
    <s v="ORD-01237"/>
    <x v="75"/>
    <d v="2024-05-02T00:00:00"/>
    <s v="CUST-0133"/>
    <s v="Iris Clark"/>
    <x v="0"/>
    <x v="2"/>
    <s v="OH"/>
    <s v="Columbus"/>
    <x v="0"/>
    <x v="5"/>
    <s v="OFF-BIN-201"/>
    <s v="Heavy-Duty Binder 12-Pack"/>
    <x v="2"/>
    <x v="6"/>
    <n v="2"/>
    <n v="35.08"/>
    <n v="0.12"/>
    <n v="10.15"/>
    <s v="High"/>
    <s v="No"/>
    <n v="2"/>
    <s v="Valid"/>
    <x v="3"/>
    <d v="2025-12-19T00:00:00"/>
    <n v="18"/>
    <n v="70.16"/>
    <n v="4.2096"/>
    <n v="65.950400000000002"/>
    <n v="36"/>
    <n v="29.950400000000002"/>
    <n v="0.45413522889929403"/>
    <n v="6"/>
    <s v="on time"/>
    <s v="April"/>
    <s v="Q2"/>
  </r>
  <r>
    <s v="ORD-01480"/>
    <x v="76"/>
    <d v="2024-05-04T00:00:00"/>
    <s v="CUST-0126"/>
    <s v="Iris Garcia"/>
    <x v="2"/>
    <x v="0"/>
    <s v="PA"/>
    <s v="Philadelphia"/>
    <x v="2"/>
    <x v="3"/>
    <s v="FUR-DSK-102"/>
    <s v="Executive Desk 60"/>
    <x v="1"/>
    <x v="1"/>
    <n v="2"/>
    <n v="467.9"/>
    <n v="0.02"/>
    <n v="26.02"/>
    <s v="Medium"/>
    <s v="No"/>
    <n v="4"/>
    <s v="Valid"/>
    <x v="3"/>
    <d v="2021-01-03T00:00:00"/>
    <n v="265"/>
    <n v="935.8"/>
    <n v="9.3580000000000005"/>
    <n v="926.44200000000001"/>
    <n v="530"/>
    <n v="396.44200000000001"/>
    <n v="0.42791885514689532"/>
    <n v="3"/>
    <s v="on time"/>
    <s v="May"/>
    <s v="Q2"/>
  </r>
  <r>
    <s v="ORD-01328"/>
    <x v="77"/>
    <d v="2024-05-10T00:00:00"/>
    <s v="CUST-0151"/>
    <s v="Owen Johnson"/>
    <x v="1"/>
    <x v="0"/>
    <s v="PA"/>
    <s v="Philadelphia"/>
    <x v="2"/>
    <x v="0"/>
    <s v="TEC-MON-201"/>
    <s v="ClearView 27 Monitor"/>
    <x v="3"/>
    <x v="4"/>
    <n v="3"/>
    <n v="281.14999999999998"/>
    <n v="0.08"/>
    <n v="11.11"/>
    <s v="Critical"/>
    <s v="No"/>
    <n v="1"/>
    <s v="Valid"/>
    <x v="2"/>
    <d v="2024-05-07T00:00:00"/>
    <n v="168"/>
    <n v="843.44999999999993"/>
    <n v="22.491999999999997"/>
    <n v="820.95799999999997"/>
    <n v="504"/>
    <n v="316.95799999999997"/>
    <n v="0.38608308829440724"/>
    <n v="7"/>
    <s v="on time"/>
    <s v="May"/>
    <s v="Q2"/>
  </r>
  <r>
    <s v="ORD-01517"/>
    <x v="78"/>
    <d v="2024-05-19T00:00:00"/>
    <s v="CUST-0088"/>
    <s v="Noah Chen"/>
    <x v="2"/>
    <x v="3"/>
    <s v="NC"/>
    <s v="Charlotte"/>
    <x v="1"/>
    <x v="3"/>
    <s v="OFF-WRT-301"/>
    <s v="Gel Pen Variety Pack"/>
    <x v="2"/>
    <x v="8"/>
    <n v="4"/>
    <n v="15.85"/>
    <n v="0.03"/>
    <n v="14.2"/>
    <s v="Low"/>
    <s v="No"/>
    <n v="2"/>
    <s v="Valid"/>
    <x v="3"/>
    <d v="2021-08-06T00:00:00"/>
    <n v="6"/>
    <n v="63.4"/>
    <n v="0.47549999999999998"/>
    <n v="62.924500000000002"/>
    <n v="24"/>
    <n v="38.924500000000002"/>
    <n v="0.61859053309919032"/>
    <n v="15"/>
    <s v="late"/>
    <s v="May"/>
    <s v="Q2"/>
  </r>
  <r>
    <s v="ORD-01077"/>
    <x v="79"/>
    <d v="2024-05-07T00:00:00"/>
    <s v="CUST-0005"/>
    <s v="Maya Hall"/>
    <x v="1"/>
    <x v="0"/>
    <s v="NY"/>
    <s v="New York"/>
    <x v="1"/>
    <x v="4"/>
    <s v="OFF-PAP-101"/>
    <s v="Premium Copy Paper Case"/>
    <x v="2"/>
    <x v="12"/>
    <n v="8"/>
    <n v="38.69"/>
    <n v="7.0000000000000007E-2"/>
    <n v="16.63"/>
    <s v="Medium"/>
    <s v="No"/>
    <m/>
    <s v="Valid"/>
    <x v="0"/>
    <d v="2024-06-08T00:00:00"/>
    <n v="20"/>
    <n v="309.52"/>
    <n v="2.7082999999999999"/>
    <n v="306.81169999999997"/>
    <n v="160"/>
    <n v="146.81169999999997"/>
    <n v="0.47850750150662436"/>
    <n v="1"/>
    <s v="on time"/>
    <s v="May"/>
    <s v="Q2"/>
  </r>
  <r>
    <s v="ORD-01202"/>
    <x v="80"/>
    <d v="2024-05-08T00:00:00"/>
    <s v="CUST-0088"/>
    <s v="Noah Chen"/>
    <x v="2"/>
    <x v="3"/>
    <s v="NC"/>
    <s v="Charlotte"/>
    <x v="2"/>
    <x v="5"/>
    <s v="FUR-CHR-202"/>
    <s v="Mesh Conference Chair"/>
    <x v="1"/>
    <x v="11"/>
    <n v="3"/>
    <n v="149.93"/>
    <n v="0"/>
    <n v="21.28"/>
    <s v="High"/>
    <s v="No"/>
    <n v="5"/>
    <s v="Valid"/>
    <x v="3"/>
    <d v="2021-08-06T00:00:00"/>
    <n v="82"/>
    <n v="449.79"/>
    <n v="0"/>
    <n v="449.79"/>
    <n v="246"/>
    <n v="203.79000000000002"/>
    <n v="0.45307810311478691"/>
    <n v="1"/>
    <s v="on time"/>
    <s v="May"/>
    <s v="Q2"/>
  </r>
  <r>
    <s v="ORD-01466"/>
    <x v="81"/>
    <d v="2024-05-10T00:00:00"/>
    <s v="CUST-0061"/>
    <s v="Maya Miller"/>
    <x v="0"/>
    <x v="3"/>
    <s v="FL"/>
    <s v="Miami"/>
    <x v="0"/>
    <x v="0"/>
    <s v="TEC-MON-202"/>
    <s v="ClearView Ultrawide Monitor"/>
    <x v="3"/>
    <x v="4"/>
    <n v="3"/>
    <n v="531.62"/>
    <n v="0.28999999999999998"/>
    <n v="7.02"/>
    <s v="Medium"/>
    <s v="No"/>
    <n v="3"/>
    <s v="Valid"/>
    <x v="0"/>
    <d v="2021-12-10T00:00:00"/>
    <n v="310"/>
    <n v="1594.8600000000001"/>
    <n v="154.16979999999998"/>
    <n v="1440.6902000000002"/>
    <n v="930"/>
    <n v="510.69020000000023"/>
    <n v="0.35447606987262087"/>
    <n v="1"/>
    <s v="on time"/>
    <s v="May"/>
    <s v="Q2"/>
  </r>
  <r>
    <s v="ORD-01134"/>
    <x v="82"/>
    <d v="2024-05-11T00:00:00"/>
    <s v="CUST-0120"/>
    <s v="Sam Wilson"/>
    <x v="1"/>
    <x v="1"/>
    <s v="WA"/>
    <s v="Seattle"/>
    <x v="2"/>
    <x v="4"/>
    <s v="FUR-CHR-202"/>
    <s v="Mesh Conference Chair"/>
    <x v="1"/>
    <x v="11"/>
    <n v="4"/>
    <n v="147.4"/>
    <n v="0.02"/>
    <n v="20.63"/>
    <s v="High"/>
    <s v="No"/>
    <m/>
    <s v="Valid"/>
    <x v="2"/>
    <d v="2024-04-02T00:00:00"/>
    <n v="82"/>
    <n v="589.6"/>
    <n v="2.948"/>
    <n v="586.65200000000004"/>
    <n v="328"/>
    <n v="258.65200000000004"/>
    <n v="0.4408951132869231"/>
    <n v="1"/>
    <s v="on time"/>
    <s v="May"/>
    <s v="Q2"/>
  </r>
  <r>
    <s v="ORD-01455"/>
    <x v="83"/>
    <d v="2024-05-14T00:00:00"/>
    <s v="CUST-0084"/>
    <s v="Iris Patel"/>
    <x v="2"/>
    <x v="3"/>
    <s v="NC"/>
    <s v="Charlotte"/>
    <x v="2"/>
    <x v="5"/>
    <s v="FUR-DSK-101"/>
    <s v="Standing Desk 48"/>
    <x v="1"/>
    <x v="1"/>
    <n v="3"/>
    <n v="320.70999999999998"/>
    <n v="0.08"/>
    <n v="25.45"/>
    <s v="Low"/>
    <s v="No"/>
    <m/>
    <s v="Valid"/>
    <x v="3"/>
    <d v="2022-12-02T00:00:00"/>
    <n v="184"/>
    <n v="962.12999999999988"/>
    <n v="25.6568"/>
    <n v="936.47319999999991"/>
    <n v="552"/>
    <n v="384.47319999999991"/>
    <n v="0.4105544077502698"/>
    <n v="3"/>
    <s v="on time"/>
    <s v="May"/>
    <s v="Q2"/>
  </r>
  <r>
    <s v="ORD-01194"/>
    <x v="84"/>
    <d v="2024-05-13T00:00:00"/>
    <s v="CUST-0084"/>
    <s v="Iris Patel"/>
    <x v="2"/>
    <x v="3"/>
    <s v="NC"/>
    <s v="Charlotte"/>
    <x v="2"/>
    <x v="4"/>
    <s v="APP-KIT-102"/>
    <s v="Mini Refrigerator"/>
    <x v="0"/>
    <x v="0"/>
    <n v="5"/>
    <n v="241.62"/>
    <n v="0.1"/>
    <n v="15.8"/>
    <s v="Low"/>
    <s v="No"/>
    <n v="5"/>
    <s v="Valid"/>
    <x v="3"/>
    <d v="2022-12-02T00:00:00"/>
    <n v="125"/>
    <n v="1208.0999999999999"/>
    <n v="24.162000000000003"/>
    <n v="1183.9379999999999"/>
    <n v="625"/>
    <n v="558.93799999999987"/>
    <n v="0.47210073500470456"/>
    <n v="1"/>
    <s v="on time"/>
    <s v="May"/>
    <s v="Q2"/>
  </r>
  <r>
    <s v="ORD-01414"/>
    <x v="84"/>
    <d v="2024-05-18T00:00:00"/>
    <s v="CUST-0135"/>
    <s v="Nia Miller"/>
    <x v="0"/>
    <x v="1"/>
    <s v="CA"/>
    <s v="San Diego"/>
    <x v="0"/>
    <x v="5"/>
    <s v="TEC-ACC-302"/>
    <s v="USB-C Docking Station"/>
    <x v="3"/>
    <x v="10"/>
    <n v="2"/>
    <n v="146.06"/>
    <n v="0.09"/>
    <n v="8.23"/>
    <s v="High"/>
    <s v="No"/>
    <n v="2"/>
    <s v="Valid"/>
    <x v="2"/>
    <d v="2022-05-18T00:00:00"/>
    <n v="72"/>
    <n v="292.12"/>
    <n v="13.1454"/>
    <n v="278.97460000000001"/>
    <n v="144"/>
    <n v="134.97460000000001"/>
    <n v="0.48382397537266836"/>
    <n v="6"/>
    <s v="on time"/>
    <s v="May"/>
    <s v="Q2"/>
  </r>
  <r>
    <s v="ORD-01570"/>
    <x v="85"/>
    <d v="2024-05-15T00:00:00"/>
    <s v="CUST-0048"/>
    <s v="Drew Clark"/>
    <x v="1"/>
    <x v="0"/>
    <s v="NY"/>
    <s v="New York"/>
    <x v="3"/>
    <x v="4"/>
    <s v="APP-KIT-102"/>
    <s v="Mini Refrigerator"/>
    <x v="0"/>
    <x v="0"/>
    <n v="3"/>
    <n v="225.25"/>
    <n v="0.06"/>
    <n v="5.59"/>
    <s v="Low"/>
    <s v="No"/>
    <n v="4"/>
    <s v="Valid"/>
    <x v="2"/>
    <d v="2025-08-10T00:00:00"/>
    <n v="125"/>
    <n v="675.75"/>
    <n v="13.514999999999999"/>
    <n v="662.23500000000001"/>
    <n v="375"/>
    <n v="287.23500000000001"/>
    <n v="0.43373575845432516"/>
    <n v="2"/>
    <s v="on time"/>
    <s v="May"/>
    <s v="Q2"/>
  </r>
  <r>
    <s v="ORD-01463"/>
    <x v="86"/>
    <d v="2024-05-23T00:00:00"/>
    <s v="CUST-0112"/>
    <s v="Priya Walker"/>
    <x v="0"/>
    <x v="0"/>
    <s v="VA"/>
    <s v="Richmond"/>
    <x v="1"/>
    <x v="1"/>
    <s v="FUR-CHR-202"/>
    <s v="Mesh Conference Chair"/>
    <x v="1"/>
    <x v="11"/>
    <n v="3"/>
    <n v="149.58000000000001"/>
    <n v="0.05"/>
    <n v="22.34"/>
    <s v="Low"/>
    <s v="No"/>
    <n v="3"/>
    <s v="Valid"/>
    <x v="1"/>
    <d v="2022-09-16T00:00:00"/>
    <n v="82"/>
    <n v="448.74"/>
    <n v="7.479000000000001"/>
    <n v="441.26100000000002"/>
    <n v="246"/>
    <n v="195.26100000000002"/>
    <n v="0.44250681569411304"/>
    <n v="6"/>
    <s v="on time"/>
    <s v="May"/>
    <s v="Q2"/>
  </r>
  <r>
    <s v="ORD-01494"/>
    <x v="87"/>
    <d v="2024-05-24T00:00:00"/>
    <s v="CUST-0164"/>
    <s v="Cameron Chen"/>
    <x v="2"/>
    <x v="3"/>
    <s v="Missing state"/>
    <s v="New Orleans"/>
    <x v="3"/>
    <x v="5"/>
    <s v="TEC-LAP-101"/>
    <s v="ApexBook 14 Laptop"/>
    <x v="3"/>
    <x v="7"/>
    <n v="1"/>
    <n v="918.49"/>
    <n v="0.04"/>
    <n v="20.12"/>
    <s v="Low"/>
    <s v="No"/>
    <m/>
    <s v="Invalid state"/>
    <x v="3"/>
    <d v="2025-09-02T00:00:00"/>
    <n v="585"/>
    <n v="918.49"/>
    <n v="36.739600000000003"/>
    <n v="881.75040000000001"/>
    <n v="585"/>
    <n v="296.75040000000001"/>
    <n v="0.33654694117518974"/>
    <n v="6"/>
    <s v="on time"/>
    <s v="May"/>
    <s v="Q2"/>
  </r>
  <r>
    <s v="ORD-01513"/>
    <x v="87"/>
    <d v="2024-05-27T00:00:00"/>
    <s v="CUST-0132"/>
    <s v="Priya Young"/>
    <x v="0"/>
    <x v="0"/>
    <s v="NJ"/>
    <s v="Newark"/>
    <x v="1"/>
    <x v="3"/>
    <s v="TEC-LAP-101"/>
    <s v="ApexBook 14 Laptop"/>
    <x v="3"/>
    <x v="7"/>
    <n v="4"/>
    <n v="925.76"/>
    <n v="0.03"/>
    <n v="13.03"/>
    <s v="Low"/>
    <s v="No"/>
    <n v="5"/>
    <s v="Valid"/>
    <x v="0"/>
    <d v="2021-03-16T00:00:00"/>
    <n v="585"/>
    <n v="3703.04"/>
    <n v="27.7728"/>
    <n v="3675.2671999999998"/>
    <n v="2340"/>
    <n v="1335.2671999999998"/>
    <n v="0.36331159813359959"/>
    <n v="9"/>
    <s v="on time"/>
    <s v="May"/>
    <s v="Q2"/>
  </r>
  <r>
    <s v="ORD-01009"/>
    <x v="88"/>
    <d v="2024-05-30T00:00:00"/>
    <s v="CUST-0151"/>
    <s v="Owen Johnson"/>
    <x v="1"/>
    <x v="0"/>
    <s v="PA"/>
    <s v="Philadelphia"/>
    <x v="2"/>
    <x v="4"/>
    <s v="TEC-LAP-102"/>
    <s v="ApexBook Pro 16 Laptop"/>
    <x v="3"/>
    <x v="7"/>
    <n v="1"/>
    <n v="1457.04"/>
    <n v="0.03"/>
    <n v="9.86"/>
    <s v="Medium"/>
    <s v="No"/>
    <n v="3"/>
    <s v="Valid"/>
    <x v="2"/>
    <d v="2024-05-07T00:00:00"/>
    <n v="885"/>
    <n v="1457.04"/>
    <n v="43.711199999999998"/>
    <n v="1413.3288"/>
    <n v="885"/>
    <n v="528.3288"/>
    <n v="0.37381874621107275"/>
    <n v="10"/>
    <s v="on time"/>
    <s v="May"/>
    <s v="Q2"/>
  </r>
  <r>
    <s v="ORD-01539"/>
    <x v="88"/>
    <d v="2024-05-26T00:00:00"/>
    <s v="CUST-0026"/>
    <s v="Casey Brown"/>
    <x v="0"/>
    <x v="1"/>
    <s v="OR"/>
    <s v="Portland"/>
    <x v="2"/>
    <x v="0"/>
    <s v="FUR-DSK-102"/>
    <s v="Executive Desk 60"/>
    <x v="1"/>
    <x v="1"/>
    <n v="2"/>
    <n v="462.87"/>
    <n v="0.08"/>
    <n v="23.79"/>
    <s v="Low"/>
    <s v="No"/>
    <n v="4"/>
    <s v="Valid"/>
    <x v="3"/>
    <d v="2022-07-13T00:00:00"/>
    <n v="265"/>
    <n v="925.74"/>
    <n v="37.029600000000002"/>
    <n v="888.71040000000005"/>
    <n v="530"/>
    <n v="358.71040000000005"/>
    <n v="0.40363024895398997"/>
    <n v="6"/>
    <s v="on time"/>
    <s v="May"/>
    <s v="Q2"/>
  </r>
  <r>
    <s v="ORD-01578"/>
    <x v="88"/>
    <d v="2024-05-29T00:00:00"/>
    <s v="CUST-0017"/>
    <s v="Cameron Chen"/>
    <x v="0"/>
    <x v="3"/>
    <s v="LA"/>
    <s v="New Orleans"/>
    <x v="2"/>
    <x v="5"/>
    <s v="OFF-WRT-301"/>
    <s v="Gel Pen Variety Pack"/>
    <x v="2"/>
    <x v="8"/>
    <n v="8"/>
    <n v="14.99"/>
    <n v="0.11"/>
    <n v="7.61"/>
    <s v="Low"/>
    <s v="No"/>
    <m/>
    <s v="Valid"/>
    <x v="0"/>
    <d v="2022-04-02T00:00:00"/>
    <n v="6"/>
    <n v="119.92"/>
    <n v="1.6489"/>
    <n v="118.2711"/>
    <n v="48"/>
    <n v="70.271100000000004"/>
    <n v="0.59415275582961524"/>
    <n v="9"/>
    <s v="on time"/>
    <s v="May"/>
    <s v="Q2"/>
  </r>
  <r>
    <s v="ORD-01694"/>
    <x v="89"/>
    <d v="2024-05-27T00:00:00"/>
    <s v="CUST-0006"/>
    <s v="Priya Wilson"/>
    <x v="0"/>
    <x v="2"/>
    <s v="IL"/>
    <s v="Chicago"/>
    <x v="3"/>
    <x v="1"/>
    <s v="TEC-MON-202"/>
    <s v="ClearView Ultrawide Monitor"/>
    <x v="3"/>
    <x v="4"/>
    <n v="4"/>
    <n v="528.12"/>
    <n v="0.09"/>
    <n v="6.93"/>
    <s v="Critical"/>
    <s v="No"/>
    <n v="4"/>
    <s v="Valid"/>
    <x v="1"/>
    <d v="2025-12-22T00:00:00"/>
    <n v="310"/>
    <n v="2112.48"/>
    <n v="47.530799999999999"/>
    <n v="2064.9492"/>
    <n v="1240"/>
    <n v="824.94920000000002"/>
    <n v="0.39950096593175272"/>
    <n v="6"/>
    <s v="on time"/>
    <s v="May"/>
    <s v="Q2"/>
  </r>
  <r>
    <s v="ORD-01415"/>
    <x v="90"/>
    <d v="2024-06-01T00:00:00"/>
    <s v="CUST-0088"/>
    <s v="Noah Chen"/>
    <x v="2"/>
    <x v="3"/>
    <s v="NC"/>
    <s v="Charlotte"/>
    <x v="3"/>
    <x v="2"/>
    <s v="OFF-PAP-102"/>
    <s v="Recycled Notebook Pack"/>
    <x v="2"/>
    <x v="12"/>
    <n v="10"/>
    <n v="21.52"/>
    <n v="0.02"/>
    <n v="9.2799999999999994"/>
    <s v="Critical"/>
    <s v="No"/>
    <n v="1"/>
    <s v="Valid"/>
    <x v="3"/>
    <d v="2021-08-06T00:00:00"/>
    <n v="10"/>
    <n v="215.2"/>
    <n v="0.4304"/>
    <n v="214.7696"/>
    <n v="100"/>
    <n v="114.7696"/>
    <n v="0.53438475463939028"/>
    <n v="10"/>
    <s v="on time"/>
    <s v="May"/>
    <s v="Q2"/>
  </r>
  <r>
    <s v="ORD-01619"/>
    <x v="91"/>
    <d v="2024-06-02T00:00:00"/>
    <s v="CUST-0061"/>
    <s v="Maya Miller"/>
    <x v="0"/>
    <x v="3"/>
    <s v="FL"/>
    <s v="Miami"/>
    <x v="2"/>
    <x v="2"/>
    <s v="FUR-DSK-101"/>
    <s v="Standing Desk 48"/>
    <x v="1"/>
    <x v="1"/>
    <n v="2"/>
    <n v="327.92"/>
    <n v="7.0000000000000007E-2"/>
    <n v="21.78"/>
    <s v="Critical"/>
    <s v="No"/>
    <n v="5"/>
    <s v="Valid"/>
    <x v="0"/>
    <d v="2021-12-10T00:00:00"/>
    <n v="184"/>
    <n v="655.84"/>
    <n v="22.954400000000003"/>
    <n v="632.88560000000007"/>
    <n v="368"/>
    <n v="264.88560000000007"/>
    <n v="0.41853630419146848"/>
    <n v="10"/>
    <s v="on time"/>
    <s v="May"/>
    <s v="Q2"/>
  </r>
  <r>
    <s v="ORD-01085"/>
    <x v="92"/>
    <d v="2024-05-29T00:00:00"/>
    <s v="CUST-0092"/>
    <s v="Alex Brown"/>
    <x v="1"/>
    <x v="3"/>
    <s v="FL"/>
    <s v="Miami"/>
    <x v="2"/>
    <x v="1"/>
    <s v="APP-CLN-201"/>
    <s v="Air Purifier"/>
    <x v="3"/>
    <x v="3"/>
    <n v="8"/>
    <n v="175.73"/>
    <n v="0.04"/>
    <n v="12.39"/>
    <s v="High"/>
    <s v="No"/>
    <n v="3"/>
    <s v="Valid"/>
    <x v="2"/>
    <d v="2025-04-04T00:00:00"/>
    <n v="82"/>
    <n v="1405.84"/>
    <n v="7.0291999999999994"/>
    <n v="1398.8108"/>
    <n v="656"/>
    <n v="742.81079999999997"/>
    <n v="0.53103021509413562"/>
    <n v="5"/>
    <s v="on time"/>
    <s v="May"/>
    <s v="Q2"/>
  </r>
  <r>
    <s v="ORD-01191"/>
    <x v="93"/>
    <d v="2024-06-02T00:00:00"/>
    <s v="CUST-0067"/>
    <s v="Priya Miller"/>
    <x v="1"/>
    <x v="3"/>
    <s v="FL"/>
    <s v="Miami"/>
    <x v="1"/>
    <x v="2"/>
    <s v="FUR-DSK-101"/>
    <s v="Standing Desk 48"/>
    <x v="1"/>
    <x v="1"/>
    <n v="3"/>
    <n v="318.55"/>
    <n v="0.31"/>
    <n v="20.13"/>
    <s v="Critical"/>
    <s v="No"/>
    <m/>
    <s v="Valid"/>
    <x v="2"/>
    <d v="2023-12-14T00:00:00"/>
    <n v="184"/>
    <n v="955.65000000000009"/>
    <n v="98.750500000000002"/>
    <n v="856.8995000000001"/>
    <n v="552"/>
    <n v="304.8995000000001"/>
    <n v="0.35581710573993808"/>
    <n v="7"/>
    <s v="on time"/>
    <s v="May"/>
    <s v="Q2"/>
  </r>
  <r>
    <s v="ORD-01514"/>
    <x v="94"/>
    <d v="2024-06-02T00:00:00"/>
    <s v="CUST-0107"/>
    <s v="Jordan Clark"/>
    <x v="2"/>
    <x v="3"/>
    <s v="NC"/>
    <s v="Charlotte"/>
    <x v="3"/>
    <x v="5"/>
    <s v="OFF-SUP-402"/>
    <s v="Label Maker"/>
    <x v="2"/>
    <x v="2"/>
    <n v="9"/>
    <n v="75.08"/>
    <n v="0.04"/>
    <n v="5.24"/>
    <s v="Critical"/>
    <s v="No"/>
    <n v="1"/>
    <s v="Valid"/>
    <x v="3"/>
    <d v="2025-09-19T00:00:00"/>
    <n v="36"/>
    <n v="675.72"/>
    <n v="3.0032000000000001"/>
    <n v="672.71680000000003"/>
    <n v="324"/>
    <n v="348.71680000000003"/>
    <n v="0.51837088058451941"/>
    <n v="4"/>
    <s v="on time"/>
    <s v="May"/>
    <s v="Q2"/>
  </r>
  <r>
    <s v="ORD-01137"/>
    <x v="95"/>
    <d v="2024-05-31T00:00:00"/>
    <s v="CUST-0130"/>
    <s v="Iris Allen"/>
    <x v="1"/>
    <x v="1"/>
    <s v="OR"/>
    <s v="Portland"/>
    <x v="3"/>
    <x v="4"/>
    <s v="OFF-WRT-301"/>
    <s v="Gel Pen Variety Pack"/>
    <x v="2"/>
    <x v="8"/>
    <n v="6"/>
    <n v="14.72"/>
    <n v="0.35"/>
    <n v="6.59"/>
    <s v="Critical"/>
    <s v="No"/>
    <n v="4"/>
    <s v="Valid"/>
    <x v="3"/>
    <d v="2021-12-13T00:00:00"/>
    <n v="6"/>
    <n v="88.320000000000007"/>
    <n v="5.1520000000000001"/>
    <n v="83.168000000000006"/>
    <n v="36"/>
    <n v="47.168000000000006"/>
    <n v="0.56714120815698343"/>
    <n v="1"/>
    <s v="on time"/>
    <s v="May"/>
    <s v="Q2"/>
  </r>
  <r>
    <s v="ORD-01017"/>
    <x v="96"/>
    <d v="2024-06-10T00:00:00"/>
    <s v="CUST-0119"/>
    <s v="Quinn Scott"/>
    <x v="2"/>
    <x v="0"/>
    <s v="VA"/>
    <s v="Richmond"/>
    <x v="2"/>
    <x v="0"/>
    <s v="TEC-ACC-302"/>
    <s v="USB-C Docking Station"/>
    <x v="3"/>
    <x v="10"/>
    <n v="1"/>
    <n v="146.52000000000001"/>
    <n v="7.0000000000000007E-2"/>
    <n v="7.66"/>
    <s v="Critical"/>
    <s v="No"/>
    <n v="4"/>
    <s v="Valid"/>
    <x v="3"/>
    <d v="2025-01-23T00:00:00"/>
    <n v="72"/>
    <n v="146.52000000000001"/>
    <n v="10.256400000000001"/>
    <n v="136.2636"/>
    <n v="72"/>
    <n v="64.263599999999997"/>
    <n v="0.4716123748381813"/>
    <n v="6"/>
    <s v="on time"/>
    <s v="June"/>
    <s v="Q2"/>
  </r>
  <r>
    <s v="ORD-01587"/>
    <x v="96"/>
    <d v="2024-06-10T00:00:00"/>
    <s v="CUST-0026"/>
    <s v="Casey Brown"/>
    <x v="0"/>
    <x v="1"/>
    <s v="OR"/>
    <s v="Portland"/>
    <x v="3"/>
    <x v="2"/>
    <s v="FUR-CHR-202"/>
    <s v="Mesh Conference Chair"/>
    <x v="1"/>
    <x v="11"/>
    <n v="3"/>
    <n v="140.12"/>
    <n v="0.08"/>
    <n v="29.85"/>
    <s v="Medium"/>
    <s v="No"/>
    <n v="3"/>
    <s v="Valid"/>
    <x v="3"/>
    <d v="2022-07-13T00:00:00"/>
    <n v="82"/>
    <n v="420.36"/>
    <n v="11.2096"/>
    <n v="409.15039999999999"/>
    <n v="246"/>
    <n v="163.15039999999999"/>
    <n v="0.39875410118137483"/>
    <n v="6"/>
    <s v="on time"/>
    <s v="June"/>
    <s v="Q2"/>
  </r>
  <r>
    <s v="ORD-01567"/>
    <x v="97"/>
    <d v="2024-06-11T00:00:00"/>
    <s v="CUST-0111"/>
    <s v="Avery Wright"/>
    <x v="0"/>
    <x v="2"/>
    <s v="MN"/>
    <s v="Minneapolis"/>
    <x v="2"/>
    <x v="3"/>
    <s v="APP-CLN-202"/>
    <s v="Robot Vacuum"/>
    <x v="0"/>
    <x v="3"/>
    <n v="1"/>
    <n v="327.08"/>
    <n v="0.02"/>
    <n v="7.49"/>
    <s v="Critical"/>
    <s v="No"/>
    <n v="3"/>
    <s v="Valid"/>
    <x v="3"/>
    <d v="2025-09-02T00:00:00"/>
    <n v="165"/>
    <n v="327.08"/>
    <n v="6.5415999999999999"/>
    <n v="320.53839999999997"/>
    <n v="165"/>
    <n v="155.53839999999997"/>
    <n v="0.4852410818797373"/>
    <n v="5"/>
    <s v="on time"/>
    <s v="June"/>
    <s v="Q2"/>
  </r>
  <r>
    <s v="ORD-01283"/>
    <x v="98"/>
    <d v="2024-06-17T00:00:00"/>
    <s v="CUST-0045"/>
    <s v="Jamie Brown"/>
    <x v="1"/>
    <x v="0"/>
    <s v="MA"/>
    <s v="Boston"/>
    <x v="1"/>
    <x v="0"/>
    <s v="TEC-NET-402"/>
    <s v="8-Port Network Switch"/>
    <x v="3"/>
    <x v="5"/>
    <n v="2"/>
    <n v="86.24"/>
    <n v="0.24"/>
    <n v="14.59"/>
    <s v="High"/>
    <s v="Yes"/>
    <n v="5"/>
    <s v="Valid"/>
    <x v="1"/>
    <d v="2022-06-25T00:00:00"/>
    <n v="44"/>
    <n v="172.48"/>
    <n v="20.697599999999998"/>
    <n v="151.7824"/>
    <n v="88"/>
    <n v="63.782399999999996"/>
    <n v="0.42022263450834879"/>
    <n v="9"/>
    <s v="on time"/>
    <s v="June"/>
    <s v="Q2"/>
  </r>
  <r>
    <s v="ORD-01122"/>
    <x v="99"/>
    <d v="2024-06-21T00:00:00"/>
    <s v="CUST-0046"/>
    <s v="Skyler Miller"/>
    <x v="1"/>
    <x v="2"/>
    <s v="MN"/>
    <s v="Minneapolis"/>
    <x v="0"/>
    <x v="4"/>
    <s v="TEC-MON-201"/>
    <s v="ClearView 27 Monitor"/>
    <x v="3"/>
    <x v="4"/>
    <n v="4"/>
    <n v="298.3"/>
    <n v="0.1"/>
    <n v="12.09"/>
    <s v="Medium"/>
    <s v="No"/>
    <n v="3"/>
    <s v="Valid"/>
    <x v="0"/>
    <d v="2025-01-17T00:00:00"/>
    <n v="168"/>
    <n v="1193.2"/>
    <n v="29.830000000000002"/>
    <n v="1163.3700000000001"/>
    <n v="672"/>
    <n v="491.37000000000012"/>
    <n v="0.42236777637381062"/>
    <n v="10"/>
    <s v="on time"/>
    <s v="June"/>
    <s v="Q2"/>
  </r>
  <r>
    <s v="ORD-01241"/>
    <x v="100"/>
    <d v="2024-06-21T00:00:00"/>
    <s v="CUST-0123"/>
    <s v="Taylor Wright"/>
    <x v="1"/>
    <x v="1"/>
    <s v="CA"/>
    <s v="San Diego"/>
    <x v="3"/>
    <x v="4"/>
    <s v="TEC-LAP-101"/>
    <s v="ApexBook 14 Laptop"/>
    <x v="3"/>
    <x v="7"/>
    <n v="2"/>
    <n v="935.32"/>
    <n v="0.06"/>
    <n v="6.02"/>
    <s v="Low"/>
    <s v="Yes"/>
    <n v="1"/>
    <s v="Valid"/>
    <x v="0"/>
    <d v="2024-07-22T00:00:00"/>
    <n v="585"/>
    <n v="1870.64"/>
    <n v="56.119199999999999"/>
    <n v="1814.5208"/>
    <n v="1170"/>
    <n v="644.52080000000001"/>
    <n v="0.35520165985421603"/>
    <n v="7"/>
    <s v="on time"/>
    <s v="June"/>
    <s v="Q2"/>
  </r>
  <r>
    <s v="ORD-01364"/>
    <x v="100"/>
    <d v="2024-06-21T00:00:00"/>
    <s v="CUST-0139"/>
    <s v="Riley Clark"/>
    <x v="2"/>
    <x v="3"/>
    <s v="GA"/>
    <s v="Atlanta"/>
    <x v="0"/>
    <x v="5"/>
    <s v="TEC-NET-402"/>
    <s v="8-Port Network Switch"/>
    <x v="3"/>
    <x v="5"/>
    <n v="2"/>
    <n v="88.1"/>
    <n v="0.26"/>
    <n v="8.83"/>
    <s v="Critical"/>
    <s v="No"/>
    <m/>
    <s v="Valid"/>
    <x v="1"/>
    <d v="2023-09-02T00:00:00"/>
    <n v="44"/>
    <n v="176.2"/>
    <n v="22.905999999999999"/>
    <n v="153.29399999999998"/>
    <n v="88"/>
    <n v="65.293999999999983"/>
    <n v="0.42593969757459516"/>
    <n v="7"/>
    <s v="on time"/>
    <s v="June"/>
    <s v="Q2"/>
  </r>
  <r>
    <s v="ORD-01300"/>
    <x v="101"/>
    <d v="2024-06-24T00:00:00"/>
    <s v="CUST-0006"/>
    <s v="Priya Wilson"/>
    <x v="0"/>
    <x v="2"/>
    <s v="IL"/>
    <s v="Chicago"/>
    <x v="2"/>
    <x v="2"/>
    <s v="TEC-ACC-302"/>
    <s v="USB-C Docking Station"/>
    <x v="3"/>
    <x v="10"/>
    <n v="1"/>
    <n v="145.77000000000001"/>
    <n v="0"/>
    <n v="18.14"/>
    <s v="Low"/>
    <s v="No"/>
    <n v="4"/>
    <s v="Valid"/>
    <x v="1"/>
    <d v="2025-12-22T00:00:00"/>
    <n v="72"/>
    <n v="145.77000000000001"/>
    <n v="0"/>
    <n v="145.77000000000001"/>
    <n v="72"/>
    <n v="73.77000000000001"/>
    <n v="0.50607120806750361"/>
    <n v="8"/>
    <s v="on time"/>
    <s v="June"/>
    <s v="Q2"/>
  </r>
  <r>
    <s v="ORD-01700"/>
    <x v="102"/>
    <d v="2024-06-22T00:00:00"/>
    <s v="CUST-0055"/>
    <s v="Jamie Miller"/>
    <x v="2"/>
    <x v="0"/>
    <s v="NY"/>
    <s v="New York"/>
    <x v="1"/>
    <x v="5"/>
    <s v="APP-CLN-201"/>
    <s v="Air Purifier"/>
    <x v="0"/>
    <x v="3"/>
    <n v="1"/>
    <n v="169.43"/>
    <n v="0.03"/>
    <n v="7.17"/>
    <s v="Low"/>
    <s v="No"/>
    <m/>
    <s v="Valid"/>
    <x v="1"/>
    <d v="2024-08-08T00:00:00"/>
    <n v="82"/>
    <n v="169.43"/>
    <n v="5.0829000000000004"/>
    <n v="164.34710000000001"/>
    <n v="82"/>
    <n v="82.347100000000012"/>
    <n v="0.50105599672887446"/>
    <n v="5"/>
    <s v="on time"/>
    <s v="June"/>
    <s v="Q2"/>
  </r>
  <r>
    <s v="ORD-01039"/>
    <x v="103"/>
    <d v="2024-06-28T00:00:00"/>
    <s v="CUST-0060"/>
    <s v="Owen Johnson"/>
    <x v="2"/>
    <x v="1"/>
    <s v="OR"/>
    <s v="Portland"/>
    <x v="0"/>
    <x v="0"/>
    <s v="TEC-MON-201"/>
    <s v="ClearView 27 Monitor"/>
    <x v="3"/>
    <x v="4"/>
    <n v="4"/>
    <n v="272.14"/>
    <n v="0.11"/>
    <n v="7.75"/>
    <s v="Critical"/>
    <s v="No"/>
    <n v="4"/>
    <s v="Valid"/>
    <x v="1"/>
    <d v="2022-12-08T00:00:00"/>
    <n v="168"/>
    <n v="1088.56"/>
    <n v="29.935399999999998"/>
    <n v="1058.6245999999999"/>
    <n v="672"/>
    <n v="386.62459999999987"/>
    <n v="0.36521407116365889"/>
    <n v="8"/>
    <s v="on time"/>
    <s v="June"/>
    <s v="Q2"/>
  </r>
  <r>
    <s v="ORD-01418"/>
    <x v="103"/>
    <d v="2024-06-30T00:00:00"/>
    <s v="CUST-0137"/>
    <s v="Kai Davis"/>
    <x v="0"/>
    <x v="0"/>
    <s v="PA"/>
    <s v="Philadelphia"/>
    <x v="1"/>
    <x v="0"/>
    <s v="FUR-STO-302"/>
    <s v="Modular Bookcase"/>
    <x v="1"/>
    <x v="9"/>
    <n v="1"/>
    <n v="222.2"/>
    <n v="0.03"/>
    <n v="22.65"/>
    <s v="Medium"/>
    <s v="No"/>
    <n v="3"/>
    <s v="Valid"/>
    <x v="2"/>
    <d v="2022-12-21T00:00:00"/>
    <n v="118"/>
    <n v="222.2"/>
    <n v="6.6659999999999995"/>
    <n v="215.53399999999999"/>
    <n v="118"/>
    <n v="97.533999999999992"/>
    <n v="0.45252257184481331"/>
    <n v="10"/>
    <s v="on time"/>
    <s v="June"/>
    <s v="Q2"/>
  </r>
  <r>
    <s v="ORD-01031"/>
    <x v="104"/>
    <d v="2024-06-23T00:00:00"/>
    <s v="CUST-0004"/>
    <s v="Riley Smith"/>
    <x v="1"/>
    <x v="0"/>
    <s v="VA"/>
    <s v="Richmond"/>
    <x v="3"/>
    <x v="4"/>
    <s v="OFF-SUP-402"/>
    <s v="Label Maker"/>
    <x v="2"/>
    <x v="2"/>
    <n v="10"/>
    <n v="74.48"/>
    <n v="0.05"/>
    <n v="5.7"/>
    <s v="High"/>
    <s v="No"/>
    <n v="5"/>
    <s v="Valid"/>
    <x v="0"/>
    <d v="2022-06-24T00:00:00"/>
    <n v="36"/>
    <n v="744.80000000000007"/>
    <n v="3.7240000000000002"/>
    <n v="741.07600000000002"/>
    <n v="360"/>
    <n v="381.07600000000002"/>
    <n v="0.51421986408951315"/>
    <n v="2"/>
    <s v="on time"/>
    <s v="June"/>
    <s v="Q2"/>
  </r>
  <r>
    <s v="ORD-01713"/>
    <x v="105"/>
    <d v="2024-06-25T00:00:00"/>
    <s v="CUST-0047"/>
    <s v="Reese Miller"/>
    <x v="0"/>
    <x v="3"/>
    <s v="FL"/>
    <s v="Miami"/>
    <x v="2"/>
    <x v="1"/>
    <s v="FUR-DSK-101"/>
    <s v="Standing Desk 48"/>
    <x v="1"/>
    <x v="1"/>
    <n v="2"/>
    <n v="346.12"/>
    <n v="0.25"/>
    <n v="20.72"/>
    <s v="Critical"/>
    <s v="No"/>
    <m/>
    <s v="Valid"/>
    <x v="1"/>
    <d v="2021-07-19T00:00:00"/>
    <n v="184"/>
    <n v="692.24"/>
    <n v="86.53"/>
    <n v="605.71"/>
    <n v="368"/>
    <n v="237.71000000000004"/>
    <n v="0.39244853147545861"/>
    <n v="3"/>
    <s v="on time"/>
    <s v="June"/>
    <s v="Q2"/>
  </r>
  <r>
    <s v="ORD-01413"/>
    <x v="106"/>
    <d v="2024-06-27T00:00:00"/>
    <s v="CUST-0126"/>
    <s v="Iris Garcia"/>
    <x v="2"/>
    <x v="0"/>
    <s v="PA"/>
    <s v="Philadelphia"/>
    <x v="0"/>
    <x v="2"/>
    <s v="OFF-SUP-401"/>
    <s v="Desk Organizer Kit"/>
    <x v="2"/>
    <x v="2"/>
    <n v="1"/>
    <n v="28"/>
    <n v="0.04"/>
    <n v="12.53"/>
    <s v="Critical"/>
    <s v="No"/>
    <n v="3"/>
    <s v="Valid"/>
    <x v="3"/>
    <d v="2021-01-03T00:00:00"/>
    <n v="12"/>
    <n v="28"/>
    <n v="1.1200000000000001"/>
    <n v="26.88"/>
    <n v="12"/>
    <n v="14.879999999999999"/>
    <n v="0.5535714285714286"/>
    <n v="3"/>
    <s v="on time"/>
    <s v="June"/>
    <s v="Q2"/>
  </r>
  <r>
    <s v="ORD-01526"/>
    <x v="106"/>
    <d v="2024-07-01T00:00:00"/>
    <s v="CUST-0040"/>
    <s v="Drew Wilson"/>
    <x v="2"/>
    <x v="0"/>
    <s v="NJ"/>
    <s v="Newark"/>
    <x v="1"/>
    <x v="5"/>
    <s v="FUR-DSK-102"/>
    <s v="Executive Desk 60"/>
    <x v="1"/>
    <x v="1"/>
    <n v="3"/>
    <n v="471.37"/>
    <n v="0.01"/>
    <n v="23.78"/>
    <s v="Low"/>
    <s v="No"/>
    <n v="2"/>
    <s v="Valid"/>
    <x v="1"/>
    <d v="2021-05-25T00:00:00"/>
    <n v="265"/>
    <n v="1414.1100000000001"/>
    <n v="4.7137000000000002"/>
    <n v="1409.3963000000001"/>
    <n v="795"/>
    <n v="614.39630000000011"/>
    <n v="0.43592870223939145"/>
    <n v="7"/>
    <s v="on time"/>
    <s v="June"/>
    <s v="Q2"/>
  </r>
  <r>
    <s v="ORD-01472"/>
    <x v="107"/>
    <d v="2024-07-03T00:00:00"/>
    <s v="CUST-0121"/>
    <s v="Lena Chen"/>
    <x v="0"/>
    <x v="3"/>
    <s v="NC"/>
    <s v="Charlotte"/>
    <x v="1"/>
    <x v="2"/>
    <s v="TEC-LAP-102"/>
    <s v="ApexBook Pro 16 Laptop"/>
    <x v="3"/>
    <x v="7"/>
    <n v="2"/>
    <n v="1472.21"/>
    <n v="0.32"/>
    <n v="12.66"/>
    <s v="Low"/>
    <s v="No"/>
    <n v="5"/>
    <s v="Valid"/>
    <x v="0"/>
    <d v="2025-03-09T00:00:00"/>
    <n v="885"/>
    <n v="2944.42"/>
    <n v="471.10720000000003"/>
    <n v="2473.3128000000002"/>
    <n v="1770"/>
    <n v="703.31280000000015"/>
    <n v="0.28436063566242009"/>
    <n v="8"/>
    <s v="on time"/>
    <s v="June"/>
    <s v="Q2"/>
  </r>
  <r>
    <s v="ORD-01485"/>
    <x v="108"/>
    <d v="2024-07-07T00:00:00"/>
    <s v="CUST-0133"/>
    <s v="Iris Clark"/>
    <x v="0"/>
    <x v="2"/>
    <s v="OH"/>
    <s v="Columbus"/>
    <x v="1"/>
    <x v="0"/>
    <s v="APP-CLN-201"/>
    <s v="Air Purifier"/>
    <x v="0"/>
    <x v="3"/>
    <n v="5"/>
    <n v="169.15"/>
    <n v="0.04"/>
    <n v="16.12"/>
    <s v="Critical"/>
    <s v="No"/>
    <n v="5"/>
    <s v="Valid"/>
    <x v="3"/>
    <d v="2025-12-19T00:00:00"/>
    <n v="82"/>
    <n v="845.75"/>
    <n v="6.766"/>
    <n v="838.98400000000004"/>
    <n v="410"/>
    <n v="428.98400000000004"/>
    <n v="0.51131368417037748"/>
    <n v="10"/>
    <s v="on time"/>
    <s v="June"/>
    <s v="Q2"/>
  </r>
  <r>
    <s v="ORD-01695"/>
    <x v="108"/>
    <d v="2024-07-07T00:00:00"/>
    <s v="CUST-0104"/>
    <s v="Drew Walker"/>
    <x v="0"/>
    <x v="2"/>
    <s v="MN"/>
    <s v="Minneapolis"/>
    <x v="3"/>
    <x v="5"/>
    <s v="TEC-ACC-302"/>
    <s v="USB-C Docking Station"/>
    <x v="3"/>
    <x v="10"/>
    <n v="4"/>
    <n v="145.75"/>
    <n v="0.09"/>
    <n v="18.84"/>
    <s v="Critical"/>
    <s v="No"/>
    <n v="1"/>
    <s v="Valid"/>
    <x v="0"/>
    <d v="2023-11-06T00:00:00"/>
    <n v="72"/>
    <n v="583"/>
    <n v="13.1175"/>
    <n v="569.88250000000005"/>
    <n v="288"/>
    <n v="281.88250000000005"/>
    <n v="0.49463266550560864"/>
    <n v="10"/>
    <s v="on time"/>
    <s v="June"/>
    <s v="Q2"/>
  </r>
  <r>
    <s v="ORD-01115"/>
    <x v="109"/>
    <d v="2024-06-30T00:00:00"/>
    <s v="CUST-0132"/>
    <s v="Priya Young"/>
    <x v="0"/>
    <x v="0"/>
    <s v="NJ"/>
    <s v="Newark"/>
    <x v="1"/>
    <x v="0"/>
    <s v="APP-KIT-102"/>
    <s v="Mini Refrigerator"/>
    <x v="0"/>
    <x v="0"/>
    <n v="6"/>
    <n v="236.34"/>
    <n v="0.03"/>
    <n v="13.75"/>
    <s v="High"/>
    <s v="No"/>
    <n v="4"/>
    <s v="Valid"/>
    <x v="0"/>
    <d v="2021-03-16T00:00:00"/>
    <n v="125"/>
    <n v="1418.04"/>
    <n v="7.0902000000000003"/>
    <n v="1410.9497999999999"/>
    <n v="750"/>
    <n v="660.94979999999987"/>
    <n v="0.46844317211002118"/>
    <n v="2"/>
    <s v="on time"/>
    <s v="June"/>
    <s v="Q2"/>
  </r>
  <r>
    <s v="ORD-01306"/>
    <x v="109"/>
    <d v="2024-07-04T00:00:00"/>
    <s v="CUST-0163"/>
    <s v="Taylor Patel"/>
    <x v="2"/>
    <x v="2"/>
    <s v="MN"/>
    <s v="Minneapolis"/>
    <x v="0"/>
    <x v="1"/>
    <s v="TEC-LAP-101"/>
    <s v="ApexBook 14 Laptop"/>
    <x v="3"/>
    <x v="7"/>
    <n v="1"/>
    <n v="938.93"/>
    <n v="0.26"/>
    <n v="11.81"/>
    <s v="High"/>
    <s v="No"/>
    <n v="1"/>
    <s v="Valid"/>
    <x v="1"/>
    <d v="2024-08-06T00:00:00"/>
    <n v="585"/>
    <n v="938.93"/>
    <n v="244.12180000000001"/>
    <n v="694.80819999999994"/>
    <n v="585"/>
    <n v="109.80819999999994"/>
    <n v="0.15804102484685695"/>
    <n v="6"/>
    <s v="on time"/>
    <s v="June"/>
    <s v="Q2"/>
  </r>
  <r>
    <s v="ORD-01206"/>
    <x v="110"/>
    <d v="2024-07-09T00:00:00"/>
    <s v="CUST-0144"/>
    <s v="Iris Garcia"/>
    <x v="1"/>
    <x v="2"/>
    <s v="IL"/>
    <s v="Chicago"/>
    <x v="3"/>
    <x v="1"/>
    <s v="TEC-NET-401"/>
    <s v="Mesh Wi-Fi Router"/>
    <x v="3"/>
    <x v="5"/>
    <n v="3"/>
    <n v="197.98"/>
    <n v="0.24"/>
    <n v="5.98"/>
    <s v="Low"/>
    <s v="No"/>
    <n v="4"/>
    <s v="Valid"/>
    <x v="1"/>
    <d v="2023-06-25T00:00:00"/>
    <n v="96"/>
    <n v="593.93999999999994"/>
    <n v="47.515199999999993"/>
    <n v="546.4248"/>
    <n v="288"/>
    <n v="258.4248"/>
    <n v="0.47293753870614952"/>
    <n v="9"/>
    <s v="on time"/>
    <s v="June"/>
    <s v="Q2"/>
  </r>
  <r>
    <s v="ORD-01360"/>
    <x v="110"/>
    <d v="2024-07-07T00:00:00"/>
    <s v="CUST-0050"/>
    <s v="Riley Clark"/>
    <x v="0"/>
    <x v="3"/>
    <s v="GA"/>
    <s v="Atlanta"/>
    <x v="1"/>
    <x v="2"/>
    <s v="OFF-SUP-402"/>
    <s v="Label Maker"/>
    <x v="2"/>
    <x v="2"/>
    <n v="4"/>
    <n v="76.28"/>
    <n v="0.01"/>
    <n v="16.29"/>
    <s v="Medium"/>
    <s v="No"/>
    <n v="3"/>
    <s v="Valid"/>
    <x v="3"/>
    <d v="2021-06-19T00:00:00"/>
    <n v="36"/>
    <n v="305.12"/>
    <n v="0.76280000000000003"/>
    <n v="304.35719999999998"/>
    <n v="144"/>
    <n v="160.35719999999998"/>
    <n v="0.52687171520831444"/>
    <n v="7"/>
    <s v="on time"/>
    <s v="June"/>
    <s v="Q2"/>
  </r>
  <r>
    <s v="ORD-01424"/>
    <x v="111"/>
    <d v="2024-07-08T00:00:00"/>
    <s v="CUST-0118"/>
    <s v="Maya Garcia"/>
    <x v="0"/>
    <x v="1"/>
    <s v="CA"/>
    <s v="San Diego"/>
    <x v="2"/>
    <x v="1"/>
    <s v="FUR-CHR-201"/>
    <s v="ErgoFlex Office Chair"/>
    <x v="1"/>
    <x v="11"/>
    <n v="3"/>
    <n v="264.86"/>
    <n v="0.11"/>
    <n v="23.24"/>
    <s v="High"/>
    <s v="No"/>
    <n v="3"/>
    <s v="Valid"/>
    <x v="3"/>
    <d v="2021-02-09T00:00:00"/>
    <n v="146"/>
    <n v="794.58"/>
    <n v="29.134600000000002"/>
    <n v="765.44540000000006"/>
    <n v="438"/>
    <n v="327.44540000000006"/>
    <n v="0.42778413718339681"/>
    <n v="5"/>
    <s v="on time"/>
    <s v="July"/>
    <s v="Q3"/>
  </r>
  <r>
    <s v="ORD-01508"/>
    <x v="112"/>
    <d v="2024-07-12T00:00:00"/>
    <s v="CUST-0054"/>
    <s v="Maya Brown"/>
    <x v="2"/>
    <x v="0"/>
    <s v="NJ"/>
    <s v="Newark"/>
    <x v="3"/>
    <x v="0"/>
    <s v="FUR-STO-301"/>
    <s v="Two-Drawer File Cabinet"/>
    <x v="1"/>
    <x v="9"/>
    <n v="3"/>
    <n v="173.59"/>
    <n v="0.2"/>
    <n v="24.73"/>
    <s v="Low"/>
    <s v="Yes"/>
    <m/>
    <s v="Valid"/>
    <x v="0"/>
    <d v="2021-04-05T00:00:00"/>
    <n v="88"/>
    <n v="520.77"/>
    <n v="34.718000000000004"/>
    <n v="486.05199999999996"/>
    <n v="264"/>
    <n v="222.05199999999996"/>
    <n v="0.45684823846008243"/>
    <n v="8"/>
    <s v="on time"/>
    <s v="July"/>
    <s v="Q3"/>
  </r>
  <r>
    <s v="ORD-01048"/>
    <x v="113"/>
    <d v="2024-07-12T00:00:00"/>
    <s v="CUST-0075"/>
    <s v="Jordan Hall"/>
    <x v="2"/>
    <x v="1"/>
    <s v="CA"/>
    <s v="Los Angeles"/>
    <x v="0"/>
    <x v="5"/>
    <s v="OFF-PAP-101"/>
    <s v="Premium Copy Paper Case"/>
    <x v="2"/>
    <x v="12"/>
    <n v="5"/>
    <n v="37.979999999999997"/>
    <n v="0.03"/>
    <n v="5.82"/>
    <s v="High"/>
    <s v="No"/>
    <n v="2"/>
    <s v="Valid"/>
    <x v="0"/>
    <d v="2022-11-05T00:00:00"/>
    <n v="20"/>
    <n v="189.89999999999998"/>
    <n v="1.1394"/>
    <n v="188.76059999999998"/>
    <n v="100"/>
    <n v="88.760599999999982"/>
    <n v="0.47022842690688627"/>
    <n v="3"/>
    <s v="on time"/>
    <s v="July"/>
    <s v="Q3"/>
  </r>
  <r>
    <s v="ORD-01376"/>
    <x v="113"/>
    <d v="2024-07-15T00:00:00"/>
    <s v="CUST-0165"/>
    <s v="Maya Wilson"/>
    <x v="1"/>
    <x v="0"/>
    <s v="MA"/>
    <s v="Boston"/>
    <x v="0"/>
    <x v="4"/>
    <s v="APP-CLN-201"/>
    <s v="Air Purifier"/>
    <x v="0"/>
    <x v="3"/>
    <n v="8"/>
    <n v="170.07"/>
    <n v="0.05"/>
    <n v="6.93"/>
    <s v="Critical"/>
    <s v="No"/>
    <n v="2"/>
    <s v="Valid"/>
    <x v="0"/>
    <d v="2022-12-14T00:00:00"/>
    <n v="82"/>
    <n v="1360.56"/>
    <n v="8.5035000000000007"/>
    <n v="1352.0564999999999"/>
    <n v="656"/>
    <n v="696.05649999999991"/>
    <n v="0.51481317533697735"/>
    <n v="6"/>
    <s v="on time"/>
    <s v="July"/>
    <s v="Q3"/>
  </r>
  <r>
    <s v="ORD-01076"/>
    <x v="114"/>
    <d v="2024-07-13T00:00:00"/>
    <s v="CUST-0029"/>
    <s v="Iris Miller"/>
    <x v="0"/>
    <x v="0"/>
    <s v="NY"/>
    <s v="New York"/>
    <x v="0"/>
    <x v="1"/>
    <s v="OFF-BIN-201"/>
    <s v="Heavy-Duty Binder 12-Pack"/>
    <x v="2"/>
    <x v="6"/>
    <n v="5"/>
    <n v="35.42"/>
    <n v="0.02"/>
    <n v="9.43"/>
    <s v="Critical"/>
    <s v="No"/>
    <n v="3"/>
    <s v="Valid"/>
    <x v="1"/>
    <d v="2025-12-22T00:00:00"/>
    <n v="18"/>
    <n v="177.10000000000002"/>
    <n v="0.70840000000000003"/>
    <n v="176.39160000000001"/>
    <n v="90"/>
    <n v="86.391600000000011"/>
    <n v="0.48977162177790784"/>
    <n v="3"/>
    <s v="on time"/>
    <s v="July"/>
    <s v="Q3"/>
  </r>
  <r>
    <s v="ORD-01492"/>
    <x v="115"/>
    <d v="2024-07-15T00:00:00"/>
    <s v="CUST-0132"/>
    <s v="Priya Young"/>
    <x v="0"/>
    <x v="0"/>
    <s v="NJ"/>
    <s v="Newark"/>
    <x v="0"/>
    <x v="0"/>
    <s v="APP-CLN-202"/>
    <s v="Robot Vacuum"/>
    <x v="0"/>
    <x v="3"/>
    <n v="7"/>
    <n v="309.85000000000002"/>
    <n v="0.05"/>
    <n v="5.51"/>
    <s v="Low"/>
    <s v="No"/>
    <m/>
    <s v="Valid"/>
    <x v="0"/>
    <d v="2021-03-16T00:00:00"/>
    <n v="165"/>
    <n v="2168.9500000000003"/>
    <n v="15.492500000000001"/>
    <n v="2153.4575000000004"/>
    <n v="1155"/>
    <n v="998.45750000000044"/>
    <n v="0.46365321813873744"/>
    <n v="4"/>
    <s v="on time"/>
    <s v="July"/>
    <s v="Q3"/>
  </r>
  <r>
    <s v="ORD-01581"/>
    <x v="115"/>
    <d v="2024-07-19T00:00:00"/>
    <s v="CUST-0091"/>
    <s v="Morgan Garcia"/>
    <x v="1"/>
    <x v="1"/>
    <s v="WA"/>
    <s v="Seattle"/>
    <x v="3"/>
    <x v="5"/>
    <s v="TEC-NET-402"/>
    <s v="8-Port Network Switch"/>
    <x v="3"/>
    <x v="5"/>
    <n v="4"/>
    <n v="89.46"/>
    <n v="0.04"/>
    <n v="10.18"/>
    <s v="High"/>
    <s v="No"/>
    <m/>
    <s v="Valid"/>
    <x v="2"/>
    <d v="2022-11-11T00:00:00"/>
    <n v="44"/>
    <n v="357.84"/>
    <n v="3.5783999999999998"/>
    <n v="354.26159999999999"/>
    <n v="176"/>
    <n v="178.26159999999999"/>
    <n v="0.50319199145490223"/>
    <n v="8"/>
    <s v="on time"/>
    <s v="July"/>
    <s v="Q3"/>
  </r>
  <r>
    <s v="ORD-01236"/>
    <x v="116"/>
    <d v="2024-07-13T00:00:00"/>
    <s v="CUST-0159"/>
    <s v="Morgan Allen"/>
    <x v="0"/>
    <x v="3"/>
    <s v="GA"/>
    <s v="Atlanta"/>
    <x v="3"/>
    <x v="4"/>
    <s v="OFF-WRT-301"/>
    <s v="Gel Pen Variety Pack"/>
    <x v="2"/>
    <x v="8"/>
    <n v="6"/>
    <n v="15.53"/>
    <n v="0.28000000000000003"/>
    <n v="15.24"/>
    <s v="Medium"/>
    <s v="No"/>
    <n v="4"/>
    <s v="Valid"/>
    <x v="3"/>
    <d v="2022-05-13T00:00:00"/>
    <n v="6"/>
    <n v="93.179999999999993"/>
    <n v="4.3483999999999998"/>
    <n v="88.831599999999995"/>
    <n v="36"/>
    <n v="52.831599999999995"/>
    <n v="0.59473880916250521"/>
    <n v="1"/>
    <s v="on time"/>
    <s v="July"/>
    <s v="Q3"/>
  </r>
  <r>
    <s v="ORD-01334"/>
    <x v="116"/>
    <d v="2024-07-13T00:00:00"/>
    <s v="CUST-0057"/>
    <s v="Morgan Lopez"/>
    <x v="2"/>
    <x v="1"/>
    <s v="CA"/>
    <s v="Los Angeles"/>
    <x v="3"/>
    <x v="1"/>
    <s v="TEC-MON-202"/>
    <s v="ClearView Ultrawide Monitor"/>
    <x v="3"/>
    <x v="4"/>
    <n v="2"/>
    <n v="553.65"/>
    <n v="0.04"/>
    <n v="17.84"/>
    <s v="Low"/>
    <s v="No"/>
    <m/>
    <s v="Valid"/>
    <x v="2"/>
    <d v="2025-02-02T00:00:00"/>
    <n v="310"/>
    <n v="1107.3"/>
    <n v="22.146000000000001"/>
    <n v="1085.154"/>
    <n v="620"/>
    <n v="465.154"/>
    <n v="0.42865252305202761"/>
    <n v="1"/>
    <s v="on time"/>
    <s v="July"/>
    <s v="Q3"/>
  </r>
  <r>
    <s v="ORD-01025"/>
    <x v="117"/>
    <d v="2024-07-16T00:00:00"/>
    <s v="CUST-0006"/>
    <s v="Priya Wilson"/>
    <x v="0"/>
    <x v="2"/>
    <s v="IL"/>
    <s v="Chicago"/>
    <x v="1"/>
    <x v="2"/>
    <s v="TEC-NET-401"/>
    <s v="Mesh Wi-Fi Router"/>
    <x v="3"/>
    <x v="5"/>
    <n v="4"/>
    <n v="178.59"/>
    <n v="0.08"/>
    <n v="13.81"/>
    <s v="Low"/>
    <s v="No"/>
    <n v="5"/>
    <s v="Valid"/>
    <x v="1"/>
    <d v="2025-12-22T00:00:00"/>
    <n v="96"/>
    <n v="714.36"/>
    <n v="14.2872"/>
    <n v="700.07280000000003"/>
    <n v="384"/>
    <n v="316.07280000000003"/>
    <n v="0.4514856169244113"/>
    <n v="3"/>
    <s v="on time"/>
    <s v="July"/>
    <s v="Q3"/>
  </r>
  <r>
    <s v="ORD-01058"/>
    <x v="118"/>
    <d v="2024-07-20T00:00:00"/>
    <s v="CUST-0088"/>
    <s v="Noah Chen"/>
    <x v="2"/>
    <x v="3"/>
    <s v="NC"/>
    <s v="Charlotte"/>
    <x v="0"/>
    <x v="4"/>
    <s v="TEC-MON-201"/>
    <s v="ClearView 27 Monitor"/>
    <x v="3"/>
    <x v="4"/>
    <n v="3"/>
    <n v="282.75"/>
    <n v="0.1"/>
    <n v="5.5"/>
    <s v="Critical"/>
    <s v="No"/>
    <n v="1"/>
    <s v="Valid"/>
    <x v="3"/>
    <d v="2021-08-06T00:00:00"/>
    <n v="168"/>
    <n v="848.25"/>
    <n v="28.275000000000002"/>
    <n v="819.97500000000002"/>
    <n v="504"/>
    <n v="315.97500000000002"/>
    <n v="0.38534711424128787"/>
    <n v="6"/>
    <s v="on time"/>
    <s v="July"/>
    <s v="Q3"/>
  </r>
  <r>
    <s v="ORD-01433"/>
    <x v="118"/>
    <d v="2024-07-22T00:00:00"/>
    <s v="CUST-0049"/>
    <s v="Alex Allen"/>
    <x v="1"/>
    <x v="2"/>
    <s v="MN"/>
    <s v="Minneapolis"/>
    <x v="1"/>
    <x v="0"/>
    <s v="APP-CLN-202"/>
    <s v="Robot Vacuum"/>
    <x v="0"/>
    <x v="3"/>
    <n v="4"/>
    <n v="323.60000000000002"/>
    <n v="0.09"/>
    <n v="10.34"/>
    <s v="Critical"/>
    <s v="No"/>
    <n v="3"/>
    <s v="Valid"/>
    <x v="0"/>
    <d v="2023-09-05T00:00:00"/>
    <n v="165"/>
    <n v="1294.4000000000001"/>
    <n v="29.124000000000002"/>
    <n v="1265.2760000000001"/>
    <n v="660"/>
    <n v="605.27600000000007"/>
    <n v="0.47837467872622258"/>
    <n v="8"/>
    <s v="on time"/>
    <s v="July"/>
    <s v="Q3"/>
  </r>
  <r>
    <s v="ORD-01703"/>
    <x v="119"/>
    <d v="2024-07-23T00:00:00"/>
    <s v="CUST-0125"/>
    <s v="Iris Lopez"/>
    <x v="1"/>
    <x v="2"/>
    <s v="MN"/>
    <s v="Minneapolis"/>
    <x v="3"/>
    <x v="5"/>
    <s v="OFF-BIN-201"/>
    <s v="Heavy-Duty Binder 12-Pack"/>
    <x v="2"/>
    <x v="6"/>
    <n v="9"/>
    <n v="34.56"/>
    <n v="0.02"/>
    <n v="10.47"/>
    <s v="High"/>
    <s v="No"/>
    <n v="2"/>
    <s v="Valid"/>
    <x v="0"/>
    <d v="2023-10-02T00:00:00"/>
    <n v="18"/>
    <n v="311.04000000000002"/>
    <n v="0.69120000000000004"/>
    <n v="310.34880000000004"/>
    <n v="162"/>
    <n v="148.34880000000004"/>
    <n v="0.47800668151447667"/>
    <n v="8"/>
    <s v="on time"/>
    <s v="July"/>
    <s v="Q3"/>
  </r>
  <r>
    <s v="ORD-01041"/>
    <x v="120"/>
    <d v="2024-07-18T00:00:00"/>
    <s v="CUST-0154"/>
    <s v="Rowan Nguyen"/>
    <x v="0"/>
    <x v="0"/>
    <s v="NY"/>
    <s v="New York"/>
    <x v="3"/>
    <x v="2"/>
    <s v="OFF-PAP-101"/>
    <s v="Premium Copy Paper Case"/>
    <x v="2"/>
    <x v="12"/>
    <n v="7"/>
    <n v="37.159999999999997"/>
    <n v="0.03"/>
    <n v="15.87"/>
    <s v="Critical"/>
    <s v="No"/>
    <n v="5"/>
    <s v="Valid"/>
    <x v="1"/>
    <d v="2022-04-17T00:00:00"/>
    <n v="20"/>
    <n v="260.12"/>
    <n v="1.1147999999999998"/>
    <n v="259.0052"/>
    <n v="140"/>
    <n v="119.0052"/>
    <n v="0.45947031179296788"/>
    <n v="1"/>
    <s v="on time"/>
    <s v="July"/>
    <s v="Q3"/>
  </r>
  <r>
    <s v="ORD-01417"/>
    <x v="121"/>
    <d v="2024-07-19T00:00:00"/>
    <s v="CUST-0028"/>
    <s v="Rowan Scott"/>
    <x v="1"/>
    <x v="3"/>
    <s v="FL"/>
    <s v="Miami"/>
    <x v="0"/>
    <x v="1"/>
    <s v="FUR-CHR-202"/>
    <s v="Mesh Conference Chair"/>
    <x v="1"/>
    <x v="11"/>
    <n v="2"/>
    <n v="154.97999999999999"/>
    <n v="0.02"/>
    <n v="21.22"/>
    <s v="High"/>
    <s v="No"/>
    <n v="3"/>
    <s v="Valid"/>
    <x v="0"/>
    <d v="2023-04-10T00:00:00"/>
    <n v="82"/>
    <n v="309.95999999999998"/>
    <n v="3.0995999999999997"/>
    <n v="306.86039999999997"/>
    <n v="164"/>
    <n v="142.86039999999997"/>
    <n v="0.46555502111057662"/>
    <n v="1"/>
    <s v="on time"/>
    <s v="July"/>
    <s v="Q3"/>
  </r>
  <r>
    <s v="ORD-01228"/>
    <x v="122"/>
    <d v="2024-07-28T00:00:00"/>
    <s v="CUST-0115"/>
    <s v="Quinn Nguyen"/>
    <x v="0"/>
    <x v="1"/>
    <s v="CA"/>
    <s v="San Diego"/>
    <x v="0"/>
    <x v="5"/>
    <s v="TEC-NET-402"/>
    <s v="8-Port Network Switch"/>
    <x v="3"/>
    <x v="5"/>
    <n v="3"/>
    <n v="89.47"/>
    <n v="0"/>
    <n v="19.89"/>
    <s v="Critical"/>
    <s v="No"/>
    <n v="5"/>
    <s v="Valid"/>
    <x v="2"/>
    <d v="2023-01-12T00:00:00"/>
    <n v="44"/>
    <n v="268.40999999999997"/>
    <n v="0"/>
    <n v="268.40999999999997"/>
    <n v="132"/>
    <n v="136.40999999999997"/>
    <n v="0.50821504414887664"/>
    <n v="7"/>
    <s v="on time"/>
    <s v="July"/>
    <s v="Q3"/>
  </r>
  <r>
    <s v="ORD-01690"/>
    <x v="122"/>
    <d v="2024-07-30T00:00:00"/>
    <s v="CUST-0086"/>
    <s v="Rowan Hall"/>
    <x v="0"/>
    <x v="0"/>
    <s v="VA"/>
    <s v="Richmond"/>
    <x v="3"/>
    <x v="3"/>
    <s v="OFF-PAP-101"/>
    <s v="Premium Copy Paper Case"/>
    <x v="2"/>
    <x v="12"/>
    <n v="6"/>
    <n v="40.049999999999997"/>
    <n v="0.06"/>
    <n v="8.4600000000000009"/>
    <s v="Low"/>
    <s v="No"/>
    <n v="1"/>
    <s v="Valid"/>
    <x v="3"/>
    <d v="2022-09-14T00:00:00"/>
    <n v="20"/>
    <n v="240.29999999999998"/>
    <n v="2.4029999999999996"/>
    <n v="237.89699999999999"/>
    <n v="120"/>
    <n v="117.89699999999999"/>
    <n v="0.49558001992458922"/>
    <n v="9"/>
    <s v="on time"/>
    <s v="July"/>
    <s v="Q3"/>
  </r>
  <r>
    <s v="ORD-01193"/>
    <x v="123"/>
    <d v="2024-07-26T00:00:00"/>
    <s v="CUST-0047"/>
    <s v="Reese Miller"/>
    <x v="0"/>
    <x v="3"/>
    <s v="FL"/>
    <s v="Miami"/>
    <x v="2"/>
    <x v="0"/>
    <s v="OFF-WRT-301"/>
    <s v="Gel Pen Variety Pack"/>
    <x v="2"/>
    <x v="8"/>
    <n v="8"/>
    <n v="14.55"/>
    <n v="0.11"/>
    <n v="15.68"/>
    <s v="Low"/>
    <s v="No"/>
    <n v="5"/>
    <s v="Valid"/>
    <x v="1"/>
    <d v="2021-07-19T00:00:00"/>
    <n v="6"/>
    <n v="116.4"/>
    <n v="1.6005"/>
    <n v="114.79950000000001"/>
    <n v="48"/>
    <n v="66.799500000000009"/>
    <n v="0.58187971201965172"/>
    <n v="4"/>
    <s v="on time"/>
    <s v="July"/>
    <s v="Q3"/>
  </r>
  <r>
    <s v="ORD-01613"/>
    <x v="123"/>
    <d v="2024-07-30T00:00:00"/>
    <s v="CUST-0128"/>
    <s v="Iris King"/>
    <x v="1"/>
    <x v="2"/>
    <s v="TX"/>
    <s v="Austin"/>
    <x v="1"/>
    <x v="2"/>
    <s v="TEC-ACC-301"/>
    <s v="Wireless Keyboard and Mouse"/>
    <x v="3"/>
    <x v="10"/>
    <n v="2"/>
    <n v="57.62"/>
    <n v="0.06"/>
    <n v="20.38"/>
    <s v="Critical"/>
    <s v="No"/>
    <n v="2"/>
    <s v="Valid"/>
    <x v="1"/>
    <d v="2025-09-08T00:00:00"/>
    <n v="28"/>
    <n v="115.24"/>
    <n v="3.4571999999999998"/>
    <n v="111.78279999999999"/>
    <n v="56"/>
    <n v="55.782799999999995"/>
    <n v="0.4990284730745696"/>
    <n v="8"/>
    <s v="on time"/>
    <s v="July"/>
    <s v="Q3"/>
  </r>
  <r>
    <s v="ORD-01681"/>
    <x v="123"/>
    <d v="2024-07-24T00:00:00"/>
    <s v="CUST-0037"/>
    <s v="Drew Martinez"/>
    <x v="0"/>
    <x v="3"/>
    <s v="FL"/>
    <s v="Miami"/>
    <x v="1"/>
    <x v="4"/>
    <s v="TEC-LAP-101"/>
    <s v="ApexBook 14 Laptop"/>
    <x v="3"/>
    <x v="7"/>
    <n v="3"/>
    <n v="908.53"/>
    <n v="0.08"/>
    <n v="12.17"/>
    <s v="High"/>
    <s v="No"/>
    <m/>
    <s v="Valid"/>
    <x v="1"/>
    <d v="2024-10-02T00:00:00"/>
    <n v="585"/>
    <n v="2725.59"/>
    <n v="72.682400000000001"/>
    <n v="2652.9076"/>
    <n v="1755"/>
    <n v="897.9076"/>
    <n v="0.33846169387882186"/>
    <n v="2"/>
    <s v="on time"/>
    <s v="July"/>
    <s v="Q3"/>
  </r>
  <r>
    <s v="ORD-01461"/>
    <x v="124"/>
    <d v="2024-08-01T00:00:00"/>
    <s v="CUST-0140"/>
    <s v="Sam Allen"/>
    <x v="0"/>
    <x v="1"/>
    <s v="WA"/>
    <s v="Seattle"/>
    <x v="0"/>
    <x v="5"/>
    <s v="APP-KIT-101"/>
    <s v="Compact Coffee Brewer"/>
    <x v="0"/>
    <x v="0"/>
    <n v="8"/>
    <n v="99.4"/>
    <n v="0.06"/>
    <n v="11.21"/>
    <s v="Low"/>
    <s v="No"/>
    <n v="1"/>
    <s v="Valid"/>
    <x v="2"/>
    <d v="2022-07-22T00:00:00"/>
    <n v="48"/>
    <n v="795.2"/>
    <n v="5.9640000000000004"/>
    <n v="789.23599999999999"/>
    <n v="384"/>
    <n v="405.23599999999999"/>
    <n v="0.51345351707220654"/>
    <n v="9"/>
    <s v="on time"/>
    <s v="July"/>
    <s v="Q3"/>
  </r>
  <r>
    <s v="ORD-01289"/>
    <x v="125"/>
    <d v="2024-08-04T00:00:00"/>
    <s v="CUST-0153"/>
    <s v="Reese Davis"/>
    <x v="2"/>
    <x v="0"/>
    <s v="MA"/>
    <s v="Boston"/>
    <x v="1"/>
    <x v="0"/>
    <s v="APP-KIT-101"/>
    <s v="Compact Coffee Brewer"/>
    <x v="0"/>
    <x v="0"/>
    <n v="5"/>
    <n v="91.19"/>
    <n v="0.11"/>
    <n v="10.07"/>
    <s v="Medium"/>
    <s v="No"/>
    <n v="4"/>
    <s v="Valid"/>
    <x v="3"/>
    <d v="2021-03-24T00:00:00"/>
    <n v="48"/>
    <n v="455.95"/>
    <n v="10.030899999999999"/>
    <n v="445.91910000000001"/>
    <n v="240"/>
    <n v="205.91910000000001"/>
    <n v="0.46178578132221743"/>
    <n v="10"/>
    <s v="on time"/>
    <s v="July"/>
    <s v="Q3"/>
  </r>
  <r>
    <s v="ORD-01024"/>
    <x v="126"/>
    <d v="2024-08-05T00:00:00"/>
    <s v="CUST-0042"/>
    <s v="Iris Johnson"/>
    <x v="0"/>
    <x v="2"/>
    <s v="OH"/>
    <s v="Columbus"/>
    <x v="0"/>
    <x v="2"/>
    <s v="OFF-PAP-102"/>
    <s v="Recycled Notebook Pack"/>
    <x v="2"/>
    <x v="12"/>
    <n v="2"/>
    <n v="20.84"/>
    <n v="0.04"/>
    <n v="6.29"/>
    <s v="High"/>
    <s v="No"/>
    <n v="4"/>
    <s v="Valid"/>
    <x v="1"/>
    <d v="2021-09-11T00:00:00"/>
    <n v="10"/>
    <n v="41.68"/>
    <n v="0.83360000000000001"/>
    <n v="40.846400000000003"/>
    <n v="20"/>
    <n v="20.846400000000003"/>
    <n v="0.51036076618747306"/>
    <n v="9"/>
    <s v="on time"/>
    <s v="July"/>
    <s v="Q3"/>
  </r>
  <r>
    <s v="ORD-01028"/>
    <x v="126"/>
    <d v="2024-08-01T00:00:00"/>
    <s v="CUST-0120"/>
    <s v="Sam Wilson"/>
    <x v="1"/>
    <x v="1"/>
    <s v="WA"/>
    <s v="Seattle"/>
    <x v="1"/>
    <x v="0"/>
    <s v="TEC-LAP-102"/>
    <s v="ApexBook Pro 16 Laptop"/>
    <x v="3"/>
    <x v="7"/>
    <n v="2"/>
    <n v="1340.94"/>
    <n v="0.1"/>
    <n v="12.15"/>
    <s v="Medium"/>
    <s v="No"/>
    <n v="2"/>
    <s v="Valid"/>
    <x v="2"/>
    <d v="2024-04-02T00:00:00"/>
    <n v="885"/>
    <n v="2681.88"/>
    <n v="134.09400000000002"/>
    <n v="2547.7860000000001"/>
    <n v="1770"/>
    <n v="777.78600000000006"/>
    <n v="0.30527917179857339"/>
    <n v="5"/>
    <s v="on time"/>
    <s v="July"/>
    <s v="Q3"/>
  </r>
  <r>
    <s v="ORD-01239"/>
    <x v="126"/>
    <d v="2024-08-01T00:00:00"/>
    <s v="CUST-0033"/>
    <s v="Cameron Smith"/>
    <x v="1"/>
    <x v="0"/>
    <s v="VA"/>
    <s v="Richmond"/>
    <x v="1"/>
    <x v="0"/>
    <s v="OFF-SUP-402"/>
    <s v="Label Maker"/>
    <x v="2"/>
    <x v="2"/>
    <n v="4"/>
    <n v="75.260000000000005"/>
    <n v="0"/>
    <n v="13.7"/>
    <s v="Low"/>
    <s v="No"/>
    <n v="5"/>
    <s v="Valid"/>
    <x v="1"/>
    <d v="2021-11-18T00:00:00"/>
    <n v="36"/>
    <n v="301.04000000000002"/>
    <n v="0"/>
    <n v="301.04000000000002"/>
    <n v="144"/>
    <n v="157.04000000000002"/>
    <n v="0.52165825139516342"/>
    <n v="5"/>
    <s v="on time"/>
    <s v="July"/>
    <s v="Q3"/>
  </r>
  <r>
    <s v="ORD-01540"/>
    <x v="126"/>
    <d v="2024-07-29T00:00:00"/>
    <s v="CUST-0135"/>
    <s v="Nia Miller"/>
    <x v="0"/>
    <x v="1"/>
    <s v="CA"/>
    <s v="San Diego"/>
    <x v="2"/>
    <x v="2"/>
    <s v="TEC-ACC-301"/>
    <s v="Wireless Keyboard and Mouse"/>
    <x v="3"/>
    <x v="10"/>
    <n v="1"/>
    <n v="57.24"/>
    <n v="0.01"/>
    <n v="5.56"/>
    <s v="Low"/>
    <s v="No"/>
    <n v="2"/>
    <s v="Valid"/>
    <x v="2"/>
    <d v="2022-05-18T00:00:00"/>
    <n v="28"/>
    <n v="57.24"/>
    <n v="0.57240000000000002"/>
    <n v="56.6676"/>
    <n v="28"/>
    <n v="28.6676"/>
    <n v="0.50589049121543883"/>
    <n v="2"/>
    <s v="on time"/>
    <s v="July"/>
    <s v="Q3"/>
  </r>
  <r>
    <s v="ORD-01642"/>
    <x v="126"/>
    <d v="2024-08-05T00:00:00"/>
    <s v="CUST-0073"/>
    <s v="Jordan Robinson"/>
    <x v="1"/>
    <x v="2"/>
    <s v="CO"/>
    <s v="Denver"/>
    <x v="2"/>
    <x v="0"/>
    <s v="OFF-WRT-302"/>
    <s v="Mechanical Pencil Set"/>
    <x v="2"/>
    <x v="8"/>
    <n v="4"/>
    <n v="12.14"/>
    <n v="0.1"/>
    <n v="10.92"/>
    <s v="Medium"/>
    <s v="No"/>
    <n v="5"/>
    <s v="Valid"/>
    <x v="1"/>
    <d v="2025-02-09T00:00:00"/>
    <n v="5"/>
    <n v="48.56"/>
    <n v="1.2140000000000002"/>
    <n v="47.346000000000004"/>
    <n v="20"/>
    <n v="27.346000000000004"/>
    <n v="0.57757783128458584"/>
    <n v="9"/>
    <s v="on time"/>
    <s v="July"/>
    <s v="Q3"/>
  </r>
  <r>
    <s v="ORD-01519"/>
    <x v="127"/>
    <d v="2024-08-06T00:00:00"/>
    <s v="Missing Customer_ID"/>
    <s v="Drew Martinez"/>
    <x v="2"/>
    <x v="1"/>
    <s v="CA"/>
    <s v="Los Angeles"/>
    <x v="3"/>
    <x v="1"/>
    <s v="OFF-WRT-301"/>
    <s v="Gel Pen Variety Pack"/>
    <x v="2"/>
    <x v="8"/>
    <n v="10"/>
    <n v="15.35"/>
    <n v="0.11"/>
    <n v="10.039999999999999"/>
    <s v="Critical"/>
    <s v="No"/>
    <n v="4"/>
    <s v="Invalid Customer"/>
    <x v="4"/>
    <e v="#N/A"/>
    <n v="6"/>
    <n v="153.5"/>
    <n v="1.6884999999999999"/>
    <n v="151.8115"/>
    <n v="60"/>
    <n v="91.811499999999995"/>
    <n v="0.60477302444149483"/>
    <n v="9"/>
    <s v="on time"/>
    <s v="July"/>
    <s v="Q3"/>
  </r>
  <r>
    <s v="ORD-01535"/>
    <x v="127"/>
    <d v="2024-08-07T00:00:00"/>
    <s v="CUST-0001"/>
    <s v="Quinn Garcia"/>
    <x v="0"/>
    <x v="3"/>
    <s v="TN"/>
    <s v="Nashville"/>
    <x v="2"/>
    <x v="4"/>
    <s v="TEC-ACC-302"/>
    <s v="USB-C Docking Station"/>
    <x v="3"/>
    <x v="10"/>
    <n v="1"/>
    <n v="139.02000000000001"/>
    <n v="0.06"/>
    <n v="7.05"/>
    <s v="High"/>
    <s v="No"/>
    <n v="1"/>
    <s v="Valid"/>
    <x v="1"/>
    <d v="2021-09-15T00:00:00"/>
    <n v="72"/>
    <n v="139.02000000000001"/>
    <n v="8.3412000000000006"/>
    <n v="130.67880000000002"/>
    <n v="72"/>
    <n v="58.678800000000024"/>
    <n v="0.4490307532667886"/>
    <n v="10"/>
    <s v="on time"/>
    <s v="July"/>
    <s v="Q3"/>
  </r>
  <r>
    <s v="ORD-01384"/>
    <x v="128"/>
    <d v="2024-08-07T00:00:00"/>
    <s v="CUST-0076"/>
    <s v="Morgan Nguyen"/>
    <x v="2"/>
    <x v="3"/>
    <s v="LA"/>
    <s v="New Orleans"/>
    <x v="0"/>
    <x v="5"/>
    <s v="OFF-WRT-302"/>
    <s v="Mechanical Pencil Set"/>
    <x v="2"/>
    <x v="8"/>
    <n v="5"/>
    <n v="11.86"/>
    <n v="0.03"/>
    <n v="10.119999999999999"/>
    <s v="Medium"/>
    <s v="No"/>
    <n v="3"/>
    <s v="Valid"/>
    <x v="1"/>
    <d v="2022-10-01T00:00:00"/>
    <n v="5"/>
    <n v="59.3"/>
    <n v="0.35579999999999995"/>
    <n v="58.944199999999995"/>
    <n v="25"/>
    <n v="33.944199999999995"/>
    <n v="0.57587006015859066"/>
    <n v="9"/>
    <s v="on time"/>
    <s v="July"/>
    <s v="Q3"/>
  </r>
  <r>
    <s v="ORD-01389"/>
    <x v="128"/>
    <d v="2024-08-05T00:00:00"/>
    <s v="CUST-0062"/>
    <s v="Taylor Johnson"/>
    <x v="0"/>
    <x v="2"/>
    <s v="MN"/>
    <s v="Minneapolis"/>
    <x v="0"/>
    <x v="0"/>
    <s v="OFF-SUP-402"/>
    <s v="Label Maker"/>
    <x v="2"/>
    <x v="2"/>
    <n v="1"/>
    <n v="77.599999999999994"/>
    <n v="0.05"/>
    <n v="12.46"/>
    <s v="High"/>
    <s v="No"/>
    <n v="4"/>
    <s v="Valid"/>
    <x v="2"/>
    <d v="2024-06-04T00:00:00"/>
    <n v="36"/>
    <n v="77.599999999999994"/>
    <n v="3.88"/>
    <n v="73.72"/>
    <n v="36"/>
    <n v="37.72"/>
    <n v="0.51166576234400429"/>
    <n v="7"/>
    <s v="on time"/>
    <s v="July"/>
    <s v="Q3"/>
  </r>
  <r>
    <s v="ORD-01566"/>
    <x v="129"/>
    <d v="2024-08-06T00:00:00"/>
    <s v="CUST-0007"/>
    <s v="Iris Walker"/>
    <x v="0"/>
    <x v="3"/>
    <s v="LA"/>
    <s v="New Orleans"/>
    <x v="0"/>
    <x v="3"/>
    <s v="APP-CLN-201"/>
    <s v="Air Purifier"/>
    <x v="0"/>
    <x v="3"/>
    <n v="9"/>
    <n v="162.78"/>
    <n v="0.04"/>
    <n v="6.25"/>
    <s v="Critical"/>
    <s v="No"/>
    <n v="4"/>
    <s v="Valid"/>
    <x v="3"/>
    <d v="2022-08-23T00:00:00"/>
    <n v="82"/>
    <n v="1465.02"/>
    <n v="6.5112000000000005"/>
    <n v="1458.5088000000001"/>
    <n v="738"/>
    <n v="720.50880000000006"/>
    <n v="0.49400373861302727"/>
    <n v="7"/>
    <s v="on time"/>
    <s v="July"/>
    <s v="Q3"/>
  </r>
  <r>
    <s v="ORD-01609"/>
    <x v="130"/>
    <d v="2024-08-03T00:00:00"/>
    <s v="CUST-0118"/>
    <s v="Maya Garcia"/>
    <x v="0"/>
    <x v="1"/>
    <s v="CA"/>
    <s v="San Diego"/>
    <x v="3"/>
    <x v="3"/>
    <s v="OFF-PAP-102"/>
    <s v="Recycled Notebook Pack"/>
    <x v="2"/>
    <x v="12"/>
    <n v="5"/>
    <n v="22.67"/>
    <n v="0.1"/>
    <n v="12.74"/>
    <s v="Low"/>
    <s v="No"/>
    <n v="2"/>
    <s v="Valid"/>
    <x v="3"/>
    <d v="2021-02-09T00:00:00"/>
    <n v="10"/>
    <n v="113.35000000000001"/>
    <n v="2.2670000000000003"/>
    <n v="111.08300000000001"/>
    <n v="50"/>
    <n v="61.083000000000013"/>
    <n v="0.54988612118866076"/>
    <n v="3"/>
    <s v="on time"/>
    <s v="July"/>
    <s v="Q3"/>
  </r>
  <r>
    <s v="ORD-01119"/>
    <x v="131"/>
    <d v="2024-08-03T00:00:00"/>
    <s v="CUST-0130"/>
    <s v="Iris Allen"/>
    <x v="1"/>
    <x v="1"/>
    <s v="OR"/>
    <s v="Portland"/>
    <x v="1"/>
    <x v="0"/>
    <s v="FUR-CHR-201"/>
    <s v="ErgoFlex Office Chair"/>
    <x v="1"/>
    <x v="11"/>
    <n v="3"/>
    <n v="266.27"/>
    <n v="7.0000000000000007E-2"/>
    <n v="22.86"/>
    <s v="Low"/>
    <s v="No"/>
    <n v="5"/>
    <s v="Valid"/>
    <x v="3"/>
    <d v="2021-12-13T00:00:00"/>
    <n v="146"/>
    <n v="798.81"/>
    <n v="18.6389"/>
    <n v="780.17109999999991"/>
    <n v="438"/>
    <n v="342.17109999999991"/>
    <n v="0.43858468994814082"/>
    <n v="2"/>
    <s v="on time"/>
    <s v="August"/>
    <s v="Q3"/>
  </r>
  <r>
    <s v="ORD-01574"/>
    <x v="131"/>
    <d v="2024-08-07T00:00:00"/>
    <s v="CUST-0073"/>
    <s v="Jordan Robinson"/>
    <x v="1"/>
    <x v="2"/>
    <s v="CO"/>
    <s v="Denver"/>
    <x v="3"/>
    <x v="1"/>
    <s v="TEC-MON-201"/>
    <s v="ClearView 27 Monitor"/>
    <x v="3"/>
    <x v="4"/>
    <n v="2"/>
    <n v="297.58999999999997"/>
    <n v="0.12"/>
    <n v="14.52"/>
    <s v="Medium"/>
    <s v="No"/>
    <n v="1"/>
    <s v="Valid"/>
    <x v="1"/>
    <d v="2025-02-09T00:00:00"/>
    <n v="168"/>
    <n v="595.17999999999995"/>
    <n v="35.710799999999999"/>
    <n v="559.4692"/>
    <n v="336"/>
    <n v="223.4692"/>
    <n v="0.39943074614295121"/>
    <n v="6"/>
    <s v="on time"/>
    <s v="August"/>
    <s v="Q3"/>
  </r>
  <r>
    <s v="ORD-01631"/>
    <x v="131"/>
    <d v="2024-08-05T00:00:00"/>
    <s v="CUST-0105"/>
    <s v="Skyler Miller"/>
    <x v="2"/>
    <x v="3"/>
    <s v="FL"/>
    <s v="Miami"/>
    <x v="1"/>
    <x v="2"/>
    <s v="OFF-SUP-401"/>
    <s v="Desk Organizer Kit"/>
    <x v="2"/>
    <x v="2"/>
    <n v="2"/>
    <n v="28.6"/>
    <n v="0"/>
    <n v="12.03"/>
    <s v="Critical"/>
    <s v="No"/>
    <n v="2"/>
    <s v="Valid"/>
    <x v="3"/>
    <d v="2022-02-18T00:00:00"/>
    <n v="12"/>
    <n v="57.2"/>
    <n v="0"/>
    <n v="57.2"/>
    <n v="24"/>
    <n v="33.200000000000003"/>
    <n v="0.58041958041958042"/>
    <n v="4"/>
    <s v="on time"/>
    <s v="August"/>
    <s v="Q3"/>
  </r>
  <r>
    <s v="ORD-01592"/>
    <x v="132"/>
    <d v="2024-08-13T00:00:00"/>
    <s v="CUST-0028"/>
    <s v="Rowan Scott"/>
    <x v="1"/>
    <x v="3"/>
    <s v="FL"/>
    <s v="Miami"/>
    <x v="1"/>
    <x v="0"/>
    <s v="FUR-DSK-102"/>
    <s v="Executive Desk 60"/>
    <x v="1"/>
    <x v="1"/>
    <n v="3"/>
    <n v="468.23"/>
    <n v="0.06"/>
    <n v="22.53"/>
    <s v="Low"/>
    <s v="No"/>
    <n v="5"/>
    <s v="Valid"/>
    <x v="0"/>
    <d v="2023-04-10T00:00:00"/>
    <n v="265"/>
    <n v="1404.69"/>
    <n v="28.093800000000002"/>
    <n v="1376.5962"/>
    <n v="795"/>
    <n v="581.59619999999995"/>
    <n v="0.42248859905323"/>
    <n v="10"/>
    <s v="on time"/>
    <s v="August"/>
    <s v="Q3"/>
  </r>
  <r>
    <s v="ORD-01688"/>
    <x v="133"/>
    <d v="2024-08-05T00:00:00"/>
    <s v="CUST-0044"/>
    <s v="Noah Wilson"/>
    <x v="2"/>
    <x v="1"/>
    <s v="CA"/>
    <s v="Los Angeles"/>
    <x v="3"/>
    <x v="3"/>
    <s v="TEC-MON-202"/>
    <s v="ClearView Ultrawide Monitor"/>
    <x v="3"/>
    <x v="4"/>
    <n v="3"/>
    <n v="513.01"/>
    <n v="0.12"/>
    <n v="13.79"/>
    <s v="Low"/>
    <s v="No"/>
    <n v="4"/>
    <s v="Valid"/>
    <x v="0"/>
    <d v="2021-10-12T00:00:00"/>
    <n v="310"/>
    <n v="1539.03"/>
    <n v="61.561199999999999"/>
    <n v="1477.4687999999999"/>
    <n v="930"/>
    <n v="547.46879999999987"/>
    <n v="0.37054508359161287"/>
    <n v="1"/>
    <s v="on time"/>
    <s v="August"/>
    <s v="Q3"/>
  </r>
  <r>
    <s v="ORD-01495"/>
    <x v="134"/>
    <d v="2024-08-15T00:00:00"/>
    <s v="CUST-0014"/>
    <s v="Maya Hall"/>
    <x v="1"/>
    <x v="0"/>
    <s v="NJ"/>
    <s v="Newark"/>
    <x v="0"/>
    <x v="5"/>
    <s v="OFF-BIN-201"/>
    <s v="Heavy-Duty Binder 12-Pack"/>
    <x v="2"/>
    <x v="6"/>
    <n v="10"/>
    <n v="36.74"/>
    <n v="0.05"/>
    <n v="7.95"/>
    <s v="Low"/>
    <s v="No"/>
    <n v="5"/>
    <s v="Valid"/>
    <x v="3"/>
    <d v="2024-09-03T00:00:00"/>
    <n v="18"/>
    <n v="367.40000000000003"/>
    <n v="1.8370000000000002"/>
    <n v="365.56300000000005"/>
    <n v="180"/>
    <n v="185.56300000000005"/>
    <n v="0.50760881161386684"/>
    <n v="8"/>
    <s v="on time"/>
    <s v="August"/>
    <s v="Q3"/>
  </r>
  <r>
    <s v="ORD-01063"/>
    <x v="135"/>
    <d v="2024-08-10T00:00:00"/>
    <s v="CUST-0149"/>
    <s v="Lena Garcia"/>
    <x v="2"/>
    <x v="2"/>
    <s v="TX"/>
    <s v="Austin"/>
    <x v="2"/>
    <x v="1"/>
    <s v="TEC-ACC-301"/>
    <s v="Wireless Keyboard and Mouse"/>
    <x v="3"/>
    <x v="10"/>
    <n v="2"/>
    <n v="57.37"/>
    <n v="0.01"/>
    <n v="6.51"/>
    <s v="High"/>
    <s v="No"/>
    <n v="1"/>
    <s v="Valid"/>
    <x v="2"/>
    <d v="2023-08-18T00:00:00"/>
    <n v="28"/>
    <n v="114.74"/>
    <n v="0.57369999999999999"/>
    <n v="114.16629999999999"/>
    <n v="56"/>
    <n v="58.166299999999993"/>
    <n v="0.50948747572619935"/>
    <n v="1"/>
    <s v="on time"/>
    <s v="August"/>
    <s v="Q3"/>
  </r>
  <r>
    <s v="ORD-01326"/>
    <x v="135"/>
    <d v="2024-08-15T00:00:00"/>
    <s v="CUST-0119"/>
    <s v="Quinn Scott"/>
    <x v="2"/>
    <x v="0"/>
    <s v="VA"/>
    <s v="Richmond"/>
    <x v="3"/>
    <x v="0"/>
    <s v="OFF-PAP-102"/>
    <s v="Recycled Notebook Pack"/>
    <x v="2"/>
    <x v="12"/>
    <n v="7"/>
    <n v="21.89"/>
    <n v="0.27"/>
    <n v="9.67"/>
    <s v="Low"/>
    <s v="No"/>
    <n v="1"/>
    <s v="Valid"/>
    <x v="3"/>
    <d v="2025-01-23T00:00:00"/>
    <n v="10"/>
    <n v="153.23000000000002"/>
    <n v="5.9103000000000003"/>
    <n v="147.31970000000001"/>
    <n v="70"/>
    <n v="77.319700000000012"/>
    <n v="0.52484290967195835"/>
    <n v="6"/>
    <s v="on time"/>
    <s v="August"/>
    <s v="Q3"/>
  </r>
  <r>
    <s v="ORD-01057"/>
    <x v="136"/>
    <d v="2024-08-15T00:00:00"/>
    <s v="CUST-0039"/>
    <s v="Priya Miller"/>
    <x v="2"/>
    <x v="2"/>
    <s v="IL"/>
    <s v="Chicago"/>
    <x v="0"/>
    <x v="3"/>
    <s v="TEC-LAP-102"/>
    <s v="ApexBook Pro 16 Laptop"/>
    <x v="3"/>
    <x v="7"/>
    <n v="4"/>
    <n v="1318.02"/>
    <n v="0.03"/>
    <n v="21.77"/>
    <s v="Medium"/>
    <s v="No"/>
    <n v="3"/>
    <s v="Valid"/>
    <x v="3"/>
    <d v="2022-09-14T00:00:00"/>
    <n v="885"/>
    <n v="5272.08"/>
    <n v="39.540599999999998"/>
    <n v="5232.5393999999997"/>
    <n v="3540"/>
    <n v="1692.5393999999997"/>
    <n v="0.32346424376661165"/>
    <n v="5"/>
    <s v="on time"/>
    <s v="August"/>
    <s v="Q3"/>
  </r>
  <r>
    <s v="ORD-01558"/>
    <x v="136"/>
    <d v="2024-08-12T00:00:00"/>
    <s v="CUST-0135"/>
    <s v="Nia Miller"/>
    <x v="0"/>
    <x v="1"/>
    <s v="CA"/>
    <s v="San Diego"/>
    <x v="2"/>
    <x v="1"/>
    <s v="OFF-WRT-302"/>
    <s v="Mechanical Pencil Set"/>
    <x v="2"/>
    <x v="8"/>
    <n v="4"/>
    <n v="11.64"/>
    <n v="0.09"/>
    <n v="15.49"/>
    <s v="High"/>
    <s v="No"/>
    <m/>
    <s v="Valid"/>
    <x v="2"/>
    <d v="2022-05-18T00:00:00"/>
    <n v="5"/>
    <n v="46.56"/>
    <n v="1.0476000000000001"/>
    <n v="45.5124"/>
    <n v="20"/>
    <n v="25.5124"/>
    <n v="0.56055932009738008"/>
    <n v="2"/>
    <s v="on time"/>
    <s v="August"/>
    <s v="Q3"/>
  </r>
  <r>
    <s v="ORD-01166"/>
    <x v="137"/>
    <d v="2024-08-20T00:00:00"/>
    <s v="CUST-0116"/>
    <s v="Iris Clark"/>
    <x v="1"/>
    <x v="3"/>
    <s v="TN"/>
    <s v="Nashville"/>
    <x v="1"/>
    <x v="0"/>
    <s v="OFF-PAP-102"/>
    <s v="Recycled Notebook Pack"/>
    <x v="2"/>
    <x v="12"/>
    <n v="7"/>
    <n v="20.86"/>
    <n v="0.06"/>
    <n v="5.26"/>
    <s v="Critical"/>
    <s v="No"/>
    <m/>
    <s v="Valid"/>
    <x v="2"/>
    <d v="2021-09-08T00:00:00"/>
    <n v="10"/>
    <n v="146.01999999999998"/>
    <n v="1.2515999999999998"/>
    <n v="144.76839999999999"/>
    <n v="70"/>
    <n v="74.768399999999986"/>
    <n v="0.5164690636906949"/>
    <n v="8"/>
    <s v="on time"/>
    <s v="August"/>
    <s v="Q3"/>
  </r>
  <r>
    <s v="ORD-01488"/>
    <x v="137"/>
    <d v="2024-08-21T00:00:00"/>
    <s v="CUST-0051"/>
    <s v="Drew Wright"/>
    <x v="1"/>
    <x v="3"/>
    <s v="TN"/>
    <s v="Nashville"/>
    <x v="2"/>
    <x v="1"/>
    <s v="TEC-ACC-302"/>
    <s v="USB-C Docking Station"/>
    <x v="3"/>
    <x v="10"/>
    <n v="3"/>
    <n v="140.46"/>
    <n v="0.02"/>
    <n v="5.12"/>
    <s v="High"/>
    <s v="No"/>
    <n v="5"/>
    <s v="Valid"/>
    <x v="0"/>
    <d v="2022-11-16T00:00:00"/>
    <n v="72"/>
    <n v="421.38"/>
    <n v="2.8092000000000001"/>
    <n v="418.57080000000002"/>
    <n v="216"/>
    <n v="202.57080000000002"/>
    <n v="0.48395826942538755"/>
    <n v="9"/>
    <s v="on time"/>
    <s v="August"/>
    <s v="Q3"/>
  </r>
  <r>
    <s v="ORD-01597"/>
    <x v="137"/>
    <d v="2024-08-15T00:00:00"/>
    <s v="CUST-0048"/>
    <s v="Drew Clark"/>
    <x v="1"/>
    <x v="0"/>
    <s v="NY"/>
    <s v="New York"/>
    <x v="0"/>
    <x v="4"/>
    <s v="OFF-SUP-401"/>
    <s v="Desk Organizer Kit"/>
    <x v="2"/>
    <x v="2"/>
    <n v="3"/>
    <n v="27.1"/>
    <n v="0.09"/>
    <n v="9.61"/>
    <s v="High"/>
    <s v="Yes"/>
    <m/>
    <s v="Valid"/>
    <x v="2"/>
    <d v="2025-08-10T00:00:00"/>
    <n v="12"/>
    <n v="81.300000000000011"/>
    <n v="2.4390000000000001"/>
    <n v="78.861000000000018"/>
    <n v="36"/>
    <n v="42.861000000000018"/>
    <n v="0.54350058964507186"/>
    <n v="3"/>
    <s v="on time"/>
    <s v="August"/>
    <s v="Q3"/>
  </r>
  <r>
    <s v="ORD-01169"/>
    <x v="138"/>
    <d v="2024-08-14T00:00:00"/>
    <s v="CUST-0132"/>
    <s v="Priya Young"/>
    <x v="0"/>
    <x v="0"/>
    <s v="NJ"/>
    <s v="Newark"/>
    <x v="2"/>
    <x v="5"/>
    <s v="TEC-LAP-102"/>
    <s v="ApexBook Pro 16 Laptop"/>
    <x v="3"/>
    <x v="7"/>
    <n v="4"/>
    <n v="1377.09"/>
    <n v="0.12"/>
    <n v="18.93"/>
    <s v="Critical"/>
    <s v="No"/>
    <n v="1"/>
    <s v="Valid"/>
    <x v="0"/>
    <d v="2021-03-16T00:00:00"/>
    <n v="885"/>
    <n v="5508.36"/>
    <n v="165.2508"/>
    <n v="5343.1091999999999"/>
    <n v="3540"/>
    <n v="1803.1091999999999"/>
    <n v="0.33746441117093395"/>
    <n v="1"/>
    <s v="on time"/>
    <s v="August"/>
    <s v="Q3"/>
  </r>
  <r>
    <s v="ORD-01476"/>
    <x v="139"/>
    <d v="2024-08-22T00:00:00"/>
    <s v="CUST-0127"/>
    <s v="Riley Wilson"/>
    <x v="1"/>
    <x v="1"/>
    <s v="OR"/>
    <s v="Portland"/>
    <x v="3"/>
    <x v="0"/>
    <s v="TEC-NET-401"/>
    <s v="Mesh Wi-Fi Router"/>
    <x v="3"/>
    <x v="5"/>
    <n v="3"/>
    <n v="182.56"/>
    <n v="0.09"/>
    <n v="8.85"/>
    <s v="Critical"/>
    <s v="No"/>
    <n v="5"/>
    <s v="Valid"/>
    <x v="2"/>
    <d v="2021-01-05T00:00:00"/>
    <n v="96"/>
    <n v="547.68000000000006"/>
    <n v="16.430399999999999"/>
    <n v="531.2496000000001"/>
    <n v="288"/>
    <n v="243.2496000000001"/>
    <n v="0.45788194475817029"/>
    <n v="8"/>
    <s v="on time"/>
    <s v="August"/>
    <s v="Q3"/>
  </r>
  <r>
    <s v="ORD-01646"/>
    <x v="139"/>
    <d v="2024-08-22T00:00:00"/>
    <s v="CUST-0080"/>
    <s v="Skyler Allen"/>
    <x v="2"/>
    <x v="2"/>
    <s v="IL"/>
    <s v="Chicago"/>
    <x v="2"/>
    <x v="5"/>
    <s v="OFF-WRT-302"/>
    <s v="Mechanical Pencil Set"/>
    <x v="2"/>
    <x v="8"/>
    <n v="7"/>
    <n v="11.68"/>
    <n v="0.1"/>
    <n v="9.24"/>
    <s v="Medium"/>
    <s v="No"/>
    <n v="5"/>
    <s v="Valid"/>
    <x v="1"/>
    <d v="2025-02-25T00:00:00"/>
    <n v="5"/>
    <n v="81.759999999999991"/>
    <n v="1.1679999999999999"/>
    <n v="80.591999999999985"/>
    <n v="35"/>
    <n v="45.591999999999985"/>
    <n v="0.56571371848322405"/>
    <n v="8"/>
    <s v="on time"/>
    <s v="August"/>
    <s v="Q3"/>
  </r>
  <r>
    <s v="ORD-01113"/>
    <x v="140"/>
    <d v="2024-08-21T00:00:00"/>
    <s v="CUST-0165"/>
    <s v="Maya Wilson"/>
    <x v="1"/>
    <x v="0"/>
    <s v="MA"/>
    <s v="Boston"/>
    <x v="2"/>
    <x v="0"/>
    <s v="APP-KIT-101"/>
    <s v="Compact Coffee Brewer"/>
    <x v="0"/>
    <x v="0"/>
    <n v="7"/>
    <n v="93.98"/>
    <n v="0.12"/>
    <n v="11.39"/>
    <s v="High"/>
    <s v="No"/>
    <n v="3"/>
    <s v="Valid"/>
    <x v="0"/>
    <d v="2022-12-14T00:00:00"/>
    <n v="48"/>
    <n v="657.86"/>
    <n v="11.2776"/>
    <n v="646.58240000000001"/>
    <n v="336"/>
    <n v="310.58240000000001"/>
    <n v="0.48034465522105146"/>
    <n v="6"/>
    <s v="on time"/>
    <s v="August"/>
    <s v="Q3"/>
  </r>
  <r>
    <s v="ORD-01268"/>
    <x v="140"/>
    <d v="2024-08-18T00:00:00"/>
    <s v="CUST-0015"/>
    <s v="Taylor Brown"/>
    <x v="0"/>
    <x v="0"/>
    <s v="PA"/>
    <s v="Philadelphia"/>
    <x v="2"/>
    <x v="0"/>
    <s v="OFF-BIN-201"/>
    <s v="Heavy-Duty Binder 12-Pack"/>
    <x v="2"/>
    <x v="6"/>
    <n v="10"/>
    <n v="34.19"/>
    <n v="0.1"/>
    <n v="16.54"/>
    <s v="Low"/>
    <s v="No"/>
    <n v="4"/>
    <s v="Valid"/>
    <x v="0"/>
    <d v="2024-05-23T00:00:00"/>
    <n v="18"/>
    <n v="341.9"/>
    <n v="3.419"/>
    <n v="338.48099999999999"/>
    <n v="180"/>
    <n v="158.48099999999999"/>
    <n v="0.46821239596904995"/>
    <n v="3"/>
    <s v="on time"/>
    <s v="August"/>
    <s v="Q3"/>
  </r>
  <r>
    <s v="ORD-01586"/>
    <x v="140"/>
    <d v="2024-08-24T00:00:00"/>
    <s v="CUST-0026"/>
    <s v="Casey Brown"/>
    <x v="0"/>
    <x v="1"/>
    <s v="OR"/>
    <s v="Portland"/>
    <x v="3"/>
    <x v="5"/>
    <s v="TEC-ACC-302"/>
    <s v="USB-C Docking Station"/>
    <x v="3"/>
    <x v="10"/>
    <n v="3"/>
    <n v="143.59"/>
    <n v="0.01"/>
    <n v="15.99"/>
    <s v="Low"/>
    <s v="No"/>
    <n v="1"/>
    <s v="Valid"/>
    <x v="3"/>
    <d v="2022-07-13T00:00:00"/>
    <n v="72"/>
    <n v="430.77"/>
    <n v="1.4359"/>
    <n v="429.33409999999998"/>
    <n v="216"/>
    <n v="213.33409999999998"/>
    <n v="0.49689530833912327"/>
    <n v="9"/>
    <s v="on time"/>
    <s v="August"/>
    <s v="Q3"/>
  </r>
  <r>
    <s v="ORD-01640"/>
    <x v="140"/>
    <d v="2024-08-25T00:00:00"/>
    <s v="CUST-0013"/>
    <s v="Drew Allen"/>
    <x v="2"/>
    <x v="3"/>
    <s v="FL"/>
    <s v="Miami"/>
    <x v="3"/>
    <x v="2"/>
    <s v="OFF-SUP-402"/>
    <s v="Label Maker"/>
    <x v="2"/>
    <x v="2"/>
    <n v="5"/>
    <n v="72.52"/>
    <n v="0.06"/>
    <n v="13.72"/>
    <s v="High"/>
    <s v="No"/>
    <n v="3"/>
    <s v="Valid"/>
    <x v="3"/>
    <d v="2025-08-16T00:00:00"/>
    <n v="36"/>
    <n v="362.59999999999997"/>
    <n v="4.3511999999999995"/>
    <n v="358.24879999999996"/>
    <n v="180"/>
    <n v="178.24879999999996"/>
    <n v="0.4975558885333321"/>
    <n v="10"/>
    <s v="on time"/>
    <s v="August"/>
    <s v="Q3"/>
  </r>
  <r>
    <s v="ORD-01247"/>
    <x v="141"/>
    <d v="2024-08-24T00:00:00"/>
    <s v="CUST-0144"/>
    <s v="Iris Garcia"/>
    <x v="1"/>
    <x v="2"/>
    <s v="IL"/>
    <s v="Chicago"/>
    <x v="3"/>
    <x v="5"/>
    <s v="FUR-STO-302"/>
    <s v="Modular Bookcase"/>
    <x v="1"/>
    <x v="9"/>
    <n v="3"/>
    <n v="230.56"/>
    <n v="0.02"/>
    <n v="18.16"/>
    <s v="Critical"/>
    <s v="No"/>
    <m/>
    <s v="Valid"/>
    <x v="1"/>
    <d v="2023-06-25T00:00:00"/>
    <n v="118"/>
    <n v="691.68000000000006"/>
    <n v="4.6112000000000002"/>
    <n v="687.06880000000001"/>
    <n v="354"/>
    <n v="333.06880000000001"/>
    <n v="0.48476775542711298"/>
    <n v="8"/>
    <s v="on time"/>
    <s v="August"/>
    <s v="Q3"/>
  </r>
  <r>
    <s v="ORD-01396"/>
    <x v="142"/>
    <d v="2024-08-23T00:00:00"/>
    <s v="CUST-0105"/>
    <s v="Skyler Miller"/>
    <x v="2"/>
    <x v="3"/>
    <s v="FL"/>
    <s v="Miami"/>
    <x v="0"/>
    <x v="5"/>
    <s v="OFF-BIN-202"/>
    <s v="Presentation Folder Box"/>
    <x v="2"/>
    <x v="6"/>
    <n v="2"/>
    <n v="28.09"/>
    <n v="0.1"/>
    <n v="12.37"/>
    <s v="Critical"/>
    <s v="No"/>
    <n v="4"/>
    <s v="Valid"/>
    <x v="3"/>
    <d v="2022-02-18T00:00:00"/>
    <n v="14"/>
    <n v="56.18"/>
    <n v="2.8090000000000002"/>
    <n v="53.371000000000002"/>
    <n v="28"/>
    <n v="25.371000000000002"/>
    <n v="0.47537051957055332"/>
    <n v="5"/>
    <s v="on time"/>
    <s v="August"/>
    <s v="Q3"/>
  </r>
  <r>
    <s v="ORD-01577"/>
    <x v="143"/>
    <d v="2024-08-30T00:00:00"/>
    <s v="CUST-0085"/>
    <s v="Avery Chen"/>
    <x v="2"/>
    <x v="2"/>
    <s v="OH"/>
    <s v="Columbus"/>
    <x v="0"/>
    <x v="1"/>
    <s v="FUR-STO-301"/>
    <s v="Two-Drawer File Cabinet"/>
    <x v="1"/>
    <x v="9"/>
    <n v="3"/>
    <n v="175.9"/>
    <n v="7.0000000000000007E-2"/>
    <n v="25.86"/>
    <s v="Medium"/>
    <s v="No"/>
    <n v="3"/>
    <s v="Valid"/>
    <x v="1"/>
    <d v="2025-07-20T00:00:00"/>
    <n v="88"/>
    <n v="527.70000000000005"/>
    <n v="12.313000000000002"/>
    <n v="515.38700000000006"/>
    <n v="264"/>
    <n v="251.38700000000006"/>
    <n v="0.48776356407903193"/>
    <n v="10"/>
    <s v="on time"/>
    <s v="August"/>
    <s v="Q3"/>
  </r>
  <r>
    <s v="ORD-01409"/>
    <x v="144"/>
    <d v="2024-08-28T00:00:00"/>
    <s v="CUST-0136"/>
    <s v="Taylor Robinson"/>
    <x v="0"/>
    <x v="1"/>
    <s v="WA"/>
    <s v="Seattle"/>
    <x v="0"/>
    <x v="5"/>
    <s v="TEC-MON-201"/>
    <s v="ClearView 27 Monitor"/>
    <x v="3"/>
    <x v="4"/>
    <n v="2"/>
    <n v="274.79000000000002"/>
    <n v="0.22"/>
    <n v="11.08"/>
    <s v="Medium"/>
    <s v="No"/>
    <n v="5"/>
    <s v="Valid"/>
    <x v="2"/>
    <d v="2023-11-25T00:00:00"/>
    <n v="168"/>
    <n v="549.58000000000004"/>
    <n v="60.453800000000008"/>
    <n v="489.12620000000004"/>
    <n v="336"/>
    <n v="153.12620000000004"/>
    <n v="0.31306071929902757"/>
    <n v="7"/>
    <s v="on time"/>
    <s v="August"/>
    <s v="Q3"/>
  </r>
  <r>
    <s v="ORD-01484"/>
    <x v="145"/>
    <d v="2024-08-26T00:00:00"/>
    <s v="CUST-0162"/>
    <s v="Quinn Robinson"/>
    <x v="1"/>
    <x v="2"/>
    <s v="IL"/>
    <s v="Chicago"/>
    <x v="3"/>
    <x v="3"/>
    <s v="FUR-STO-302"/>
    <s v="Modular Bookcase"/>
    <x v="1"/>
    <x v="9"/>
    <n v="2"/>
    <n v="238.58"/>
    <n v="7.0000000000000007E-2"/>
    <n v="20.46"/>
    <s v="Critical"/>
    <s v="No"/>
    <n v="5"/>
    <s v="Valid"/>
    <x v="2"/>
    <d v="2023-12-22T00:00:00"/>
    <n v="118"/>
    <n v="477.16"/>
    <n v="16.700600000000001"/>
    <n v="460.45940000000002"/>
    <n v="236"/>
    <n v="224.45940000000002"/>
    <n v="0.4874683848347976"/>
    <n v="1"/>
    <s v="on time"/>
    <s v="August"/>
    <s v="Q3"/>
  </r>
  <r>
    <s v="ORD-01707"/>
    <x v="145"/>
    <d v="2024-08-30T00:00:00"/>
    <s v="CUST-0071"/>
    <s v="Avery Scott"/>
    <x v="1"/>
    <x v="3"/>
    <s v="LA"/>
    <s v="New Orleans"/>
    <x v="2"/>
    <x v="5"/>
    <s v="FUR-CHR-202"/>
    <s v="Mesh Conference Chair"/>
    <x v="1"/>
    <x v="11"/>
    <n v="3"/>
    <n v="150.56"/>
    <n v="0.02"/>
    <n v="19.89"/>
    <s v="Critical"/>
    <s v="No"/>
    <n v="3"/>
    <s v="Valid"/>
    <x v="2"/>
    <d v="2023-02-18T00:00:00"/>
    <n v="82"/>
    <n v="451.68"/>
    <n v="3.0112000000000001"/>
    <n v="448.66880000000003"/>
    <n v="246"/>
    <n v="202.66880000000003"/>
    <n v="0.45171137373492432"/>
    <n v="5"/>
    <s v="on time"/>
    <s v="August"/>
    <s v="Q3"/>
  </r>
  <r>
    <s v="ORD-01163"/>
    <x v="146"/>
    <d v="2024-09-07T00:00:00"/>
    <s v="CUST-0105"/>
    <s v="Skyler Miller"/>
    <x v="2"/>
    <x v="3"/>
    <s v="FL"/>
    <s v="Miami"/>
    <x v="1"/>
    <x v="1"/>
    <s v="FUR-STO-301"/>
    <s v="Two-Drawer File Cabinet"/>
    <x v="1"/>
    <x v="9"/>
    <n v="1"/>
    <n v="169.69"/>
    <n v="0.1"/>
    <n v="29.7"/>
    <s v="High"/>
    <s v="No"/>
    <n v="5"/>
    <s v="Valid"/>
    <x v="3"/>
    <d v="2022-02-18T00:00:00"/>
    <n v="88"/>
    <n v="169.69"/>
    <n v="16.969000000000001"/>
    <n v="152.721"/>
    <n v="88"/>
    <n v="64.721000000000004"/>
    <n v="0.42378585787154355"/>
    <n v="7"/>
    <s v="on time"/>
    <s v="August"/>
    <s v="Q3"/>
  </r>
  <r>
    <s v="ORD-01607"/>
    <x v="147"/>
    <d v="2024-09-10T00:00:00"/>
    <s v="CUST-0022"/>
    <s v="Sam Allen"/>
    <x v="2"/>
    <x v="2"/>
    <s v="TX"/>
    <s v="Austin"/>
    <x v="3"/>
    <x v="0"/>
    <s v="OFF-WRT-302"/>
    <s v="Mechanical Pencil Set"/>
    <x v="2"/>
    <x v="8"/>
    <n v="10"/>
    <n v="12.01"/>
    <n v="0.03"/>
    <n v="15.24"/>
    <s v="High"/>
    <s v="No"/>
    <n v="4"/>
    <s v="Valid"/>
    <x v="3"/>
    <d v="2024-03-21T00:00:00"/>
    <n v="5"/>
    <n v="120.1"/>
    <n v="0.36029999999999995"/>
    <n v="119.7397"/>
    <n v="50"/>
    <n v="69.739699999999999"/>
    <n v="0.58242754909190519"/>
    <n v="7"/>
    <s v="on time"/>
    <s v="September"/>
    <s v="Q3"/>
  </r>
  <r>
    <s v="ORD-01094"/>
    <x v="148"/>
    <d v="2024-09-15T00:00:00"/>
    <s v="CUST-0125"/>
    <s v="Iris Lopez"/>
    <x v="1"/>
    <x v="2"/>
    <s v="MN"/>
    <s v="Minneapolis"/>
    <x v="2"/>
    <x v="1"/>
    <s v="APP-CLN-201"/>
    <s v="Air Purifier"/>
    <x v="0"/>
    <x v="3"/>
    <n v="9"/>
    <n v="159.61000000000001"/>
    <n v="0.03"/>
    <n v="10.45"/>
    <s v="Critical"/>
    <s v="No"/>
    <n v="1"/>
    <s v="Valid"/>
    <x v="0"/>
    <d v="2023-10-02T00:00:00"/>
    <n v="82"/>
    <n v="1436.4900000000002"/>
    <n v="4.7883000000000004"/>
    <n v="1431.7017000000003"/>
    <n v="738"/>
    <n v="693.7017000000003"/>
    <n v="0.48452949381844007"/>
    <n v="9"/>
    <s v="on time"/>
    <s v="September"/>
    <s v="Q3"/>
  </r>
  <r>
    <s v="ORD-01209"/>
    <x v="149"/>
    <d v="2024-09-18T00:00:00"/>
    <s v="CUST-0122"/>
    <s v="Iris Wilson"/>
    <x v="1"/>
    <x v="2"/>
    <s v="IL"/>
    <s v="Chicago"/>
    <x v="2"/>
    <x v="3"/>
    <s v="APP-CLN-202"/>
    <s v="Robot Vacuum"/>
    <x v="0"/>
    <x v="3"/>
    <n v="5"/>
    <n v="304.74"/>
    <n v="0.01"/>
    <n v="13.15"/>
    <s v="Medium"/>
    <s v="No"/>
    <m/>
    <s v="Valid"/>
    <x v="2"/>
    <d v="2024-07-20T00:00:00"/>
    <n v="165"/>
    <n v="1523.7"/>
    <n v="3.0474000000000001"/>
    <n v="1520.6526000000001"/>
    <n v="825"/>
    <n v="695.65260000000012"/>
    <n v="0.45746977317501714"/>
    <n v="10"/>
    <s v="on time"/>
    <s v="September"/>
    <s v="Q3"/>
  </r>
  <r>
    <s v="ORD-01436"/>
    <x v="150"/>
    <d v="2024-09-14T00:00:00"/>
    <s v="CUST-0095"/>
    <s v="Drew Martinez"/>
    <x v="2"/>
    <x v="1"/>
    <s v="CA"/>
    <s v="Los Angeles"/>
    <x v="2"/>
    <x v="5"/>
    <s v="FUR-CHR-201"/>
    <s v="ErgoFlex Office Chair"/>
    <x v="1"/>
    <x v="11"/>
    <n v="2"/>
    <n v="271.18"/>
    <n v="0.23"/>
    <n v="27.19"/>
    <s v="Medium"/>
    <s v="No"/>
    <n v="5"/>
    <s v="Valid"/>
    <x v="2"/>
    <d v="2023-07-08T00:00:00"/>
    <n v="146"/>
    <n v="542.36"/>
    <n v="62.371400000000001"/>
    <n v="479.98860000000002"/>
    <n v="292"/>
    <n v="187.98860000000002"/>
    <n v="0.39165221840685388"/>
    <n v="5"/>
    <s v="on time"/>
    <s v="September"/>
    <s v="Q3"/>
  </r>
  <r>
    <s v="ORD-01248"/>
    <x v="151"/>
    <d v="2024-09-19T00:00:00"/>
    <s v="CUST-0165"/>
    <s v="Maya Wilson"/>
    <x v="1"/>
    <x v="0"/>
    <s v="MA"/>
    <s v="Boston"/>
    <x v="3"/>
    <x v="1"/>
    <s v="OFF-SUP-401"/>
    <s v="Desk Organizer Kit"/>
    <x v="2"/>
    <x v="2"/>
    <n v="4"/>
    <n v="25.75"/>
    <n v="0.01"/>
    <n v="5.57"/>
    <s v="Critical"/>
    <s v="No"/>
    <n v="1"/>
    <s v="Valid"/>
    <x v="0"/>
    <d v="2022-12-14T00:00:00"/>
    <n v="12"/>
    <n v="103"/>
    <n v="0.25750000000000001"/>
    <n v="102.74250000000001"/>
    <n v="48"/>
    <n v="54.742500000000007"/>
    <n v="0.53281261405942038"/>
    <n v="9"/>
    <s v="on time"/>
    <s v="September"/>
    <s v="Q3"/>
  </r>
  <r>
    <s v="ORD-01371"/>
    <x v="151"/>
    <d v="2024-09-19T00:00:00"/>
    <s v="CUST-0014"/>
    <s v="Maya Hall"/>
    <x v="1"/>
    <x v="0"/>
    <s v="NJ"/>
    <s v="Newark"/>
    <x v="2"/>
    <x v="5"/>
    <s v="FUR-DSK-101"/>
    <s v="Standing Desk 48"/>
    <x v="1"/>
    <x v="1"/>
    <n v="3"/>
    <n v="342.69"/>
    <n v="0.08"/>
    <n v="27.07"/>
    <s v="Critical"/>
    <s v="Yes"/>
    <m/>
    <s v="Valid"/>
    <x v="3"/>
    <d v="2024-09-03T00:00:00"/>
    <n v="184"/>
    <n v="1028.07"/>
    <n v="27.415199999999999"/>
    <n v="1000.6547999999999"/>
    <n v="552"/>
    <n v="448.65479999999991"/>
    <n v="0.44836121307767668"/>
    <n v="9"/>
    <s v="on time"/>
    <s v="September"/>
    <s v="Q3"/>
  </r>
  <r>
    <s v="ORD-01006"/>
    <x v="152"/>
    <d v="2024-09-20T00:00:00"/>
    <s v="CUST-0017"/>
    <s v="Cameron Chen"/>
    <x v="0"/>
    <x v="3"/>
    <s v="LA"/>
    <s v="New Orleans"/>
    <x v="1"/>
    <x v="2"/>
    <s v="OFF-SUP-402"/>
    <s v="Label Maker"/>
    <x v="2"/>
    <x v="2"/>
    <n v="9"/>
    <n v="75.53"/>
    <n v="0.02"/>
    <n v="13.1"/>
    <s v="Medium"/>
    <s v="No"/>
    <n v="4"/>
    <s v="Valid"/>
    <x v="0"/>
    <d v="2022-04-02T00:00:00"/>
    <n v="36"/>
    <n v="679.77"/>
    <n v="1.5106000000000002"/>
    <n v="678.25940000000003"/>
    <n v="324"/>
    <n v="354.25940000000003"/>
    <n v="0.52230665730544978"/>
    <n v="9"/>
    <s v="on time"/>
    <s v="September"/>
    <s v="Q3"/>
  </r>
  <r>
    <s v="ORD-01361"/>
    <x v="153"/>
    <d v="2024-09-24T00:00:00"/>
    <s v="CUST-0135"/>
    <s v="Nia Miller"/>
    <x v="0"/>
    <x v="1"/>
    <s v="CA"/>
    <s v="San Diego"/>
    <x v="0"/>
    <x v="2"/>
    <s v="TEC-ACC-302"/>
    <s v="USB-C Docking Station"/>
    <x v="3"/>
    <x v="10"/>
    <n v="1"/>
    <n v="141.57"/>
    <n v="0.03"/>
    <n v="12.09"/>
    <s v="Critical"/>
    <s v="No"/>
    <n v="3"/>
    <s v="Valid"/>
    <x v="2"/>
    <d v="2022-05-18T00:00:00"/>
    <n v="72"/>
    <n v="141.57"/>
    <n v="4.2470999999999997"/>
    <n v="137.3229"/>
    <n v="72"/>
    <n v="65.322900000000004"/>
    <n v="0.47568832292356195"/>
    <n v="10"/>
    <s v="on time"/>
    <s v="September"/>
    <s v="Q3"/>
  </r>
  <r>
    <s v="ORD-01245"/>
    <x v="154"/>
    <d v="2024-09-21T00:00:00"/>
    <s v="CUST-0148"/>
    <s v="Alex Wright"/>
    <x v="1"/>
    <x v="3"/>
    <s v="FL"/>
    <s v="Miami"/>
    <x v="2"/>
    <x v="1"/>
    <s v="TEC-LAP-102"/>
    <s v="ApexBook Pro 16 Laptop"/>
    <x v="3"/>
    <x v="7"/>
    <n v="4"/>
    <n v="1377.16"/>
    <n v="0.04"/>
    <n v="21"/>
    <s v="High"/>
    <s v="No"/>
    <n v="2"/>
    <s v="Valid"/>
    <x v="1"/>
    <d v="2025-01-13T00:00:00"/>
    <n v="885"/>
    <n v="5508.64"/>
    <n v="55.086400000000005"/>
    <n v="5453.5536000000002"/>
    <n v="3540"/>
    <n v="1913.5536000000002"/>
    <n v="0.35088196437640223"/>
    <n v="5"/>
    <s v="on time"/>
    <s v="September"/>
    <s v="Q3"/>
  </r>
  <r>
    <s v="ORD-01295"/>
    <x v="155"/>
    <d v="2024-09-26T00:00:00"/>
    <s v="CUST-0113"/>
    <s v="Priya Smith"/>
    <x v="2"/>
    <x v="2"/>
    <s v="CO"/>
    <s v="Denver"/>
    <x v="3"/>
    <x v="1"/>
    <s v="TEC-LAP-102"/>
    <s v="ApexBook Pro 16 Laptop"/>
    <x v="3"/>
    <x v="7"/>
    <n v="1"/>
    <n v="1359.78"/>
    <n v="0.03"/>
    <n v="7.49"/>
    <s v="Low"/>
    <s v="No"/>
    <n v="2"/>
    <s v="Valid"/>
    <x v="1"/>
    <d v="2021-01-23T00:00:00"/>
    <n v="885"/>
    <n v="1359.78"/>
    <n v="40.793399999999998"/>
    <n v="1318.9866"/>
    <n v="885"/>
    <n v="433.98659999999995"/>
    <n v="0.32903033283279753"/>
    <n v="8"/>
    <s v="on time"/>
    <s v="September"/>
    <s v="Q3"/>
  </r>
  <r>
    <s v="ORD-01532"/>
    <x v="156"/>
    <d v="2024-09-26T00:00:00"/>
    <s v="CUST-0139"/>
    <s v="Riley Clark"/>
    <x v="2"/>
    <x v="3"/>
    <s v="GA"/>
    <s v="Atlanta"/>
    <x v="2"/>
    <x v="2"/>
    <s v="OFF-PAP-101"/>
    <s v="Premium Copy Paper Case"/>
    <x v="2"/>
    <x v="12"/>
    <n v="9"/>
    <n v="39.1"/>
    <n v="0.1"/>
    <n v="5.8"/>
    <s v="Low"/>
    <s v="No"/>
    <n v="5"/>
    <s v="Valid"/>
    <x v="1"/>
    <d v="2023-09-02T00:00:00"/>
    <n v="20"/>
    <n v="351.90000000000003"/>
    <n v="3.91"/>
    <n v="347.99"/>
    <n v="180"/>
    <n v="167.99"/>
    <n v="0.48274375700451166"/>
    <n v="7"/>
    <s v="on time"/>
    <s v="September"/>
    <s v="Q3"/>
  </r>
  <r>
    <s v="ORD-01585"/>
    <x v="157"/>
    <d v="2024-09-30T00:00:00"/>
    <s v="CUST-0023"/>
    <s v="Jordan Smith"/>
    <x v="1"/>
    <x v="0"/>
    <s v="NJ"/>
    <s v="Newark"/>
    <x v="3"/>
    <x v="1"/>
    <s v="FUR-DSK-101"/>
    <s v="Standing Desk 48"/>
    <x v="1"/>
    <x v="1"/>
    <n v="1"/>
    <n v="339.99"/>
    <n v="0.08"/>
    <n v="27.42"/>
    <s v="Critical"/>
    <s v="No"/>
    <m/>
    <s v="Valid"/>
    <x v="1"/>
    <d v="2023-05-13T00:00:00"/>
    <n v="184"/>
    <n v="339.99"/>
    <n v="27.199200000000001"/>
    <n v="312.79079999999999"/>
    <n v="184"/>
    <n v="128.79079999999999"/>
    <n v="0.41174740433542162"/>
    <n v="10"/>
    <s v="on time"/>
    <s v="September"/>
    <s v="Q3"/>
  </r>
  <r>
    <s v="ORD-01125"/>
    <x v="158"/>
    <d v="2024-09-30T00:00:00"/>
    <s v="CUST-0048"/>
    <s v="Drew Clark"/>
    <x v="1"/>
    <x v="0"/>
    <s v="NY"/>
    <s v="New York"/>
    <x v="3"/>
    <x v="0"/>
    <s v="FUR-DSK-101"/>
    <s v="Standing Desk 48"/>
    <x v="1"/>
    <x v="1"/>
    <n v="1"/>
    <n v="329.87"/>
    <n v="0.11"/>
    <n v="29.36"/>
    <s v="Medium"/>
    <s v="No"/>
    <n v="3"/>
    <s v="Valid"/>
    <x v="2"/>
    <d v="2025-08-10T00:00:00"/>
    <n v="184"/>
    <n v="329.87"/>
    <n v="36.285699999999999"/>
    <n v="293.58429999999998"/>
    <n v="184"/>
    <n v="109.58429999999998"/>
    <n v="0.37326348854485741"/>
    <n v="7"/>
    <s v="on time"/>
    <s v="September"/>
    <s v="Q3"/>
  </r>
  <r>
    <s v="ORD-01465"/>
    <x v="158"/>
    <d v="2024-09-29T00:00:00"/>
    <s v="CUST-0138"/>
    <s v="Morgan Johnson"/>
    <x v="1"/>
    <x v="2"/>
    <s v="CO"/>
    <s v="Denver"/>
    <x v="0"/>
    <x v="1"/>
    <s v="APP-CLN-202"/>
    <s v="Robot Vacuum"/>
    <x v="0"/>
    <x v="3"/>
    <n v="1"/>
    <n v="331.87"/>
    <n v="0.06"/>
    <n v="9.1300000000000008"/>
    <s v="High"/>
    <s v="No"/>
    <n v="4"/>
    <s v="Valid"/>
    <x v="3"/>
    <d v="2025-12-06T00:00:00"/>
    <n v="165"/>
    <n v="331.87"/>
    <n v="19.912199999999999"/>
    <n v="311.95780000000002"/>
    <n v="165"/>
    <n v="146.95780000000002"/>
    <n v="0.47108230664532191"/>
    <n v="6"/>
    <s v="on time"/>
    <s v="September"/>
    <s v="Q3"/>
  </r>
  <r>
    <s v="ORD-01127"/>
    <x v="159"/>
    <d v="2024-09-26T00:00:00"/>
    <s v="CUST-0144"/>
    <s v="Iris Garcia"/>
    <x v="1"/>
    <x v="2"/>
    <s v="IL"/>
    <s v="Chicago"/>
    <x v="1"/>
    <x v="3"/>
    <s v="APP-CLN-202"/>
    <s v="Robot Vacuum"/>
    <x v="0"/>
    <x v="3"/>
    <n v="1"/>
    <n v="324.16000000000003"/>
    <n v="0.01"/>
    <n v="5.91"/>
    <s v="Low"/>
    <s v="No"/>
    <m/>
    <s v="Valid"/>
    <x v="1"/>
    <d v="2023-06-25T00:00:00"/>
    <n v="165"/>
    <n v="324.16000000000003"/>
    <n v="3.2416000000000005"/>
    <n v="320.91840000000002"/>
    <n v="165"/>
    <n v="155.91840000000002"/>
    <n v="0.48585060875287928"/>
    <n v="2"/>
    <s v="on time"/>
    <s v="September"/>
    <s v="Q3"/>
  </r>
  <r>
    <s v="ORD-01162"/>
    <x v="160"/>
    <d v="2024-10-04T00:00:00"/>
    <s v="CUST-0132"/>
    <s v="Priya Young"/>
    <x v="0"/>
    <x v="0"/>
    <s v="NJ"/>
    <s v="Newark"/>
    <x v="3"/>
    <x v="0"/>
    <s v="OFF-BIN-202"/>
    <s v="Presentation Folder Box"/>
    <x v="2"/>
    <x v="6"/>
    <n v="1"/>
    <n v="28.23"/>
    <n v="0.01"/>
    <n v="9.64"/>
    <s v="Medium"/>
    <s v="No"/>
    <n v="4"/>
    <s v="Valid"/>
    <x v="0"/>
    <d v="2021-03-16T00:00:00"/>
    <n v="14"/>
    <n v="28.23"/>
    <n v="0.2823"/>
    <n v="27.947700000000001"/>
    <n v="14"/>
    <n v="13.947700000000001"/>
    <n v="0.49906432371894649"/>
    <n v="7"/>
    <s v="on time"/>
    <s v="September"/>
    <s v="Q3"/>
  </r>
  <r>
    <s v="ORD-01263"/>
    <x v="160"/>
    <d v="2024-10-06T00:00:00"/>
    <s v="CUST-0132"/>
    <s v="Priya Young"/>
    <x v="0"/>
    <x v="0"/>
    <s v="NJ"/>
    <s v="Newark"/>
    <x v="3"/>
    <x v="0"/>
    <s v="OFF-SUP-402"/>
    <s v="Label Maker"/>
    <x v="2"/>
    <x v="2"/>
    <n v="9"/>
    <n v="71.03"/>
    <n v="0.05"/>
    <n v="11.24"/>
    <s v="Medium"/>
    <s v="No"/>
    <n v="1"/>
    <s v="Valid"/>
    <x v="0"/>
    <d v="2021-03-16T00:00:00"/>
    <n v="36"/>
    <n v="639.27"/>
    <n v="3.5515000000000003"/>
    <n v="635.71849999999995"/>
    <n v="324"/>
    <n v="311.71849999999995"/>
    <n v="0.49034045729359765"/>
    <n v="9"/>
    <s v="on time"/>
    <s v="September"/>
    <s v="Q3"/>
  </r>
  <r>
    <s v="ORD-01277"/>
    <x v="160"/>
    <d v="2024-09-30T00:00:00"/>
    <s v="CUST-0135"/>
    <s v="Nia Miller"/>
    <x v="0"/>
    <x v="1"/>
    <s v="CA"/>
    <s v="San Diego"/>
    <x v="1"/>
    <x v="2"/>
    <s v="FUR-CHR-202"/>
    <s v="Mesh Conference Chair"/>
    <x v="1"/>
    <x v="11"/>
    <n v="1"/>
    <n v="143.31"/>
    <n v="0.01"/>
    <n v="22.31"/>
    <s v="Low"/>
    <s v="No"/>
    <n v="1"/>
    <s v="Valid"/>
    <x v="2"/>
    <d v="2022-05-18T00:00:00"/>
    <n v="82"/>
    <n v="143.31"/>
    <n v="1.4331"/>
    <n v="141.87690000000001"/>
    <n v="82"/>
    <n v="59.876900000000006"/>
    <n v="0.42203417187716957"/>
    <n v="3"/>
    <s v="on time"/>
    <s v="September"/>
    <s v="Q3"/>
  </r>
  <r>
    <s v="ORD-01387"/>
    <x v="160"/>
    <d v="2024-10-02T00:00:00"/>
    <s v="CUST-0127"/>
    <s v="Riley Wilson"/>
    <x v="1"/>
    <x v="1"/>
    <s v="OR"/>
    <s v="Portland"/>
    <x v="3"/>
    <x v="2"/>
    <s v="FUR-DSK-101"/>
    <s v="Standing Desk 48"/>
    <x v="1"/>
    <x v="1"/>
    <n v="2"/>
    <n v="326.13"/>
    <n v="0.03"/>
    <n v="29.35"/>
    <s v="Low"/>
    <s v="No"/>
    <n v="2"/>
    <s v="Valid"/>
    <x v="2"/>
    <d v="2021-01-05T00:00:00"/>
    <n v="184"/>
    <n v="652.26"/>
    <n v="9.7838999999999992"/>
    <n v="642.47609999999997"/>
    <n v="368"/>
    <n v="274.47609999999997"/>
    <n v="0.42721604741405944"/>
    <n v="5"/>
    <s v="on time"/>
    <s v="September"/>
    <s v="Q3"/>
  </r>
  <r>
    <s v="ORD-01406"/>
    <x v="161"/>
    <d v="2024-10-07T00:00:00"/>
    <s v="CUST-0123"/>
    <s v="Taylor Wright"/>
    <x v="1"/>
    <x v="1"/>
    <s v="CA"/>
    <s v="San Diego"/>
    <x v="3"/>
    <x v="2"/>
    <s v="OFF-SUP-402"/>
    <s v="Label Maker"/>
    <x v="2"/>
    <x v="2"/>
    <n v="4"/>
    <n v="78.13"/>
    <n v="0.1"/>
    <n v="15.68"/>
    <s v="High"/>
    <s v="No"/>
    <n v="2"/>
    <s v="Valid"/>
    <x v="0"/>
    <d v="2024-07-22T00:00:00"/>
    <n v="36"/>
    <n v="312.52"/>
    <n v="7.8129999999999997"/>
    <n v="304.70699999999999"/>
    <n v="144"/>
    <n v="160.70699999999999"/>
    <n v="0.52741486083352207"/>
    <n v="9"/>
    <s v="on time"/>
    <s v="September"/>
    <s v="Q3"/>
  </r>
  <r>
    <s v="ORD-01527"/>
    <x v="161"/>
    <d v="2024-10-05T00:00:00"/>
    <s v="CUST-0059"/>
    <s v="Avery Young"/>
    <x v="1"/>
    <x v="1"/>
    <s v="CA"/>
    <s v="San Diego"/>
    <x v="2"/>
    <x v="0"/>
    <s v="OFF-PAP-101"/>
    <s v="Premium Copy Paper Case"/>
    <x v="2"/>
    <x v="12"/>
    <n v="8"/>
    <n v="39.049999999999997"/>
    <n v="0.05"/>
    <n v="11.8"/>
    <s v="Critical"/>
    <s v="No"/>
    <n v="4"/>
    <s v="Valid"/>
    <x v="0"/>
    <d v="2021-10-07T00:00:00"/>
    <n v="20"/>
    <n v="312.39999999999998"/>
    <n v="1.9524999999999999"/>
    <n v="310.44749999999999"/>
    <n v="160"/>
    <n v="150.44749999999999"/>
    <n v="0.48461495099815588"/>
    <n v="7"/>
    <s v="on time"/>
    <s v="September"/>
    <s v="Q3"/>
  </r>
  <r>
    <s v="ORD-01350"/>
    <x v="162"/>
    <d v="2024-10-10T00:00:00"/>
    <s v="CUST-0010"/>
    <s v="Cameron Kim"/>
    <x v="0"/>
    <x v="1"/>
    <s v="CA"/>
    <s v="San Diego"/>
    <x v="1"/>
    <x v="0"/>
    <s v="FUR-CHR-202"/>
    <s v="Mesh Conference Chair"/>
    <x v="1"/>
    <x v="11"/>
    <n v="3"/>
    <n v="152.91"/>
    <n v="0.05"/>
    <n v="21.03"/>
    <s v="High"/>
    <s v="No"/>
    <m/>
    <s v="Valid"/>
    <x v="0"/>
    <d v="2022-07-10T00:00:00"/>
    <n v="82"/>
    <n v="458.73"/>
    <n v="7.6455000000000002"/>
    <n v="451.08449999999999"/>
    <n v="246"/>
    <n v="205.08449999999999"/>
    <n v="0.45464763253891455"/>
    <n v="8"/>
    <s v="on time"/>
    <s v="October"/>
    <s v="Q4"/>
  </r>
  <r>
    <s v="ORD-01132"/>
    <x v="163"/>
    <d v="2024-10-14T00:00:00"/>
    <s v="CUST-0109"/>
    <s v="Iris Clark"/>
    <x v="0"/>
    <x v="3"/>
    <s v="NC"/>
    <s v="Charlotte"/>
    <x v="3"/>
    <x v="4"/>
    <s v="TEC-NET-402"/>
    <s v="8-Port Network Switch"/>
    <x v="3"/>
    <x v="5"/>
    <n v="2"/>
    <n v="85.47"/>
    <n v="0.08"/>
    <n v="8.56"/>
    <s v="Critical"/>
    <s v="No"/>
    <n v="1"/>
    <s v="Valid"/>
    <x v="2"/>
    <d v="2024-08-12T00:00:00"/>
    <n v="44"/>
    <n v="170.94"/>
    <n v="6.8376000000000001"/>
    <n v="164.10239999999999"/>
    <n v="88"/>
    <n v="76.102399999999989"/>
    <n v="0.46374946374946369"/>
    <n v="10"/>
    <s v="on time"/>
    <s v="October"/>
    <s v="Q4"/>
  </r>
  <r>
    <s v="ORD-01339"/>
    <x v="164"/>
    <d v="2024-10-06T00:00:00"/>
    <s v="CUST-0131"/>
    <s v="Drew Garcia"/>
    <x v="1"/>
    <x v="3"/>
    <s v="GA"/>
    <s v="Atlanta"/>
    <x v="2"/>
    <x v="0"/>
    <s v="TEC-LAP-102"/>
    <s v="ApexBook Pro 16 Laptop"/>
    <x v="3"/>
    <x v="7"/>
    <n v="3"/>
    <n v="1327.72"/>
    <n v="0.11"/>
    <n v="5.47"/>
    <s v="Critical"/>
    <s v="No"/>
    <n v="5"/>
    <s v="Valid"/>
    <x v="0"/>
    <d v="2024-12-16T00:00:00"/>
    <n v="885"/>
    <n v="3983.16"/>
    <n v="146.04920000000001"/>
    <n v="3837.1107999999999"/>
    <n v="2655"/>
    <n v="1182.1107999999999"/>
    <n v="0.30807314711892081"/>
    <n v="1"/>
    <s v="on time"/>
    <s v="October"/>
    <s v="Q4"/>
  </r>
  <r>
    <s v="ORD-01468"/>
    <x v="165"/>
    <d v="2024-10-14T00:00:00"/>
    <s v="CUST-0027"/>
    <s v="Cameron Lopez"/>
    <x v="2"/>
    <x v="1"/>
    <s v="CA"/>
    <s v="San Diego"/>
    <x v="3"/>
    <x v="3"/>
    <s v="TEC-LAP-101"/>
    <s v="ApexBook 14 Laptop"/>
    <x v="3"/>
    <x v="7"/>
    <n v="1"/>
    <n v="901.42"/>
    <n v="0.11"/>
    <n v="10.49"/>
    <s v="Critical"/>
    <s v="No"/>
    <m/>
    <s v="Valid"/>
    <x v="3"/>
    <d v="2025-02-25T00:00:00"/>
    <n v="585"/>
    <n v="901.42"/>
    <n v="99.156199999999998"/>
    <n v="802.26379999999995"/>
    <n v="585"/>
    <n v="217.26379999999995"/>
    <n v="0.27081341573681866"/>
    <n v="6"/>
    <s v="on time"/>
    <s v="October"/>
    <s v="Q4"/>
  </r>
  <r>
    <s v="ORD-01559"/>
    <x v="166"/>
    <d v="2024-10-20T00:00:00"/>
    <s v="CUST-0134"/>
    <s v="Kai Kim"/>
    <x v="0"/>
    <x v="2"/>
    <s v="TX"/>
    <s v="Austin"/>
    <x v="0"/>
    <x v="0"/>
    <s v="OFF-WRT-302"/>
    <s v="Mechanical Pencil Set"/>
    <x v="2"/>
    <x v="8"/>
    <n v="9"/>
    <n v="12.29"/>
    <n v="0.02"/>
    <n v="11.48"/>
    <s v="Medium"/>
    <s v="No"/>
    <n v="4"/>
    <s v="Valid"/>
    <x v="2"/>
    <d v="2024-12-05T00:00:00"/>
    <n v="5"/>
    <n v="110.60999999999999"/>
    <n v="0.24579999999999999"/>
    <n v="110.36419999999998"/>
    <n v="45"/>
    <n v="65.364199999999983"/>
    <n v="0.59225908401456262"/>
    <n v="11"/>
    <s v="late"/>
    <s v="October"/>
    <s v="Q4"/>
  </r>
  <r>
    <s v="ORD-01464"/>
    <x v="167"/>
    <d v="2024-10-11T00:00:00"/>
    <s v="CUST-0032"/>
    <s v="Maya Wilson"/>
    <x v="1"/>
    <x v="3"/>
    <s v="FL"/>
    <s v="Miami"/>
    <x v="1"/>
    <x v="4"/>
    <s v="TEC-LAP-101"/>
    <s v="ApexBook 14 Laptop"/>
    <x v="3"/>
    <x v="7"/>
    <n v="3"/>
    <n v="920.41"/>
    <n v="0.06"/>
    <n v="12.03"/>
    <s v="Critical"/>
    <s v="No"/>
    <n v="2"/>
    <s v="Valid"/>
    <x v="2"/>
    <d v="2021-10-25T00:00:00"/>
    <n v="585"/>
    <n v="2761.23"/>
    <n v="55.224599999999995"/>
    <n v="2706.0054"/>
    <n v="1755"/>
    <n v="951.00540000000001"/>
    <n v="0.35144253592398594"/>
    <n v="1"/>
    <s v="on time"/>
    <s v="October"/>
    <s v="Q4"/>
  </r>
  <r>
    <s v="ORD-01706"/>
    <x v="167"/>
    <d v="2024-10-18T00:00:00"/>
    <s v="CUST-0054"/>
    <s v="Maya Brown"/>
    <x v="2"/>
    <x v="0"/>
    <s v="NJ"/>
    <s v="Newark"/>
    <x v="2"/>
    <x v="4"/>
    <s v="TEC-NET-401"/>
    <s v="Mesh Wi-Fi Router"/>
    <x v="3"/>
    <x v="5"/>
    <n v="4"/>
    <n v="194.7"/>
    <n v="0.02"/>
    <n v="15.42"/>
    <s v="Medium"/>
    <s v="No"/>
    <n v="5"/>
    <s v="Valid"/>
    <x v="0"/>
    <d v="2021-04-05T00:00:00"/>
    <n v="96"/>
    <n v="778.8"/>
    <n v="3.8939999999999997"/>
    <n v="774.90599999999995"/>
    <n v="384"/>
    <n v="390.90599999999995"/>
    <n v="0.50445602434359782"/>
    <n v="8"/>
    <s v="on time"/>
    <s v="October"/>
    <s v="Q4"/>
  </r>
  <r>
    <s v="ORD-01423"/>
    <x v="168"/>
    <d v="2024-10-17T00:00:00"/>
    <s v="CUST-0018"/>
    <s v="Owen Nguyen"/>
    <x v="2"/>
    <x v="3"/>
    <s v="NC"/>
    <s v="Charlotte"/>
    <x v="3"/>
    <x v="4"/>
    <s v="APP-CLN-202"/>
    <s v="Robot Vacuum"/>
    <x v="0"/>
    <x v="3"/>
    <n v="2"/>
    <n v="310.82"/>
    <n v="0.11"/>
    <n v="7"/>
    <s v="High"/>
    <s v="No"/>
    <n v="3"/>
    <s v="Valid"/>
    <x v="0"/>
    <d v="2025-07-24T00:00:00"/>
    <n v="165"/>
    <n v="621.64"/>
    <n v="34.190199999999997"/>
    <n v="587.44979999999998"/>
    <n v="330"/>
    <n v="257.44979999999998"/>
    <n v="0.43824987258485743"/>
    <n v="6"/>
    <s v="on time"/>
    <s v="October"/>
    <s v="Q4"/>
  </r>
  <r>
    <s v="ORD-01462"/>
    <x v="168"/>
    <d v="2024-10-16T00:00:00"/>
    <s v="CUST-0024"/>
    <s v="Morgan Scott"/>
    <x v="1"/>
    <x v="2"/>
    <s v="IL"/>
    <s v="Chicago"/>
    <x v="2"/>
    <x v="5"/>
    <s v="TEC-LAP-101"/>
    <s v="ApexBook 14 Laptop"/>
    <x v="3"/>
    <x v="7"/>
    <n v="3"/>
    <n v="845.52"/>
    <n v="0.1"/>
    <n v="12.6"/>
    <s v="Critical"/>
    <s v="No"/>
    <n v="1"/>
    <s v="Valid"/>
    <x v="0"/>
    <d v="2024-04-21T00:00:00"/>
    <n v="585"/>
    <n v="2536.56"/>
    <n v="84.552000000000007"/>
    <n v="2452.0079999999998"/>
    <n v="1755"/>
    <n v="697.00799999999981"/>
    <n v="0.28426008398015007"/>
    <n v="5"/>
    <s v="on time"/>
    <s v="October"/>
    <s v="Q4"/>
  </r>
  <r>
    <s v="ORD-01645"/>
    <x v="168"/>
    <d v="2024-10-15T00:00:00"/>
    <s v="CUST-0046"/>
    <s v="Skyler Miller"/>
    <x v="1"/>
    <x v="2"/>
    <s v="MN"/>
    <s v="Minneapolis"/>
    <x v="2"/>
    <x v="1"/>
    <s v="TEC-MON-202"/>
    <s v="ClearView Ultrawide Monitor"/>
    <x v="3"/>
    <x v="4"/>
    <n v="3"/>
    <n v="512.22"/>
    <n v="0.01"/>
    <n v="11.84"/>
    <s v="Low"/>
    <s v="No"/>
    <n v="3"/>
    <s v="Valid"/>
    <x v="0"/>
    <d v="2025-01-17T00:00:00"/>
    <n v="310"/>
    <n v="1536.66"/>
    <n v="5.1222000000000003"/>
    <n v="1531.5378000000001"/>
    <n v="930"/>
    <n v="601.53780000000006"/>
    <n v="0.39276719125051962"/>
    <n v="4"/>
    <s v="on time"/>
    <s v="October"/>
    <s v="Q4"/>
  </r>
  <r>
    <s v="ORD-01593"/>
    <x v="169"/>
    <d v="2024-10-18T00:00:00"/>
    <s v="CUST-0106"/>
    <s v="Morgan Martinez"/>
    <x v="0"/>
    <x v="2"/>
    <s v="OH"/>
    <s v="Columbus"/>
    <x v="3"/>
    <x v="1"/>
    <s v="FUR-STO-302"/>
    <s v="Modular Bookcase"/>
    <x v="1"/>
    <x v="9"/>
    <n v="3"/>
    <n v="228.02"/>
    <n v="0.05"/>
    <n v="20.48"/>
    <s v="Medium"/>
    <s v="No"/>
    <n v="2"/>
    <s v="Valid"/>
    <x v="1"/>
    <d v="2023-04-04T00:00:00"/>
    <n v="118"/>
    <n v="684.06000000000006"/>
    <n v="11.401000000000002"/>
    <n v="672.65900000000011"/>
    <n v="354"/>
    <n v="318.65900000000011"/>
    <n v="0.47373037452855021"/>
    <n v="6"/>
    <s v="on time"/>
    <s v="October"/>
    <s v="Q4"/>
  </r>
  <r>
    <s v="ORD-01109"/>
    <x v="170"/>
    <d v="2024-10-17T00:00:00"/>
    <s v="CUST-0044"/>
    <s v="Noah Wilson"/>
    <x v="2"/>
    <x v="1"/>
    <s v="CA"/>
    <s v="Los Angeles"/>
    <x v="2"/>
    <x v="0"/>
    <s v="OFF-PAP-102"/>
    <s v="Recycled Notebook Pack"/>
    <x v="2"/>
    <x v="12"/>
    <n v="10"/>
    <n v="22.83"/>
    <n v="0.32"/>
    <n v="11.13"/>
    <s v="Medium"/>
    <s v="No"/>
    <n v="3"/>
    <s v="Valid"/>
    <x v="0"/>
    <d v="2021-10-12T00:00:00"/>
    <n v="10"/>
    <n v="228.29999999999998"/>
    <n v="7.3055999999999992"/>
    <n v="220.99439999999998"/>
    <n v="100"/>
    <n v="120.99439999999998"/>
    <n v="0.54749984614994762"/>
    <n v="4"/>
    <s v="on time"/>
    <s v="October"/>
    <s v="Q4"/>
  </r>
  <r>
    <s v="ORD-01562"/>
    <x v="170"/>
    <d v="2024-10-23T00:00:00"/>
    <s v="CUST-0040"/>
    <s v="Drew Wilson"/>
    <x v="2"/>
    <x v="0"/>
    <s v="NJ"/>
    <s v="Newark"/>
    <x v="2"/>
    <x v="5"/>
    <s v="TEC-ACC-301"/>
    <s v="Wireless Keyboard and Mouse"/>
    <x v="3"/>
    <x v="10"/>
    <n v="2"/>
    <n v="55.92"/>
    <n v="7.0000000000000007E-2"/>
    <n v="18.18"/>
    <s v="High"/>
    <s v="No"/>
    <n v="5"/>
    <s v="Valid"/>
    <x v="1"/>
    <d v="2021-05-25T00:00:00"/>
    <n v="28"/>
    <n v="111.84"/>
    <n v="3.9144000000000005"/>
    <n v="107.9256"/>
    <n v="56"/>
    <n v="51.925600000000003"/>
    <n v="0.48112403359351258"/>
    <n v="10"/>
    <s v="on time"/>
    <s v="October"/>
    <s v="Q4"/>
  </r>
  <r>
    <s v="ORD-01697"/>
    <x v="170"/>
    <d v="2024-10-16T00:00:00"/>
    <s v="CUST-0060"/>
    <s v="Owen Johnson"/>
    <x v="2"/>
    <x v="1"/>
    <s v="OR"/>
    <s v="Portland"/>
    <x v="1"/>
    <x v="0"/>
    <s v="APP-CLN-201"/>
    <s v="Air Purifier"/>
    <x v="0"/>
    <x v="3"/>
    <n v="4"/>
    <n v="166.63"/>
    <n v="0.04"/>
    <n v="12.14"/>
    <s v="Critical"/>
    <s v="No"/>
    <m/>
    <s v="Valid"/>
    <x v="1"/>
    <d v="2022-12-08T00:00:00"/>
    <n v="82"/>
    <n v="666.52"/>
    <n v="6.6651999999999996"/>
    <n v="659.85479999999995"/>
    <n v="328"/>
    <n v="331.85479999999995"/>
    <n v="0.50292094563834344"/>
    <n v="3"/>
    <s v="on time"/>
    <s v="October"/>
    <s v="Q4"/>
  </r>
  <r>
    <s v="ORD-01106"/>
    <x v="171"/>
    <d v="2024-10-23T00:00:00"/>
    <s v="CUST-0155"/>
    <s v="Priya Young"/>
    <x v="2"/>
    <x v="2"/>
    <s v="OH"/>
    <s v="Columbus"/>
    <x v="2"/>
    <x v="5"/>
    <s v="TEC-MON-201"/>
    <s v="ClearView 27 Monitor"/>
    <x v="3"/>
    <x v="4"/>
    <n v="2"/>
    <n v="292.77"/>
    <n v="0.01"/>
    <n v="21.08"/>
    <s v="Low"/>
    <s v="No"/>
    <n v="3"/>
    <s v="Valid"/>
    <x v="3"/>
    <d v="2024-08-23T00:00:00"/>
    <n v="168"/>
    <n v="585.54"/>
    <n v="2.9276999999999997"/>
    <n v="582.6123"/>
    <n v="336"/>
    <n v="246.6123"/>
    <n v="0.42328714996233346"/>
    <n v="8"/>
    <s v="on time"/>
    <s v="October"/>
    <s v="Q4"/>
  </r>
  <r>
    <s v="ORD-01204"/>
    <x v="171"/>
    <d v="2024-10-16T00:00:00"/>
    <s v="CUST-0052"/>
    <s v="Maya Scott"/>
    <x v="1"/>
    <x v="1"/>
    <s v="CA"/>
    <s v="San Diego"/>
    <x v="3"/>
    <x v="0"/>
    <s v="APP-KIT-101"/>
    <s v="Compact Coffee Brewer"/>
    <x v="2"/>
    <x v="0"/>
    <n v="5"/>
    <n v="95.8"/>
    <n v="0.05"/>
    <n v="10.61"/>
    <s v="Critical"/>
    <s v="No"/>
    <n v="5"/>
    <s v="Valid"/>
    <x v="2"/>
    <d v="2025-07-06T00:00:00"/>
    <n v="48"/>
    <n v="479"/>
    <n v="4.79"/>
    <n v="474.21"/>
    <n v="240"/>
    <n v="234.20999999999998"/>
    <n v="0.49389510976149803"/>
    <n v="1"/>
    <s v="on time"/>
    <s v="October"/>
    <s v="Q4"/>
  </r>
  <r>
    <s v="ORD-01493"/>
    <x v="171"/>
    <d v="2024-10-22T00:00:00"/>
    <s v="CUST-0049"/>
    <s v="Alex Allen"/>
    <x v="1"/>
    <x v="2"/>
    <s v="MN"/>
    <s v="Minneapolis"/>
    <x v="0"/>
    <x v="3"/>
    <s v="APP-CLN-202"/>
    <s v="Robot Vacuum"/>
    <x v="0"/>
    <x v="3"/>
    <n v="1"/>
    <n v="311.73"/>
    <n v="0.12"/>
    <n v="10.82"/>
    <s v="High"/>
    <s v="No"/>
    <n v="1"/>
    <s v="Valid"/>
    <x v="0"/>
    <d v="2023-09-05T00:00:00"/>
    <n v="165"/>
    <n v="311.73"/>
    <n v="37.407600000000002"/>
    <n v="274.32240000000002"/>
    <n v="165"/>
    <n v="109.32240000000002"/>
    <n v="0.39851794822442504"/>
    <n v="7"/>
    <s v="on time"/>
    <s v="October"/>
    <s v="Q4"/>
  </r>
  <r>
    <s v="ORD-01617"/>
    <x v="171"/>
    <d v="2024-10-19T00:00:00"/>
    <s v="CUST-0004"/>
    <s v="Riley Smith"/>
    <x v="1"/>
    <x v="0"/>
    <s v="VA"/>
    <s v="Richmond"/>
    <x v="3"/>
    <x v="5"/>
    <s v="OFF-SUP-401"/>
    <s v="Desk Organizer Kit"/>
    <x v="2"/>
    <x v="2"/>
    <n v="7"/>
    <n v="28.01"/>
    <n v="0.31"/>
    <n v="9.94"/>
    <s v="High"/>
    <s v="No"/>
    <n v="4"/>
    <s v="Valid"/>
    <x v="0"/>
    <d v="2022-06-24T00:00:00"/>
    <n v="12"/>
    <n v="196.07000000000002"/>
    <n v="8.6830999999999996"/>
    <n v="187.38690000000003"/>
    <n v="84"/>
    <n v="103.38690000000003"/>
    <n v="0.55172960329670862"/>
    <n v="4"/>
    <s v="on time"/>
    <s v="October"/>
    <s v="Q4"/>
  </r>
  <r>
    <s v="ORD-01616"/>
    <x v="172"/>
    <d v="2024-10-26T00:00:00"/>
    <s v="CUST-0114"/>
    <s v="Riley Patel"/>
    <x v="1"/>
    <x v="0"/>
    <s v="NJ"/>
    <s v="Newark"/>
    <x v="2"/>
    <x v="1"/>
    <s v="FUR-STO-301"/>
    <s v="Two-Drawer File Cabinet"/>
    <x v="1"/>
    <x v="9"/>
    <n v="1"/>
    <n v="166.95"/>
    <n v="0.11"/>
    <n v="24.17"/>
    <s v="Critical"/>
    <s v="No"/>
    <n v="5"/>
    <s v="Valid"/>
    <x v="3"/>
    <d v="2021-12-08T00:00:00"/>
    <n v="88"/>
    <n v="166.95"/>
    <n v="18.3645"/>
    <n v="148.5855"/>
    <n v="88"/>
    <n v="60.585499999999996"/>
    <n v="0.40774840075242874"/>
    <n v="10"/>
    <s v="on time"/>
    <s v="October"/>
    <s v="Q4"/>
  </r>
  <r>
    <s v="ORD-01101"/>
    <x v="173"/>
    <d v="2024-10-25T00:00:00"/>
    <s v="CUST-0109"/>
    <s v="Iris Clark"/>
    <x v="0"/>
    <x v="3"/>
    <s v="NC"/>
    <s v="Charlotte"/>
    <x v="2"/>
    <x v="0"/>
    <s v="OFF-SUP-402"/>
    <s v="Label Maker"/>
    <x v="2"/>
    <x v="2"/>
    <n v="5"/>
    <n v="72.11"/>
    <n v="0.1"/>
    <n v="7.12"/>
    <s v="High"/>
    <s v="No"/>
    <n v="1"/>
    <s v="Valid"/>
    <x v="2"/>
    <d v="2024-08-12T00:00:00"/>
    <n v="36"/>
    <n v="360.55"/>
    <n v="7.2110000000000003"/>
    <n v="353.339"/>
    <n v="180"/>
    <n v="173.339"/>
    <n v="0.4905742077721395"/>
    <n v="6"/>
    <s v="on time"/>
    <s v="October"/>
    <s v="Q4"/>
  </r>
  <r>
    <s v="ORD-01628"/>
    <x v="173"/>
    <d v="2024-10-26T00:00:00"/>
    <s v="CUST-0158"/>
    <s v="Jamie Scott"/>
    <x v="1"/>
    <x v="1"/>
    <s v="CA"/>
    <s v="Los Angeles"/>
    <x v="3"/>
    <x v="1"/>
    <s v="TEC-MON-201"/>
    <s v="ClearView 27 Monitor"/>
    <x v="3"/>
    <x v="4"/>
    <n v="3"/>
    <n v="301.48"/>
    <n v="0.05"/>
    <n v="16.010000000000002"/>
    <s v="High"/>
    <s v="No"/>
    <n v="3"/>
    <s v="Valid"/>
    <x v="2"/>
    <d v="2021-03-23T00:00:00"/>
    <n v="168"/>
    <n v="904.44"/>
    <n v="15.074000000000002"/>
    <n v="889.3660000000001"/>
    <n v="504"/>
    <n v="385.3660000000001"/>
    <n v="0.43330417398461379"/>
    <n v="7"/>
    <s v="on time"/>
    <s v="October"/>
    <s v="Q4"/>
  </r>
  <r>
    <s v="ORD-01589"/>
    <x v="174"/>
    <d v="2024-11-02T00:00:00"/>
    <s v="CUST-0126"/>
    <s v="Iris Garcia"/>
    <x v="2"/>
    <x v="0"/>
    <s v="PA"/>
    <s v="Philadelphia"/>
    <x v="3"/>
    <x v="1"/>
    <s v="TEC-LAP-101"/>
    <s v="ApexBook 14 Laptop"/>
    <x v="3"/>
    <x v="7"/>
    <n v="4"/>
    <n v="914.86"/>
    <n v="0.06"/>
    <n v="12.69"/>
    <s v="High"/>
    <s v="No"/>
    <n v="5"/>
    <s v="Valid"/>
    <x v="3"/>
    <d v="2021-01-03T00:00:00"/>
    <n v="585"/>
    <n v="3659.44"/>
    <n v="54.891599999999997"/>
    <n v="3604.5484000000001"/>
    <n v="2340"/>
    <n v="1264.5484000000001"/>
    <n v="0.35082020260845992"/>
    <n v="10"/>
    <s v="on time"/>
    <s v="October"/>
    <s v="Q4"/>
  </r>
  <r>
    <s v="ORD-01579"/>
    <x v="175"/>
    <d v="2024-10-30T00:00:00"/>
    <s v="CUST-0057"/>
    <s v="Morgan Lopez"/>
    <x v="2"/>
    <x v="1"/>
    <s v="CA"/>
    <s v="Los Angeles"/>
    <x v="3"/>
    <x v="3"/>
    <s v="TEC-LAP-102"/>
    <s v="ApexBook Pro 16 Laptop"/>
    <x v="3"/>
    <x v="7"/>
    <n v="4"/>
    <n v="1439.48"/>
    <n v="0.08"/>
    <n v="20.86"/>
    <s v="High"/>
    <s v="No"/>
    <n v="1"/>
    <s v="Valid"/>
    <x v="2"/>
    <d v="2025-02-02T00:00:00"/>
    <n v="885"/>
    <n v="5757.92"/>
    <n v="115.1584"/>
    <n v="5642.7615999999998"/>
    <n v="3540"/>
    <n v="2102.7615999999998"/>
    <n v="0.37264760573971439"/>
    <n v="6"/>
    <s v="on time"/>
    <s v="October"/>
    <s v="Q4"/>
  </r>
  <r>
    <s v="ORD-01102"/>
    <x v="176"/>
    <d v="2024-11-02T00:00:00"/>
    <s v="CUST-0039"/>
    <s v="Priya Miller"/>
    <x v="2"/>
    <x v="2"/>
    <s v="IL"/>
    <s v="Chicago"/>
    <x v="0"/>
    <x v="4"/>
    <s v="APP-KIT-101"/>
    <s v="Compact Coffee Brewer"/>
    <x v="0"/>
    <x v="0"/>
    <n v="10"/>
    <n v="91.59"/>
    <n v="7.0000000000000007E-2"/>
    <n v="15"/>
    <s v="Low"/>
    <s v="No"/>
    <n v="5"/>
    <s v="Valid"/>
    <x v="3"/>
    <d v="2022-09-14T00:00:00"/>
    <n v="48"/>
    <n v="915.90000000000009"/>
    <n v="6.4113000000000007"/>
    <n v="909.48870000000011"/>
    <n v="480"/>
    <n v="429.48870000000011"/>
    <n v="0.47223093590937421"/>
    <n v="8"/>
    <s v="on time"/>
    <s v="October"/>
    <s v="Q4"/>
  </r>
  <r>
    <s v="ORD-01136"/>
    <x v="176"/>
    <d v="2024-10-31T00:00:00"/>
    <s v="CUST-0002"/>
    <s v="Lena Martinez"/>
    <x v="1"/>
    <x v="3"/>
    <s v="TN"/>
    <s v="Nashville"/>
    <x v="0"/>
    <x v="0"/>
    <s v="OFF-WRT-302"/>
    <s v="Mechanical Pencil Set"/>
    <x v="2"/>
    <x v="8"/>
    <n v="10"/>
    <n v="11.81"/>
    <n v="0.02"/>
    <n v="8.36"/>
    <s v="Medium"/>
    <s v="No"/>
    <n v="1"/>
    <s v="Valid"/>
    <x v="1"/>
    <d v="2024-11-20T00:00:00"/>
    <n v="5"/>
    <n v="118.10000000000001"/>
    <n v="0.23620000000000002"/>
    <n v="117.86380000000001"/>
    <n v="50"/>
    <n v="67.863800000000012"/>
    <n v="0.57578153767314477"/>
    <n v="6"/>
    <s v="on time"/>
    <s v="October"/>
    <s v="Q4"/>
  </r>
  <r>
    <s v="ORD-01534"/>
    <x v="176"/>
    <d v="2024-10-26T00:00:00"/>
    <s v="CUST-0008"/>
    <s v="Owen Walker"/>
    <x v="1"/>
    <x v="2"/>
    <s v="MN"/>
    <s v="Minneapolis"/>
    <x v="1"/>
    <x v="1"/>
    <s v="OFF-WRT-302"/>
    <s v="Mechanical Pencil Set"/>
    <x v="2"/>
    <x v="8"/>
    <n v="6"/>
    <n v="11.85"/>
    <n v="0.08"/>
    <n v="16.46"/>
    <s v="High"/>
    <s v="No"/>
    <n v="4"/>
    <s v="Valid"/>
    <x v="1"/>
    <d v="2023-02-02T00:00:00"/>
    <n v="5"/>
    <n v="71.099999999999994"/>
    <n v="0.94799999999999995"/>
    <n v="70.152000000000001"/>
    <n v="30"/>
    <n v="40.152000000000001"/>
    <n v="0.5723571672938762"/>
    <n v="1"/>
    <s v="on time"/>
    <s v="October"/>
    <s v="Q4"/>
  </r>
  <r>
    <s v="ORD-01095"/>
    <x v="177"/>
    <d v="2024-11-04T00:00:00"/>
    <s v="CUST-0007"/>
    <s v="Iris Walker"/>
    <x v="0"/>
    <x v="3"/>
    <s v="LA"/>
    <s v="New Orleans"/>
    <x v="0"/>
    <x v="3"/>
    <s v="FUR-STO-301"/>
    <s v="Two-Drawer File Cabinet"/>
    <x v="1"/>
    <x v="9"/>
    <n v="1"/>
    <n v="168.53"/>
    <n v="0.05"/>
    <n v="27.38"/>
    <s v="Medium"/>
    <s v="No"/>
    <n v="2"/>
    <s v="Valid"/>
    <x v="3"/>
    <d v="2022-08-23T00:00:00"/>
    <n v="88"/>
    <n v="168.53"/>
    <n v="8.4265000000000008"/>
    <n v="160.1035"/>
    <n v="88"/>
    <n v="72.103499999999997"/>
    <n v="0.45035555125278337"/>
    <n v="9"/>
    <s v="on time"/>
    <s v="October"/>
    <s v="Q4"/>
  </r>
  <r>
    <s v="ORD-01037"/>
    <x v="178"/>
    <d v="2024-10-31T00:00:00"/>
    <s v="CUST-0121"/>
    <s v="Lena Chen"/>
    <x v="0"/>
    <x v="3"/>
    <s v="NC"/>
    <s v="Charlotte"/>
    <x v="0"/>
    <x v="4"/>
    <s v="OFF-PAP-102"/>
    <s v="Recycled Notebook Pack"/>
    <x v="2"/>
    <x v="12"/>
    <n v="2"/>
    <n v="23.08"/>
    <n v="0.09"/>
    <n v="14.42"/>
    <s v="Medium"/>
    <s v="No"/>
    <n v="5"/>
    <s v="Valid"/>
    <x v="0"/>
    <d v="2025-03-09T00:00:00"/>
    <n v="10"/>
    <n v="46.16"/>
    <n v="2.0771999999999999"/>
    <n v="44.082799999999999"/>
    <n v="20"/>
    <n v="24.082799999999999"/>
    <n v="0.54630831072436414"/>
    <n v="4"/>
    <s v="on time"/>
    <s v="October"/>
    <s v="Q4"/>
  </r>
  <r>
    <s v="ORD-01605"/>
    <x v="178"/>
    <d v="2024-11-04T00:00:00"/>
    <s v="CUST-0143"/>
    <s v="Reese Brown"/>
    <x v="0"/>
    <x v="1"/>
    <s v="CA"/>
    <s v="Los Angeles"/>
    <x v="0"/>
    <x v="0"/>
    <s v="TEC-MON-202"/>
    <s v="ClearView Ultrawide Monitor"/>
    <x v="3"/>
    <x v="4"/>
    <n v="2"/>
    <n v="524.41"/>
    <n v="0"/>
    <n v="18.21"/>
    <s v="Medium"/>
    <s v="No"/>
    <n v="3"/>
    <s v="Valid"/>
    <x v="2"/>
    <d v="2021-02-14T00:00:00"/>
    <n v="310"/>
    <n v="1048.82"/>
    <n v="0"/>
    <n v="1048.82"/>
    <n v="620"/>
    <n v="428.81999999999994"/>
    <n v="0.4088594801777235"/>
    <n v="8"/>
    <s v="on time"/>
    <s v="October"/>
    <s v="Q4"/>
  </r>
  <r>
    <s v="ORD-01362"/>
    <x v="179"/>
    <d v="2024-11-07T00:00:00"/>
    <s v="CUST-0148"/>
    <s v="Alex Wright"/>
    <x v="1"/>
    <x v="3"/>
    <s v="FL"/>
    <s v="Miami"/>
    <x v="2"/>
    <x v="5"/>
    <s v="FUR-DSK-102"/>
    <s v="Executive Desk 60"/>
    <x v="1"/>
    <x v="1"/>
    <n v="3"/>
    <n v="437.62"/>
    <n v="0.08"/>
    <n v="18.350000000000001"/>
    <s v="High"/>
    <s v="No"/>
    <n v="4"/>
    <s v="Valid"/>
    <x v="1"/>
    <d v="2025-01-13T00:00:00"/>
    <n v="265"/>
    <n v="1312.8600000000001"/>
    <n v="35.009599999999999"/>
    <n v="1277.8504"/>
    <n v="795"/>
    <n v="482.85040000000004"/>
    <n v="0.37786144606598709"/>
    <n v="10"/>
    <s v="on time"/>
    <s v="October"/>
    <s v="Q4"/>
  </r>
  <r>
    <s v="ORD-01029"/>
    <x v="180"/>
    <d v="2024-11-02T00:00:00"/>
    <s v="CUST-0127"/>
    <s v="Riley Wilson"/>
    <x v="1"/>
    <x v="1"/>
    <s v="OR"/>
    <s v="Portland"/>
    <x v="1"/>
    <x v="4"/>
    <s v="TEC-MON-201"/>
    <s v="ClearView 27 Monitor"/>
    <x v="3"/>
    <x v="4"/>
    <n v="3"/>
    <n v="297.10000000000002"/>
    <n v="0.1"/>
    <n v="15.77"/>
    <s v="High"/>
    <s v="No"/>
    <n v="3"/>
    <s v="Valid"/>
    <x v="2"/>
    <d v="2021-01-05T00:00:00"/>
    <n v="168"/>
    <n v="891.30000000000007"/>
    <n v="29.710000000000004"/>
    <n v="861.59"/>
    <n v="504"/>
    <n v="357.59000000000003"/>
    <n v="0.41503499344235661"/>
    <n v="4"/>
    <s v="on time"/>
    <s v="October"/>
    <s v="Q4"/>
  </r>
  <r>
    <s v="ORD-01149"/>
    <x v="181"/>
    <d v="2024-10-31T00:00:00"/>
    <s v="CUST-0023"/>
    <s v="Jordan Smith"/>
    <x v="1"/>
    <x v="0"/>
    <s v="NJ"/>
    <s v="Newark"/>
    <x v="2"/>
    <x v="5"/>
    <s v="FUR-CHR-202"/>
    <s v="Mesh Conference Chair"/>
    <x v="1"/>
    <x v="11"/>
    <n v="1"/>
    <n v="140.28"/>
    <n v="0.12"/>
    <n v="21.66"/>
    <s v="Critical"/>
    <s v="No"/>
    <n v="5"/>
    <s v="Valid"/>
    <x v="1"/>
    <d v="2023-05-13T00:00:00"/>
    <n v="82"/>
    <n v="140.28"/>
    <n v="16.833600000000001"/>
    <n v="123.4464"/>
    <n v="82"/>
    <n v="41.446399999999997"/>
    <n v="0.33574409622313811"/>
    <n v="1"/>
    <s v="on time"/>
    <s v="October"/>
    <s v="Q4"/>
  </r>
  <r>
    <s v="ORD-01270"/>
    <x v="181"/>
    <d v="2024-11-03T00:00:00"/>
    <s v="CUST-0140"/>
    <s v="Sam Allen"/>
    <x v="0"/>
    <x v="1"/>
    <s v="WA"/>
    <s v="Seattle"/>
    <x v="2"/>
    <x v="4"/>
    <s v="TEC-NET-401"/>
    <s v="Mesh Wi-Fi Router"/>
    <x v="3"/>
    <x v="5"/>
    <n v="2"/>
    <n v="181.78"/>
    <n v="0.03"/>
    <n v="9.4"/>
    <s v="Medium"/>
    <s v="No"/>
    <n v="2"/>
    <s v="Valid"/>
    <x v="2"/>
    <d v="2022-07-22T00:00:00"/>
    <n v="96"/>
    <n v="363.56"/>
    <n v="5.4534000000000002"/>
    <n v="358.10660000000001"/>
    <n v="192"/>
    <n v="166.10660000000001"/>
    <n v="0.46384679869066925"/>
    <n v="4"/>
    <s v="on time"/>
    <s v="October"/>
    <s v="Q4"/>
  </r>
  <r>
    <s v="ORD-01704"/>
    <x v="181"/>
    <d v="2024-10-31T00:00:00"/>
    <s v="CUST-0095"/>
    <s v="Drew Martinez"/>
    <x v="2"/>
    <x v="1"/>
    <s v="CA"/>
    <s v="Los Angeles"/>
    <x v="1"/>
    <x v="4"/>
    <s v="OFF-WRT-302"/>
    <s v="Mechanical Pencil Set"/>
    <x v="2"/>
    <x v="8"/>
    <n v="8"/>
    <n v="12.52"/>
    <n v="0.31"/>
    <n v="7.04"/>
    <s v="Low"/>
    <s v="No"/>
    <n v="5"/>
    <s v="Valid"/>
    <x v="2"/>
    <d v="2023-07-08T00:00:00"/>
    <n v="5"/>
    <n v="100.16"/>
    <n v="3.8811999999999998"/>
    <n v="96.27879999999999"/>
    <n v="40"/>
    <n v="56.27879999999999"/>
    <n v="0.58453989871082723"/>
    <n v="1"/>
    <s v="on time"/>
    <s v="October"/>
    <s v="Q4"/>
  </r>
  <r>
    <s v="ORD-01479"/>
    <x v="182"/>
    <d v="2024-11-09T00:00:00"/>
    <s v="CUST-0138"/>
    <s v="Morgan Johnson"/>
    <x v="1"/>
    <x v="2"/>
    <s v="CO"/>
    <s v="Denver"/>
    <x v="3"/>
    <x v="2"/>
    <s v="OFF-BIN-202"/>
    <s v="Presentation Folder Box"/>
    <x v="2"/>
    <x v="6"/>
    <n v="6"/>
    <n v="26.8"/>
    <n v="0.03"/>
    <n v="10.87"/>
    <s v="Medium"/>
    <s v="No"/>
    <n v="3"/>
    <s v="Valid"/>
    <x v="3"/>
    <d v="2025-12-06T00:00:00"/>
    <n v="14"/>
    <n v="160.80000000000001"/>
    <n v="0.80399999999999994"/>
    <n v="159.99600000000001"/>
    <n v="84"/>
    <n v="75.996000000000009"/>
    <n v="0.47498687467186684"/>
    <n v="9"/>
    <s v="on time"/>
    <s v="October"/>
    <s v="Q4"/>
  </r>
  <r>
    <s v="ORD-01633"/>
    <x v="182"/>
    <d v="2024-11-10T00:00:00"/>
    <s v="CUST-0010"/>
    <s v="Cameron Kim"/>
    <x v="0"/>
    <x v="1"/>
    <s v="CA"/>
    <s v="San Diego"/>
    <x v="2"/>
    <x v="5"/>
    <s v="OFF-WRT-302"/>
    <s v="Mechanical Pencil Set"/>
    <x v="2"/>
    <x v="8"/>
    <n v="1"/>
    <n v="12.3"/>
    <n v="0.05"/>
    <n v="7.15"/>
    <s v="High"/>
    <s v="No"/>
    <m/>
    <s v="Valid"/>
    <x v="0"/>
    <d v="2022-07-10T00:00:00"/>
    <n v="5"/>
    <n v="12.3"/>
    <n v="0.6150000000000001"/>
    <n v="11.685"/>
    <n v="5"/>
    <n v="6.6850000000000005"/>
    <n v="0.57210098416773647"/>
    <n v="10"/>
    <s v="on time"/>
    <s v="October"/>
    <s v="Q4"/>
  </r>
  <r>
    <s v="ORD-01274"/>
    <x v="183"/>
    <d v="2024-11-05T00:00:00"/>
    <s v="CUST-0117"/>
    <s v="Alex Hall"/>
    <x v="0"/>
    <x v="0"/>
    <s v="MA"/>
    <s v="Boston"/>
    <x v="3"/>
    <x v="4"/>
    <s v="FUR-DSK-102"/>
    <s v="Executive Desk 60"/>
    <x v="1"/>
    <x v="1"/>
    <n v="3"/>
    <n v="451.18"/>
    <n v="0.09"/>
    <n v="23.31"/>
    <s v="Medium"/>
    <s v="No"/>
    <n v="1"/>
    <s v="Valid"/>
    <x v="3"/>
    <d v="2024-12-21T00:00:00"/>
    <n v="265"/>
    <n v="1353.54"/>
    <n v="40.606200000000001"/>
    <n v="1312.9338"/>
    <n v="795"/>
    <n v="517.93380000000002"/>
    <n v="0.3944858453640237"/>
    <n v="1"/>
    <s v="on time"/>
    <s v="November"/>
    <s v="Q4"/>
  </r>
  <r>
    <s v="ORD-01257"/>
    <x v="184"/>
    <d v="2024-11-10T00:00:00"/>
    <s v="CUST-0017"/>
    <s v="Cameron Chen"/>
    <x v="0"/>
    <x v="3"/>
    <s v="LA"/>
    <s v="New Orleans"/>
    <x v="1"/>
    <x v="0"/>
    <s v="TEC-MON-201"/>
    <s v="ClearView 27 Monitor"/>
    <x v="3"/>
    <x v="4"/>
    <n v="4"/>
    <n v="305.56"/>
    <n v="0.03"/>
    <n v="6.84"/>
    <s v="High"/>
    <s v="No"/>
    <n v="1"/>
    <s v="Valid"/>
    <x v="0"/>
    <d v="2022-04-02T00:00:00"/>
    <n v="168"/>
    <n v="1222.24"/>
    <n v="9.1668000000000003"/>
    <n v="1213.0732"/>
    <n v="672"/>
    <n v="541.07320000000004"/>
    <n v="0.44603507850968932"/>
    <n v="5"/>
    <s v="on time"/>
    <s v="November"/>
    <s v="Q4"/>
  </r>
  <r>
    <s v="ORD-01087"/>
    <x v="185"/>
    <d v="2024-11-11T00:00:00"/>
    <s v="CUST-0138"/>
    <s v="Morgan Johnson"/>
    <x v="1"/>
    <x v="2"/>
    <s v="CO"/>
    <s v="Denver"/>
    <x v="1"/>
    <x v="0"/>
    <s v="TEC-LAP-102"/>
    <s v="ApexBook Pro 16 Laptop"/>
    <x v="3"/>
    <x v="7"/>
    <n v="1"/>
    <n v="1441.36"/>
    <n v="0.21"/>
    <n v="11.33"/>
    <s v="Critical"/>
    <s v="No"/>
    <n v="4"/>
    <s v="Valid"/>
    <x v="3"/>
    <d v="2025-12-06T00:00:00"/>
    <n v="885"/>
    <n v="1441.36"/>
    <n v="302.68559999999997"/>
    <n v="1138.6743999999999"/>
    <n v="885"/>
    <n v="253.67439999999988"/>
    <n v="0.22278045418426892"/>
    <n v="3"/>
    <s v="on time"/>
    <s v="November"/>
    <s v="Q4"/>
  </r>
  <r>
    <s v="ORD-01092"/>
    <x v="186"/>
    <d v="2024-11-22T00:00:00"/>
    <s v="CUST-0133"/>
    <s v="Iris Clark"/>
    <x v="0"/>
    <x v="2"/>
    <s v="OH"/>
    <s v="Columbus"/>
    <x v="3"/>
    <x v="5"/>
    <s v="TEC-ACC-302"/>
    <s v="USB-C Docking Station"/>
    <x v="3"/>
    <x v="10"/>
    <n v="0"/>
    <n v="147.16"/>
    <n v="0.08"/>
    <n v="14.17"/>
    <s v="Medium"/>
    <s v="No"/>
    <n v="2"/>
    <s v="Invalid Quantity"/>
    <x v="3"/>
    <d v="2025-12-19T00:00:00"/>
    <n v="72"/>
    <n v="0"/>
    <n v="11.7728"/>
    <n v="-11.7728"/>
    <n v="0"/>
    <n v="-11.7728"/>
    <n v="1"/>
    <n v="10"/>
    <s v="on time"/>
    <s v="November"/>
    <s v="Q4"/>
  </r>
  <r>
    <s v="ORD-01213"/>
    <x v="186"/>
    <d v="2024-11-22T00:00:00"/>
    <s v="CUST-0143"/>
    <s v="Reese Brown"/>
    <x v="0"/>
    <x v="1"/>
    <s v="CA"/>
    <s v="Los Angeles"/>
    <x v="0"/>
    <x v="5"/>
    <s v="TEC-LAP-102"/>
    <s v="ApexBook Pro 16 Laptop"/>
    <x v="3"/>
    <x v="7"/>
    <n v="4"/>
    <n v="1342.12"/>
    <n v="0.06"/>
    <n v="6.21"/>
    <s v="Medium"/>
    <s v="No"/>
    <n v="5"/>
    <s v="Valid"/>
    <x v="2"/>
    <d v="2021-02-14T00:00:00"/>
    <n v="885"/>
    <n v="5368.48"/>
    <n v="80.527199999999993"/>
    <n v="5287.9527999999991"/>
    <n v="3540"/>
    <n v="1747.9527999999991"/>
    <n v="0.3305537825526732"/>
    <n v="10"/>
    <s v="on time"/>
    <s v="November"/>
    <s v="Q4"/>
  </r>
  <r>
    <s v="ORD-01349"/>
    <x v="187"/>
    <d v="2024-11-21T00:00:00"/>
    <s v="CUST-0090"/>
    <s v="Reese Davis"/>
    <x v="1"/>
    <x v="0"/>
    <s v="MA"/>
    <s v="Boston"/>
    <x v="0"/>
    <x v="0"/>
    <s v="OFF-PAP-101"/>
    <s v="Premium Copy Paper Case"/>
    <x v="2"/>
    <x v="12"/>
    <n v="9"/>
    <n v="38.89"/>
    <n v="0.01"/>
    <n v="14.62"/>
    <s v="Medium"/>
    <s v="No"/>
    <n v="3"/>
    <s v="Valid"/>
    <x v="2"/>
    <d v="2025-05-10T00:00:00"/>
    <n v="20"/>
    <n v="350.01"/>
    <n v="0.38890000000000002"/>
    <n v="349.62110000000001"/>
    <n v="180"/>
    <n v="169.62110000000001"/>
    <n v="0.48515693131793247"/>
    <n v="8"/>
    <s v="on time"/>
    <s v="November"/>
    <s v="Q4"/>
  </r>
  <r>
    <s v="ORD-01561"/>
    <x v="187"/>
    <d v="2024-11-18T00:00:00"/>
    <s v="CUST-0037"/>
    <s v="Drew Martinez"/>
    <x v="0"/>
    <x v="3"/>
    <s v="FL"/>
    <s v="Miami"/>
    <x v="2"/>
    <x v="2"/>
    <s v="OFF-PAP-102"/>
    <s v="Recycled Notebook Pack"/>
    <x v="2"/>
    <x v="12"/>
    <n v="2"/>
    <n v="23.08"/>
    <n v="0.08"/>
    <n v="14.25"/>
    <s v="High"/>
    <s v="No"/>
    <n v="3"/>
    <s v="Valid"/>
    <x v="1"/>
    <d v="2024-10-02T00:00:00"/>
    <n v="10"/>
    <n v="46.16"/>
    <n v="1.8463999999999998"/>
    <n v="44.313599999999994"/>
    <n v="20"/>
    <n v="24.313599999999994"/>
    <n v="0.54867128827267464"/>
    <n v="5"/>
    <s v="on time"/>
    <s v="November"/>
    <s v="Q4"/>
  </r>
  <r>
    <s v="ORD-01458"/>
    <x v="188"/>
    <d v="2024-11-24T00:00:00"/>
    <s v="CUST-0094"/>
    <s v="Lena Smith"/>
    <x v="2"/>
    <x v="2"/>
    <s v="OH"/>
    <s v="Columbus"/>
    <x v="3"/>
    <x v="4"/>
    <s v="APP-CLN-202"/>
    <s v="Robot Vacuum"/>
    <x v="0"/>
    <x v="3"/>
    <n v="6"/>
    <n v="310.42"/>
    <n v="0.27"/>
    <n v="7.41"/>
    <s v="Low"/>
    <s v="No"/>
    <n v="3"/>
    <s v="Valid"/>
    <x v="1"/>
    <d v="2024-11-03T00:00:00"/>
    <n v="165"/>
    <n v="1862.52"/>
    <n v="83.813400000000016"/>
    <n v="1778.7066"/>
    <n v="990"/>
    <n v="788.70659999999998"/>
    <n v="0.44341579437553108"/>
    <n v="9"/>
    <s v="on time"/>
    <s v="November"/>
    <s v="Q4"/>
  </r>
  <r>
    <s v="ORD-01059"/>
    <x v="189"/>
    <d v="2024-11-18T00:00:00"/>
    <s v="CUST-0034"/>
    <s v="Drew Brown"/>
    <x v="2"/>
    <x v="2"/>
    <s v="MN"/>
    <s v="Minneapolis"/>
    <x v="0"/>
    <x v="2"/>
    <s v="FUR-DSK-102"/>
    <s v="Executive Desk 60"/>
    <x v="1"/>
    <x v="1"/>
    <n v="2"/>
    <n v="469.81"/>
    <n v="0.05"/>
    <n v="27.63"/>
    <s v="Low"/>
    <s v="No"/>
    <n v="3"/>
    <s v="Valid"/>
    <x v="0"/>
    <d v="2022-03-20T00:00:00"/>
    <n v="265"/>
    <n v="939.62"/>
    <n v="23.490500000000001"/>
    <n v="916.12950000000001"/>
    <n v="530"/>
    <n v="386.12950000000001"/>
    <n v="0.42147916861098789"/>
    <n v="1"/>
    <s v="on time"/>
    <s v="November"/>
    <s v="Q4"/>
  </r>
  <r>
    <s v="ORD-01487"/>
    <x v="189"/>
    <d v="2024-11-23T00:00:00"/>
    <s v="CUST-0086"/>
    <s v="Rowan Hall"/>
    <x v="0"/>
    <x v="0"/>
    <s v="VA"/>
    <s v="Richmond"/>
    <x v="2"/>
    <x v="3"/>
    <s v="TEC-NET-401"/>
    <s v="Mesh Wi-Fi Router"/>
    <x v="3"/>
    <x v="5"/>
    <n v="3"/>
    <n v="197.75"/>
    <n v="0.05"/>
    <n v="15.62"/>
    <s v="Critical"/>
    <s v="No"/>
    <n v="2"/>
    <s v="Valid"/>
    <x v="3"/>
    <d v="2022-09-14T00:00:00"/>
    <n v="96"/>
    <n v="593.25"/>
    <n v="9.8875000000000011"/>
    <n v="583.36249999999995"/>
    <n v="288"/>
    <n v="295.36249999999995"/>
    <n v="0.50631039876577599"/>
    <n v="6"/>
    <s v="on time"/>
    <s v="November"/>
    <s v="Q4"/>
  </r>
  <r>
    <s v="ORD-01267"/>
    <x v="190"/>
    <d v="2024-11-28T00:00:00"/>
    <s v="CUST-0105"/>
    <s v="Skyler Miller"/>
    <x v="2"/>
    <x v="3"/>
    <s v="FL"/>
    <s v="Miami"/>
    <x v="3"/>
    <x v="2"/>
    <s v="TEC-MON-201"/>
    <s v="ClearView 27 Monitor"/>
    <x v="3"/>
    <x v="4"/>
    <n v="2"/>
    <n v="271.86"/>
    <n v="0.21"/>
    <n v="21.42"/>
    <s v="Low"/>
    <s v="No"/>
    <n v="2"/>
    <s v="Valid"/>
    <x v="3"/>
    <d v="2022-02-18T00:00:00"/>
    <n v="168"/>
    <n v="543.72"/>
    <n v="57.090600000000002"/>
    <n v="486.62940000000003"/>
    <n v="336"/>
    <n v="150.62940000000003"/>
    <n v="0.30953616859154015"/>
    <n v="9"/>
    <s v="on time"/>
    <s v="November"/>
    <s v="Q4"/>
  </r>
  <r>
    <s v="ORD-01338"/>
    <x v="191"/>
    <d v="2024-11-30T00:00:00"/>
    <s v="CUST-0007"/>
    <s v="Iris Walker"/>
    <x v="0"/>
    <x v="3"/>
    <s v="LA"/>
    <s v="New Orleans"/>
    <x v="1"/>
    <x v="1"/>
    <s v="FUR-STO-301"/>
    <s v="Two-Drawer File Cabinet"/>
    <x v="1"/>
    <x v="9"/>
    <n v="1"/>
    <n v="159.24"/>
    <n v="0.09"/>
    <n v="28.25"/>
    <s v="Medium"/>
    <s v="No"/>
    <m/>
    <s v="Valid"/>
    <x v="3"/>
    <d v="2022-08-23T00:00:00"/>
    <n v="88"/>
    <n v="159.24"/>
    <n v="14.3316"/>
    <n v="144.9084"/>
    <n v="88"/>
    <n v="56.9084"/>
    <n v="0.3927198147243362"/>
    <n v="10"/>
    <s v="on time"/>
    <s v="November"/>
    <s v="Q4"/>
  </r>
  <r>
    <s v="ORD-01571"/>
    <x v="191"/>
    <d v="2024-11-21T00:00:00"/>
    <s v="CUST-0124"/>
    <s v="Owen Johnson"/>
    <x v="0"/>
    <x v="2"/>
    <s v="TX"/>
    <s v="Austin"/>
    <x v="0"/>
    <x v="4"/>
    <s v="APP-CLN-202"/>
    <s v="Robot Vacuum"/>
    <x v="0"/>
    <x v="3"/>
    <n v="2"/>
    <n v="333.9"/>
    <n v="0.05"/>
    <n v="9.31"/>
    <s v="Critical"/>
    <s v="No"/>
    <n v="4"/>
    <s v="Valid"/>
    <x v="3"/>
    <d v="2024-12-04T00:00:00"/>
    <n v="165"/>
    <n v="667.8"/>
    <n v="16.695"/>
    <n v="651.1049999999999"/>
    <n v="330"/>
    <n v="321.1049999999999"/>
    <n v="0.49316930449005913"/>
    <n v="1"/>
    <s v="on time"/>
    <s v="November"/>
    <s v="Q4"/>
  </r>
  <r>
    <s v="ORD-01659"/>
    <x v="192"/>
    <d v="2024-11-23T00:00:00"/>
    <s v="CUST-0111"/>
    <s v="Avery Wright"/>
    <x v="0"/>
    <x v="2"/>
    <s v="MN"/>
    <s v="Minneapolis"/>
    <x v="2"/>
    <x v="4"/>
    <s v="OFF-SUP-402"/>
    <s v="Label Maker"/>
    <x v="2"/>
    <x v="2"/>
    <n v="5"/>
    <n v="73.86"/>
    <n v="0.04"/>
    <n v="8.2200000000000006"/>
    <s v="Critical"/>
    <s v="Yes"/>
    <n v="3"/>
    <s v="Valid"/>
    <x v="3"/>
    <d v="2025-09-02T00:00:00"/>
    <n v="36"/>
    <n v="369.3"/>
    <n v="2.9544000000000001"/>
    <n v="366.34559999999999"/>
    <n v="180"/>
    <n v="186.34559999999999"/>
    <n v="0.50866067451062602"/>
    <n v="2"/>
    <s v="on time"/>
    <s v="November"/>
    <s v="Q4"/>
  </r>
  <r>
    <s v="ORD-01636"/>
    <x v="193"/>
    <d v="2024-11-24T00:00:00"/>
    <s v="CUST-0145"/>
    <s v="Morgan Kim"/>
    <x v="1"/>
    <x v="3"/>
    <s v="LA"/>
    <s v="New Orleans"/>
    <x v="0"/>
    <x v="5"/>
    <s v="APP-KIT-102"/>
    <s v="Mini Refrigerator"/>
    <x v="0"/>
    <x v="0"/>
    <n v="3"/>
    <n v="250.6"/>
    <n v="0"/>
    <n v="14.47"/>
    <s v="Critical"/>
    <s v="No"/>
    <m/>
    <s v="Valid"/>
    <x v="1"/>
    <d v="2024-09-20T00:00:00"/>
    <n v="125"/>
    <n v="751.8"/>
    <n v="0"/>
    <n v="751.8"/>
    <n v="375"/>
    <n v="376.79999999999995"/>
    <n v="0.50119712689545093"/>
    <n v="2"/>
    <s v="on time"/>
    <s v="November"/>
    <s v="Q4"/>
  </r>
  <r>
    <s v="ORD-01044"/>
    <x v="194"/>
    <d v="2024-11-29T00:00:00"/>
    <s v="CUST-0092"/>
    <s v="Alex Brown"/>
    <x v="1"/>
    <x v="3"/>
    <s v="FL"/>
    <s v="Miami"/>
    <x v="3"/>
    <x v="3"/>
    <s v="TEC-MON-201"/>
    <s v="ClearView 27 Monitor"/>
    <x v="3"/>
    <x v="4"/>
    <n v="3"/>
    <n v="292.51"/>
    <n v="0.24"/>
    <n v="13.08"/>
    <s v="High"/>
    <s v="No"/>
    <n v="4"/>
    <s v="Valid"/>
    <x v="2"/>
    <d v="2025-04-04T00:00:00"/>
    <n v="168"/>
    <n v="877.53"/>
    <n v="70.202399999999997"/>
    <n v="807.32759999999996"/>
    <n v="504"/>
    <n v="303.32759999999996"/>
    <n v="0.37571810997171406"/>
    <n v="6"/>
    <s v="on time"/>
    <s v="November"/>
    <s v="Q4"/>
  </r>
  <r>
    <s v="ORD-01135"/>
    <x v="194"/>
    <d v="2024-11-27T00:00:00"/>
    <s v="CUST-0092"/>
    <s v="Alex Brown"/>
    <x v="1"/>
    <x v="3"/>
    <s v="FL"/>
    <s v="Miami"/>
    <x v="2"/>
    <x v="4"/>
    <s v="OFF-SUP-401"/>
    <s v="Desk Organizer Kit"/>
    <x v="2"/>
    <x v="2"/>
    <n v="7"/>
    <n v="27.83"/>
    <n v="0.08"/>
    <n v="7.65"/>
    <s v="Low"/>
    <s v="No"/>
    <m/>
    <s v="Valid"/>
    <x v="2"/>
    <d v="2025-04-04T00:00:00"/>
    <n v="12"/>
    <n v="194.81"/>
    <n v="2.2263999999999999"/>
    <n v="192.58359999999999"/>
    <n v="84"/>
    <n v="108.58359999999999"/>
    <n v="0.56382578786563342"/>
    <n v="4"/>
    <s v="on time"/>
    <s v="November"/>
    <s v="Q4"/>
  </r>
  <r>
    <s v="ORD-01281"/>
    <x v="194"/>
    <d v="2024-12-02T00:00:00"/>
    <s v="CUST-0054"/>
    <s v="Maya Brown"/>
    <x v="2"/>
    <x v="0"/>
    <s v="NJ"/>
    <s v="Newark"/>
    <x v="3"/>
    <x v="3"/>
    <s v="FUR-STO-302"/>
    <s v="Modular Bookcase"/>
    <x v="1"/>
    <x v="9"/>
    <n v="4"/>
    <n v="239.24"/>
    <n v="0.02"/>
    <n v="24.88"/>
    <s v="Medium"/>
    <s v="No"/>
    <n v="4"/>
    <s v="Valid"/>
    <x v="0"/>
    <d v="2021-04-05T00:00:00"/>
    <n v="118"/>
    <n v="956.96"/>
    <n v="4.7848000000000006"/>
    <n v="952.17520000000002"/>
    <n v="472"/>
    <n v="480.17520000000002"/>
    <n v="0.50429290743972333"/>
    <n v="9"/>
    <s v="on time"/>
    <s v="November"/>
    <s v="Q4"/>
  </r>
  <r>
    <s v="ORD-01699"/>
    <x v="194"/>
    <d v="2024-12-03T00:00:00"/>
    <s v="CUST-0134"/>
    <s v="Kai Kim"/>
    <x v="0"/>
    <x v="2"/>
    <s v="TX"/>
    <s v="Austin"/>
    <x v="2"/>
    <x v="2"/>
    <s v="APP-CLN-202"/>
    <s v="Robot Vacuum"/>
    <x v="0"/>
    <x v="3"/>
    <n v="2"/>
    <n v="316.24"/>
    <n v="0.01"/>
    <n v="7.34"/>
    <s v="High"/>
    <s v="No"/>
    <n v="4"/>
    <s v="Valid"/>
    <x v="2"/>
    <d v="2024-12-05T00:00:00"/>
    <n v="165"/>
    <n v="632.48"/>
    <n v="3.1624000000000003"/>
    <n v="629.31759999999997"/>
    <n v="330"/>
    <n v="299.31759999999997"/>
    <n v="0.47562248378243349"/>
    <n v="10"/>
    <s v="on time"/>
    <s v="November"/>
    <s v="Q4"/>
  </r>
  <r>
    <s v="ORD-01165"/>
    <x v="195"/>
    <d v="2024-12-01T00:00:00"/>
    <s v="CUST-0141"/>
    <s v="Morgan Nguyen"/>
    <x v="0"/>
    <x v="2"/>
    <s v="TX"/>
    <s v="Austin"/>
    <x v="2"/>
    <x v="4"/>
    <s v="FUR-CHR-201"/>
    <s v="ErgoFlex Office Chair"/>
    <x v="1"/>
    <x v="11"/>
    <n v="1"/>
    <n v="260.77999999999997"/>
    <n v="0.03"/>
    <n v="23.95"/>
    <s v="Medium"/>
    <s v="No"/>
    <n v="2"/>
    <s v="Valid"/>
    <x v="1"/>
    <d v="2023-12-09T00:00:00"/>
    <n v="146"/>
    <n v="260.77999999999997"/>
    <n v="7.8233999999999986"/>
    <n v="252.95659999999998"/>
    <n v="146"/>
    <n v="106.95659999999998"/>
    <n v="0.42282589187236069"/>
    <n v="7"/>
    <s v="on time"/>
    <s v="November"/>
    <s v="Q4"/>
  </r>
  <r>
    <s v="ORD-01280"/>
    <x v="196"/>
    <d v="2024-12-01T00:00:00"/>
    <s v="CUST-0133"/>
    <s v="Iris Clark"/>
    <x v="0"/>
    <x v="2"/>
    <s v="OH"/>
    <s v="Columbus"/>
    <x v="3"/>
    <x v="5"/>
    <s v="APP-CLN-202"/>
    <s v="Robot Vacuum"/>
    <x v="0"/>
    <x v="3"/>
    <n v="9"/>
    <n v="326.73"/>
    <n v="0.09"/>
    <n v="15.66"/>
    <s v="Low"/>
    <s v="No"/>
    <n v="2"/>
    <s v="Valid"/>
    <x v="3"/>
    <d v="2025-12-19T00:00:00"/>
    <n v="165"/>
    <n v="2940.57"/>
    <n v="29.4057"/>
    <n v="2911.1643000000004"/>
    <n v="1485"/>
    <n v="1426.1643000000004"/>
    <n v="0.48989481631112342"/>
    <n v="5"/>
    <s v="on time"/>
    <s v="November"/>
    <s v="Q4"/>
  </r>
  <r>
    <s v="ORD-01661"/>
    <x v="196"/>
    <d v="2024-12-02T00:00:00"/>
    <s v="CUST-0017"/>
    <s v="Cameron Chen"/>
    <x v="0"/>
    <x v="3"/>
    <s v="LA"/>
    <s v="New Orleans"/>
    <x v="3"/>
    <x v="1"/>
    <s v="TEC-MON-201"/>
    <s v="ClearView 27 Monitor"/>
    <x v="3"/>
    <x v="4"/>
    <n v="2"/>
    <n v="290.73"/>
    <n v="0.02"/>
    <n v="6.56"/>
    <s v="High"/>
    <s v="No"/>
    <n v="3"/>
    <s v="Valid"/>
    <x v="0"/>
    <d v="2022-04-02T00:00:00"/>
    <n v="168"/>
    <n v="581.46"/>
    <n v="5.8146000000000004"/>
    <n v="575.6454"/>
    <n v="336"/>
    <n v="239.6454"/>
    <n v="0.41630733086723182"/>
    <n v="6"/>
    <s v="on time"/>
    <s v="November"/>
    <s v="Q4"/>
  </r>
  <r>
    <s v="ORD-01576"/>
    <x v="197"/>
    <d v="2024-12-06T00:00:00"/>
    <s v="CUST-0160"/>
    <s v="Jordan Wright"/>
    <x v="0"/>
    <x v="1"/>
    <s v="OR"/>
    <s v="Portland"/>
    <x v="0"/>
    <x v="3"/>
    <s v="OFF-BIN-201"/>
    <s v="Heavy-Duty Binder 12-Pack"/>
    <x v="2"/>
    <x v="6"/>
    <n v="2"/>
    <n v="38.049999999999997"/>
    <n v="0.11"/>
    <n v="14.11"/>
    <s v="Medium"/>
    <s v="No"/>
    <n v="4"/>
    <s v="Valid"/>
    <x v="2"/>
    <d v="2025-08-22T00:00:00"/>
    <n v="18"/>
    <n v="76.099999999999994"/>
    <n v="4.1854999999999993"/>
    <n v="71.91449999999999"/>
    <n v="36"/>
    <n v="35.91449999999999"/>
    <n v="0.49940554408359922"/>
    <n v="9"/>
    <s v="on time"/>
    <s v="November"/>
    <s v="Q4"/>
  </r>
  <r>
    <s v="ORD-01287"/>
    <x v="198"/>
    <d v="2024-12-06T00:00:00"/>
    <s v="CUST-0035"/>
    <s v="Priya Chen"/>
    <x v="0"/>
    <x v="3"/>
    <s v="LA"/>
    <s v="New Orleans"/>
    <x v="1"/>
    <x v="1"/>
    <s v="TEC-ACC-301"/>
    <s v="Wireless Keyboard and Mouse"/>
    <x v="3"/>
    <x v="10"/>
    <n v="4"/>
    <n v="55.54"/>
    <n v="0.11"/>
    <n v="7"/>
    <s v="Medium"/>
    <s v="No"/>
    <n v="4"/>
    <s v="Valid"/>
    <x v="0"/>
    <d v="2025-09-13T00:00:00"/>
    <n v="28"/>
    <n v="222.16"/>
    <n v="6.1093999999999999"/>
    <n v="216.0506"/>
    <n v="112"/>
    <n v="104.0506"/>
    <n v="0.48160292079725769"/>
    <n v="8"/>
    <s v="on time"/>
    <s v="November"/>
    <s v="Q4"/>
  </r>
  <r>
    <s v="ORD-01128"/>
    <x v="199"/>
    <d v="2024-12-04T00:00:00"/>
    <s v="CUST-0154"/>
    <s v="Rowan Nguyen"/>
    <x v="0"/>
    <x v="0"/>
    <s v="NY"/>
    <s v="New York"/>
    <x v="0"/>
    <x v="4"/>
    <s v="FUR-STO-302"/>
    <s v="Modular Bookcase"/>
    <x v="1"/>
    <x v="9"/>
    <n v="2"/>
    <n v="224.8"/>
    <n v="0.31"/>
    <n v="27.58"/>
    <s v="Critical"/>
    <s v="No"/>
    <n v="3"/>
    <s v="Valid"/>
    <x v="1"/>
    <d v="2022-04-17T00:00:00"/>
    <n v="118"/>
    <n v="449.6"/>
    <n v="69.688000000000002"/>
    <n v="379.91200000000003"/>
    <n v="236"/>
    <n v="143.91200000000003"/>
    <n v="0.37880351239234356"/>
    <n v="4"/>
    <s v="on time"/>
    <s v="November"/>
    <s v="Q4"/>
  </r>
  <r>
    <s v="ORD-01440"/>
    <x v="199"/>
    <d v="2024-12-04T00:00:00"/>
    <s v="CUST-0097"/>
    <s v="Kai Chen"/>
    <x v="0"/>
    <x v="1"/>
    <s v="WA"/>
    <s v="Seattle"/>
    <x v="2"/>
    <x v="3"/>
    <s v="TEC-ACC-302"/>
    <s v="USB-C Docking Station"/>
    <x v="3"/>
    <x v="10"/>
    <n v="3"/>
    <n v="141.13999999999999"/>
    <n v="0.09"/>
    <n v="14.68"/>
    <s v="High"/>
    <s v="No"/>
    <n v="3"/>
    <s v="Valid"/>
    <x v="0"/>
    <d v="2025-08-01T00:00:00"/>
    <n v="72"/>
    <n v="423.41999999999996"/>
    <n v="12.702599999999999"/>
    <n v="410.71739999999994"/>
    <n v="216"/>
    <n v="194.71739999999994"/>
    <n v="0.47409094428431803"/>
    <n v="4"/>
    <s v="on time"/>
    <s v="November"/>
    <s v="Q4"/>
  </r>
  <r>
    <s v="ORD-01520"/>
    <x v="200"/>
    <d v="2024-12-04T00:00:00"/>
    <s v="CUST-0001"/>
    <s v="Quinn Garcia"/>
    <x v="0"/>
    <x v="3"/>
    <s v="TN"/>
    <s v="Nashville"/>
    <x v="3"/>
    <x v="5"/>
    <s v="TEC-LAP-102"/>
    <s v="ApexBook Pro 16 Laptop"/>
    <x v="3"/>
    <x v="7"/>
    <n v="2"/>
    <n v="1465.16"/>
    <n v="0.08"/>
    <n v="17.84"/>
    <s v="Low"/>
    <s v="No"/>
    <n v="2"/>
    <s v="Valid"/>
    <x v="1"/>
    <d v="2021-09-15T00:00:00"/>
    <n v="885"/>
    <n v="2930.32"/>
    <n v="117.21280000000002"/>
    <n v="2813.1072000000004"/>
    <n v="1770"/>
    <n v="1043.1072000000004"/>
    <n v="0.37080250621092586"/>
    <n v="3"/>
    <s v="on time"/>
    <s v="December"/>
    <s v="Q4"/>
  </r>
  <r>
    <s v="ORD-01598"/>
    <x v="201"/>
    <d v="2024-12-15T00:00:00"/>
    <s v="CUST-0134"/>
    <s v="Kai Kim"/>
    <x v="0"/>
    <x v="2"/>
    <s v="TX"/>
    <s v="Austin"/>
    <x v="3"/>
    <x v="2"/>
    <s v="TEC-NET-402"/>
    <s v="8-Port Network Switch"/>
    <x v="3"/>
    <x v="5"/>
    <n v="2"/>
    <n v="94.2"/>
    <n v="0.06"/>
    <n v="18.440000000000001"/>
    <s v="Medium"/>
    <s v="No"/>
    <n v="4"/>
    <s v="Valid"/>
    <x v="2"/>
    <d v="2024-12-05T00:00:00"/>
    <n v="44"/>
    <n v="188.4"/>
    <n v="5.6520000000000001"/>
    <n v="182.74800000000002"/>
    <n v="88"/>
    <n v="94.748000000000019"/>
    <n v="0.51846258235384246"/>
    <n v="12"/>
    <s v="late"/>
    <s v="December"/>
    <s v="Q4"/>
  </r>
  <r>
    <s v="ORD-01677"/>
    <x v="201"/>
    <d v="2024-12-06T00:00:00"/>
    <s v="CUST-0092"/>
    <s v="Alex Brown"/>
    <x v="1"/>
    <x v="3"/>
    <s v="FL"/>
    <s v="Miami"/>
    <x v="0"/>
    <x v="2"/>
    <s v="OFF-WRT-302"/>
    <s v="Mechanical Pencil Set"/>
    <x v="2"/>
    <x v="8"/>
    <n v="8"/>
    <n v="12.52"/>
    <n v="7.0000000000000007E-2"/>
    <n v="7.77"/>
    <s v="Critical"/>
    <s v="No"/>
    <n v="2"/>
    <s v="Valid"/>
    <x v="2"/>
    <d v="2025-04-04T00:00:00"/>
    <n v="5"/>
    <n v="100.16"/>
    <n v="0.87640000000000007"/>
    <n v="99.283599999999993"/>
    <n v="40"/>
    <n v="59.283599999999993"/>
    <n v="0.59711372270949081"/>
    <n v="3"/>
    <s v="on time"/>
    <s v="December"/>
    <s v="Q4"/>
  </r>
  <r>
    <s v="ORD-01516"/>
    <x v="202"/>
    <d v="2024-12-14T00:00:00"/>
    <s v="CUST-0046"/>
    <s v="Skyler Miller"/>
    <x v="1"/>
    <x v="2"/>
    <s v="MN"/>
    <s v="Minneapolis"/>
    <x v="0"/>
    <x v="5"/>
    <s v="FUR-CHR-201"/>
    <s v="ErgoFlex Office Chair"/>
    <x v="1"/>
    <x v="11"/>
    <n v="4"/>
    <n v="262.02999999999997"/>
    <n v="7.0000000000000007E-2"/>
    <n v="22.36"/>
    <s v="Low"/>
    <s v="No"/>
    <m/>
    <s v="Valid"/>
    <x v="0"/>
    <d v="2025-01-17T00:00:00"/>
    <n v="146"/>
    <n v="1048.1199999999999"/>
    <n v="18.342099999999999"/>
    <n v="1029.7778999999998"/>
    <n v="584"/>
    <n v="445.77789999999982"/>
    <n v="0.4328874216469395"/>
    <n v="10"/>
    <s v="on time"/>
    <s v="December"/>
    <s v="Q4"/>
  </r>
  <r>
    <s v="ORD-01714"/>
    <x v="203"/>
    <d v="2024-12-09T00:00:00"/>
    <s v="CUST-0002"/>
    <s v="Lena Martinez"/>
    <x v="1"/>
    <x v="3"/>
    <s v="TN"/>
    <s v="Nashville"/>
    <x v="2"/>
    <x v="2"/>
    <s v="OFF-SUP-401"/>
    <s v="Desk Organizer Kit"/>
    <x v="2"/>
    <x v="2"/>
    <n v="8"/>
    <n v="28.15"/>
    <n v="7.0000000000000007E-2"/>
    <n v="15.96"/>
    <s v="High"/>
    <s v="No"/>
    <n v="3"/>
    <s v="Valid"/>
    <x v="1"/>
    <d v="2024-11-20T00:00:00"/>
    <n v="12"/>
    <n v="225.2"/>
    <n v="1.9705000000000001"/>
    <n v="223.2295"/>
    <n v="96"/>
    <n v="127.2295"/>
    <n v="0.56994931225487666"/>
    <n v="3"/>
    <s v="on time"/>
    <s v="December"/>
    <s v="Q4"/>
  </r>
  <r>
    <s v="ORD-01010"/>
    <x v="204"/>
    <d v="2024-12-17T00:00:00"/>
    <s v="CUST-0081"/>
    <s v="Kai Garcia"/>
    <x v="2"/>
    <x v="1"/>
    <s v="AZ"/>
    <s v="Phoenix"/>
    <x v="1"/>
    <x v="4"/>
    <s v="FUR-STO-302"/>
    <s v="Modular Bookcase"/>
    <x v="1"/>
    <x v="9"/>
    <n v="4"/>
    <n v="229.46"/>
    <n v="0.1"/>
    <n v="19.02"/>
    <s v="Low"/>
    <s v="No"/>
    <n v="5"/>
    <s v="Valid"/>
    <x v="1"/>
    <d v="2024-09-14T00:00:00"/>
    <n v="118"/>
    <n v="917.84"/>
    <n v="22.946000000000002"/>
    <n v="894.89400000000001"/>
    <n v="472"/>
    <n v="422.89400000000001"/>
    <n v="0.4725632309524927"/>
    <n v="7"/>
    <s v="on time"/>
    <s v="December"/>
    <s v="Q4"/>
  </r>
  <r>
    <s v="ORD-01398"/>
    <x v="204"/>
    <d v="2024-12-19T00:00:00"/>
    <s v="CUST-0020"/>
    <s v="Taylor Robinson"/>
    <x v="2"/>
    <x v="3"/>
    <s v="NC"/>
    <s v="Charlotte"/>
    <x v="2"/>
    <x v="3"/>
    <s v="FUR-DSK-102"/>
    <s v="Executive Desk 60"/>
    <x v="1"/>
    <x v="1"/>
    <n v="1"/>
    <n v="468.37"/>
    <n v="0.28999999999999998"/>
    <n v="20.079999999999998"/>
    <s v="Low"/>
    <s v="No"/>
    <n v="3"/>
    <s v="Valid"/>
    <x v="3"/>
    <d v="2021-11-24T00:00:00"/>
    <n v="265"/>
    <n v="468.37"/>
    <n v="135.82729999999998"/>
    <n v="332.54270000000002"/>
    <n v="265"/>
    <n v="67.542700000000025"/>
    <n v="0.20310985626808231"/>
    <n v="9"/>
    <s v="on time"/>
    <s v="December"/>
    <s v="Q4"/>
  </r>
  <r>
    <s v="ORD-01542"/>
    <x v="205"/>
    <d v="2024-12-16T00:00:00"/>
    <s v="CUST-0062"/>
    <s v="Taylor Johnson"/>
    <x v="0"/>
    <x v="2"/>
    <s v="MN"/>
    <s v="Minneapolis"/>
    <x v="1"/>
    <x v="5"/>
    <s v="APP-KIT-102"/>
    <s v="Mini Refrigerator"/>
    <x v="0"/>
    <x v="0"/>
    <n v="7"/>
    <n v="235.96"/>
    <n v="0.11"/>
    <n v="15.43"/>
    <s v="Critical"/>
    <s v="No"/>
    <n v="3"/>
    <s v="Valid"/>
    <x v="2"/>
    <d v="2024-06-04T00:00:00"/>
    <n v="125"/>
    <n v="1651.72"/>
    <n v="25.9556"/>
    <n v="1625.7644"/>
    <n v="875"/>
    <n v="750.76440000000002"/>
    <n v="0.46179163475347351"/>
    <n v="3"/>
    <s v="on time"/>
    <s v="December"/>
    <s v="Q4"/>
  </r>
  <r>
    <s v="ORD-01381"/>
    <x v="206"/>
    <d v="2024-12-16T00:00:00"/>
    <s v="CUST-0060"/>
    <s v="Owen Johnson"/>
    <x v="2"/>
    <x v="1"/>
    <s v="OR"/>
    <s v="Portland"/>
    <x v="3"/>
    <x v="4"/>
    <s v="APP-CLN-202"/>
    <s v="Robot Vacuum"/>
    <x v="0"/>
    <x v="3"/>
    <n v="4"/>
    <n v="300.8"/>
    <n v="0.08"/>
    <n v="6.75"/>
    <s v="Medium"/>
    <s v="No"/>
    <n v="5"/>
    <s v="Valid"/>
    <x v="1"/>
    <d v="2022-12-08T00:00:00"/>
    <n v="165"/>
    <n v="1203.2"/>
    <n v="24.064"/>
    <n v="1179.136"/>
    <n v="660"/>
    <n v="519.13599999999997"/>
    <n v="0.44026812852800695"/>
    <n v="2"/>
    <s v="on time"/>
    <s v="December"/>
    <s v="Q4"/>
  </r>
  <r>
    <s v="ORD-01471"/>
    <x v="206"/>
    <d v="2024-12-22T00:00:00"/>
    <s v="CUST-0056"/>
    <s v="Rowan Nguyen"/>
    <x v="1"/>
    <x v="3"/>
    <s v="TN"/>
    <s v="Nashville"/>
    <x v="0"/>
    <x v="3"/>
    <s v="TEC-LAP-101"/>
    <s v="ApexBook 14 Laptop"/>
    <x v="2"/>
    <x v="7"/>
    <n v="4"/>
    <n v="934.93"/>
    <n v="0.03"/>
    <n v="15.64"/>
    <s v="Critical"/>
    <s v="Yes"/>
    <m/>
    <s v="Valid"/>
    <x v="3"/>
    <d v="2025-07-10T00:00:00"/>
    <n v="585"/>
    <n v="3739.72"/>
    <n v="28.047899999999998"/>
    <n v="3711.6720999999998"/>
    <n v="2340"/>
    <n v="1371.6720999999998"/>
    <n v="0.3695563786467021"/>
    <n v="8"/>
    <s v="on time"/>
    <s v="December"/>
    <s v="Q4"/>
  </r>
  <r>
    <s v="ORD-01668"/>
    <x v="206"/>
    <d v="2024-12-19T00:00:00"/>
    <s v="CUST-0081"/>
    <s v="Kai Garcia"/>
    <x v="2"/>
    <x v="1"/>
    <s v="AZ"/>
    <s v="Phoenix"/>
    <x v="3"/>
    <x v="2"/>
    <s v="FUR-DSK-101"/>
    <s v="Standing Desk 48"/>
    <x v="1"/>
    <x v="1"/>
    <n v="2"/>
    <n v="327.8"/>
    <n v="0.08"/>
    <n v="26.91"/>
    <s v="Critical"/>
    <s v="No"/>
    <m/>
    <s v="Valid"/>
    <x v="1"/>
    <d v="2024-09-14T00:00:00"/>
    <n v="184"/>
    <n v="655.6"/>
    <n v="26.224"/>
    <n v="629.37599999999998"/>
    <n v="368"/>
    <n v="261.37599999999998"/>
    <n v="0.41529387838112669"/>
    <n v="5"/>
    <s v="on time"/>
    <s v="December"/>
    <s v="Q4"/>
  </r>
  <r>
    <s v="ORD-01051"/>
    <x v="207"/>
    <d v="2024-12-24T00:00:00"/>
    <s v="CUST-0115"/>
    <s v="Quinn Nguyen"/>
    <x v="0"/>
    <x v="1"/>
    <s v="CA"/>
    <s v="San Diego"/>
    <x v="2"/>
    <x v="0"/>
    <s v="FUR-CHR-201"/>
    <s v="ErgoFlex Office Chair"/>
    <x v="1"/>
    <x v="11"/>
    <n v="4"/>
    <n v="262.62"/>
    <n v="0.03"/>
    <n v="23.03"/>
    <s v="Low"/>
    <s v="No"/>
    <n v="5"/>
    <s v="Valid"/>
    <x v="2"/>
    <d v="2023-01-12T00:00:00"/>
    <n v="146"/>
    <n v="1050.48"/>
    <n v="7.8785999999999996"/>
    <n v="1042.6014"/>
    <n v="584"/>
    <n v="458.60140000000001"/>
    <n v="0.43986263590284841"/>
    <n v="8"/>
    <s v="on time"/>
    <s v="December"/>
    <s v="Q4"/>
  </r>
  <r>
    <s v="ORD-01181"/>
    <x v="207"/>
    <d v="2024-12-22T00:00:00"/>
    <s v="CUST-0104"/>
    <s v="Drew Walker"/>
    <x v="0"/>
    <x v="2"/>
    <s v="MN"/>
    <s v="Minneapolis"/>
    <x v="0"/>
    <x v="2"/>
    <s v="APP-CLN-202"/>
    <s v="Robot Vacuum"/>
    <x v="0"/>
    <x v="3"/>
    <n v="7"/>
    <n v="309.39"/>
    <n v="0"/>
    <n v="10"/>
    <s v="High"/>
    <s v="No"/>
    <n v="1"/>
    <s v="Valid"/>
    <x v="0"/>
    <d v="2023-11-06T00:00:00"/>
    <n v="165"/>
    <n v="2165.73"/>
    <n v="0"/>
    <n v="2165.73"/>
    <n v="1155"/>
    <n v="1010.73"/>
    <n v="0.46669252399883643"/>
    <n v="6"/>
    <s v="on time"/>
    <s v="December"/>
    <s v="Q4"/>
  </r>
  <r>
    <s v="ORD-01565"/>
    <x v="208"/>
    <d v="2024-12-20T00:00:00"/>
    <s v="CUST-0039"/>
    <s v="Priya Miller"/>
    <x v="2"/>
    <x v="2"/>
    <s v="IL"/>
    <s v="Chicago"/>
    <x v="1"/>
    <x v="0"/>
    <s v="TEC-MON-201"/>
    <s v="ClearView 27 Monitor"/>
    <x v="3"/>
    <x v="4"/>
    <n v="4"/>
    <n v="285.79000000000002"/>
    <n v="0.06"/>
    <n v="5.04"/>
    <s v="Medium"/>
    <s v="No"/>
    <n v="4"/>
    <s v="Valid"/>
    <x v="3"/>
    <d v="2022-09-14T00:00:00"/>
    <n v="168"/>
    <n v="1143.1600000000001"/>
    <n v="17.147400000000001"/>
    <n v="1126.0126"/>
    <n v="672"/>
    <n v="454.01260000000002"/>
    <n v="0.40320383626257822"/>
    <n v="3"/>
    <s v="on time"/>
    <s v="December"/>
    <s v="Q4"/>
  </r>
  <r>
    <s v="ORD-01220"/>
    <x v="209"/>
    <d v="2024-12-27T00:00:00"/>
    <s v="CUST-0103"/>
    <s v="Kai Clark"/>
    <x v="0"/>
    <x v="0"/>
    <s v="NJ"/>
    <s v="Newark"/>
    <x v="1"/>
    <x v="4"/>
    <s v="TEC-MON-202"/>
    <s v="ClearView Ultrawide Monitor"/>
    <x v="3"/>
    <x v="4"/>
    <n v="3"/>
    <n v="499.53"/>
    <n v="0.01"/>
    <n v="16.07"/>
    <s v="Low"/>
    <s v="Yes"/>
    <m/>
    <s v="Valid"/>
    <x v="2"/>
    <d v="2021-10-11T00:00:00"/>
    <n v="310"/>
    <n v="1498.59"/>
    <n v="4.9952999999999994"/>
    <n v="1493.5946999999999"/>
    <n v="930"/>
    <n v="563.59469999999988"/>
    <n v="0.37734112205941805"/>
    <n v="9"/>
    <s v="on time"/>
    <s v="December"/>
    <s v="Q4"/>
  </r>
  <r>
    <s v="ORD-01351"/>
    <x v="209"/>
    <d v="2024-12-27T00:00:00"/>
    <s v="CUST-0120"/>
    <s v="Sam Wilson"/>
    <x v="1"/>
    <x v="1"/>
    <s v="WA"/>
    <s v="Seattle"/>
    <x v="2"/>
    <x v="4"/>
    <s v="OFF-WRT-302"/>
    <s v="Mechanical Pencil Set"/>
    <x v="2"/>
    <x v="8"/>
    <n v="7"/>
    <n v="12.49"/>
    <n v="0.08"/>
    <n v="12.65"/>
    <s v="High"/>
    <s v="No"/>
    <m/>
    <s v="Valid"/>
    <x v="2"/>
    <d v="2024-04-02T00:00:00"/>
    <n v="5"/>
    <n v="87.43"/>
    <n v="0.99920000000000009"/>
    <n v="86.430800000000005"/>
    <n v="35"/>
    <n v="51.430800000000005"/>
    <n v="0.5950517639545162"/>
    <n v="9"/>
    <s v="on time"/>
    <s v="December"/>
    <s v="Q4"/>
  </r>
  <r>
    <s v="ORD-01296"/>
    <x v="210"/>
    <d v="2024-12-26T00:00:00"/>
    <s v="CUST-0037"/>
    <s v="Drew Martinez"/>
    <x v="0"/>
    <x v="3"/>
    <s v="FL"/>
    <s v="Miami"/>
    <x v="1"/>
    <x v="3"/>
    <s v="FUR-DSK-102"/>
    <s v="Executive Desk 60"/>
    <x v="1"/>
    <x v="1"/>
    <n v="1"/>
    <n v="475.76"/>
    <n v="0.01"/>
    <n v="25.58"/>
    <s v="Critical"/>
    <s v="No"/>
    <m/>
    <s v="Valid"/>
    <x v="1"/>
    <d v="2024-10-02T00:00:00"/>
    <n v="265"/>
    <n v="475.76"/>
    <n v="4.7576000000000001"/>
    <n v="471.00239999999997"/>
    <n v="265"/>
    <n v="206.00239999999997"/>
    <n v="0.43737017051293153"/>
    <n v="5"/>
    <s v="on time"/>
    <s v="December"/>
    <s v="Q4"/>
  </r>
  <r>
    <s v="ORD-01405"/>
    <x v="210"/>
    <d v="2024-12-25T00:00:00"/>
    <s v="CUST-0097"/>
    <s v="Kai Chen"/>
    <x v="0"/>
    <x v="1"/>
    <s v="WA"/>
    <s v="Seattle"/>
    <x v="1"/>
    <x v="1"/>
    <s v="APP-KIT-101"/>
    <s v="Compact Coffee Brewer"/>
    <x v="0"/>
    <x v="0"/>
    <n v="8"/>
    <n v="91.52"/>
    <n v="0.09"/>
    <n v="7.51"/>
    <s v="Medium"/>
    <s v="No"/>
    <n v="1"/>
    <s v="Valid"/>
    <x v="0"/>
    <d v="2025-08-01T00:00:00"/>
    <n v="48"/>
    <n v="732.16"/>
    <n v="8.2367999999999988"/>
    <n v="723.92319999999995"/>
    <n v="384"/>
    <n v="339.92319999999995"/>
    <n v="0.46955699168088544"/>
    <n v="4"/>
    <s v="on time"/>
    <s v="December"/>
    <s v="Q4"/>
  </r>
  <r>
    <s v="ORD-01594"/>
    <x v="210"/>
    <d v="2024-12-28T00:00:00"/>
    <s v="CUST-0084"/>
    <s v="Iris Patel"/>
    <x v="2"/>
    <x v="3"/>
    <s v="NC"/>
    <s v="Charlotte"/>
    <x v="1"/>
    <x v="1"/>
    <s v="FUR-STO-302"/>
    <s v="Modular Bookcase"/>
    <x v="1"/>
    <x v="9"/>
    <n v="3"/>
    <n v="226.35"/>
    <n v="0.02"/>
    <n v="23.12"/>
    <s v="Low"/>
    <s v="No"/>
    <n v="5"/>
    <s v="Valid"/>
    <x v="3"/>
    <d v="2022-12-02T00:00:00"/>
    <n v="118"/>
    <n v="679.05"/>
    <n v="4.5270000000000001"/>
    <n v="674.52299999999991"/>
    <n v="354"/>
    <n v="320.52299999999991"/>
    <n v="0.47518468606704284"/>
    <n v="7"/>
    <s v="on time"/>
    <s v="December"/>
    <s v="Q4"/>
  </r>
  <r>
    <s v="ORD-01066"/>
    <x v="211"/>
    <d v="2024-12-25T00:00:00"/>
    <s v="CUST-0078"/>
    <s v="Reese Nguyen"/>
    <x v="0"/>
    <x v="1"/>
    <s v="WA"/>
    <s v="Seattle"/>
    <x v="2"/>
    <x v="0"/>
    <s v="FUR-CHR-202"/>
    <s v="Mesh Conference Chair"/>
    <x v="1"/>
    <x v="11"/>
    <n v="4"/>
    <n v="153.41999999999999"/>
    <n v="7.0000000000000007E-2"/>
    <n v="20.34"/>
    <s v="Medium"/>
    <s v="No"/>
    <m/>
    <s v="Valid"/>
    <x v="2"/>
    <d v="2022-12-16T00:00:00"/>
    <n v="82"/>
    <n v="613.67999999999995"/>
    <n v="10.7394"/>
    <n v="602.9405999999999"/>
    <n v="328"/>
    <n v="274.9405999999999"/>
    <n v="0.45599947988242945"/>
    <n v="3"/>
    <s v="on time"/>
    <s v="December"/>
    <s v="Q4"/>
  </r>
  <r>
    <s v="ORD-01288"/>
    <x v="211"/>
    <d v="2024-12-25T00:00:00"/>
    <s v="CUST-0154"/>
    <s v="Rowan Nguyen"/>
    <x v="0"/>
    <x v="0"/>
    <s v="NY"/>
    <s v="New York"/>
    <x v="0"/>
    <x v="2"/>
    <s v="APP-KIT-102"/>
    <s v="Mini Refrigerator"/>
    <x v="0"/>
    <x v="0"/>
    <n v="1"/>
    <n v="228.85"/>
    <n v="0.09"/>
    <n v="11.24"/>
    <s v="Medium"/>
    <s v="No"/>
    <n v="1"/>
    <s v="Valid"/>
    <x v="1"/>
    <d v="2022-04-17T00:00:00"/>
    <n v="125"/>
    <n v="228.85"/>
    <n v="20.596499999999999"/>
    <n v="208.2535"/>
    <n v="125"/>
    <n v="83.253500000000003"/>
    <n v="0.39976999186088108"/>
    <n v="3"/>
    <s v="on time"/>
    <s v="December"/>
    <s v="Q4"/>
  </r>
  <r>
    <s v="ORD-01372"/>
    <x v="211"/>
    <d v="2024-12-28T00:00:00"/>
    <s v="CUST-0152"/>
    <s v="Cameron Robinson"/>
    <x v="0"/>
    <x v="0"/>
    <s v="MA"/>
    <s v="Boston"/>
    <x v="3"/>
    <x v="5"/>
    <s v="OFF-PAP-102"/>
    <s v="Recycled Notebook Pack"/>
    <x v="2"/>
    <x v="12"/>
    <n v="5"/>
    <n v="21.87"/>
    <n v="7.0000000000000007E-2"/>
    <n v="9.56"/>
    <s v="Medium"/>
    <s v="No"/>
    <n v="3"/>
    <s v="Valid"/>
    <x v="2"/>
    <d v="2022-08-22T00:00:00"/>
    <n v="10"/>
    <n v="109.35000000000001"/>
    <n v="1.5309000000000001"/>
    <n v="107.81910000000001"/>
    <n v="50"/>
    <n v="57.819100000000006"/>
    <n v="0.53626027299430257"/>
    <n v="6"/>
    <s v="on time"/>
    <s v="December"/>
    <s v="Q4"/>
  </r>
  <r>
    <s v="ORD-01530"/>
    <x v="211"/>
    <d v="2024-12-26T00:00:00"/>
    <s v="CUST-0030"/>
    <s v="Lena Martinez"/>
    <x v="0"/>
    <x v="1"/>
    <s v="OR"/>
    <s v="Portland"/>
    <x v="1"/>
    <x v="4"/>
    <s v="OFF-PAP-101"/>
    <s v="Premium Copy Paper Case"/>
    <x v="2"/>
    <x v="12"/>
    <n v="4"/>
    <n v="37.83"/>
    <n v="7.0000000000000007E-2"/>
    <n v="13"/>
    <s v="High"/>
    <s v="No"/>
    <n v="1"/>
    <s v="Valid"/>
    <x v="0"/>
    <d v="2024-03-22T00:00:00"/>
    <n v="20"/>
    <n v="151.32"/>
    <n v="2.6481000000000003"/>
    <n v="148.67189999999999"/>
    <n v="80"/>
    <n v="68.671899999999994"/>
    <n v="0.46190235007422381"/>
    <n v="4"/>
    <s v="on time"/>
    <s v="December"/>
    <s v="Q4"/>
  </r>
  <r>
    <s v="ORD-01711"/>
    <x v="212"/>
    <d v="2025-01-01T00:00:00"/>
    <s v="CUST-0064"/>
    <s v="Quinn Wright"/>
    <x v="2"/>
    <x v="3"/>
    <s v="FL"/>
    <s v="Miami"/>
    <x v="2"/>
    <x v="3"/>
    <s v="OFF-PAP-102"/>
    <s v="Recycled Notebook Pack"/>
    <x v="2"/>
    <x v="12"/>
    <n v="1"/>
    <n v="22.33"/>
    <n v="0.1"/>
    <n v="9.73"/>
    <s v="Medium"/>
    <s v="No"/>
    <n v="5"/>
    <s v="Valid"/>
    <x v="2"/>
    <d v="2021-10-04T00:00:00"/>
    <n v="10"/>
    <n v="22.33"/>
    <n v="2.2330000000000001"/>
    <n v="20.096999999999998"/>
    <n v="10"/>
    <n v="10.096999999999998"/>
    <n v="0.50241329551674374"/>
    <n v="9"/>
    <s v="on time"/>
    <s v="December"/>
    <s v="Q4"/>
  </r>
  <r>
    <s v="ORD-01081"/>
    <x v="213"/>
    <d v="2024-12-27T00:00:00"/>
    <s v="CUST-0120"/>
    <s v="Sam Wilson"/>
    <x v="1"/>
    <x v="1"/>
    <s v="WA"/>
    <s v="Seattle"/>
    <x v="2"/>
    <x v="4"/>
    <s v="OFF-PAP-101"/>
    <s v="Premium Copy Paper Case"/>
    <x v="2"/>
    <x v="12"/>
    <n v="8"/>
    <n v="39.4"/>
    <n v="0.04"/>
    <n v="10.36"/>
    <s v="Medium"/>
    <s v="No"/>
    <n v="3"/>
    <s v="Valid"/>
    <x v="2"/>
    <d v="2024-04-02T00:00:00"/>
    <n v="20"/>
    <n v="315.2"/>
    <n v="1.5760000000000001"/>
    <n v="313.62399999999997"/>
    <n v="160"/>
    <n v="153.62399999999997"/>
    <n v="0.48983496161008083"/>
    <n v="3"/>
    <s v="on time"/>
    <s v="December"/>
    <s v="Q4"/>
  </r>
  <r>
    <s v="ORD-01320"/>
    <x v="214"/>
    <d v="2025-01-01T00:00:00"/>
    <s v="CUST-0115"/>
    <s v="Quinn Nguyen"/>
    <x v="0"/>
    <x v="1"/>
    <s v="CA"/>
    <s v="San Diego"/>
    <x v="0"/>
    <x v="0"/>
    <s v="APP-KIT-101"/>
    <s v="Compact Coffee Brewer"/>
    <x v="0"/>
    <x v="0"/>
    <n v="5"/>
    <n v="90.35"/>
    <n v="0.09"/>
    <n v="6.06"/>
    <s v="Low"/>
    <s v="No"/>
    <n v="4"/>
    <s v="Valid"/>
    <x v="2"/>
    <d v="2023-01-12T00:00:00"/>
    <n v="48"/>
    <n v="451.75"/>
    <n v="8.1314999999999991"/>
    <n v="443.61849999999998"/>
    <n v="240"/>
    <n v="203.61849999999998"/>
    <n v="0.45899460910669865"/>
    <n v="7"/>
    <s v="on time"/>
    <s v="December"/>
    <s v="Q4"/>
  </r>
  <r>
    <s v="ORD-01478"/>
    <x v="215"/>
    <d v="2025-01-01T00:00:00"/>
    <s v="CUST-0099"/>
    <s v="Jamie Clark"/>
    <x v="0"/>
    <x v="3"/>
    <s v="FL"/>
    <s v="Miami"/>
    <x v="2"/>
    <x v="0"/>
    <s v="OFF-PAP-101"/>
    <s v="Premium Copy Paper Case"/>
    <x v="2"/>
    <x v="12"/>
    <n v="7"/>
    <n v="40.46"/>
    <n v="0.05"/>
    <n v="12.51"/>
    <s v="Medium"/>
    <s v="No"/>
    <n v="5"/>
    <s v="Valid"/>
    <x v="3"/>
    <d v="2025-04-09T00:00:00"/>
    <n v="20"/>
    <n v="283.22000000000003"/>
    <n v="2.0230000000000001"/>
    <n v="281.197"/>
    <n v="140"/>
    <n v="141.197"/>
    <n v="0.50212840108536005"/>
    <n v="6"/>
    <s v="on time"/>
    <s v="December"/>
    <s v="Q4"/>
  </r>
  <r>
    <s v="ORD-01489"/>
    <x v="215"/>
    <d v="2025-01-01T00:00:00"/>
    <s v="CUST-0132"/>
    <s v="Priya Young"/>
    <x v="0"/>
    <x v="0"/>
    <s v="NJ"/>
    <s v="Newark"/>
    <x v="0"/>
    <x v="2"/>
    <s v="OFF-WRT-302"/>
    <s v="Mechanical Pencil Set"/>
    <x v="2"/>
    <x v="8"/>
    <n v="4"/>
    <n v="11.37"/>
    <n v="0"/>
    <n v="6.96"/>
    <s v="Low"/>
    <s v="No"/>
    <n v="5"/>
    <s v="Valid"/>
    <x v="0"/>
    <d v="2021-03-16T00:00:00"/>
    <n v="5"/>
    <n v="45.48"/>
    <n v="0"/>
    <n v="45.48"/>
    <n v="20"/>
    <n v="25.479999999999997"/>
    <n v="0.56024626209322781"/>
    <n v="6"/>
    <s v="on time"/>
    <s v="December"/>
    <s v="Q4"/>
  </r>
  <r>
    <s v="ORD-01363"/>
    <x v="216"/>
    <d v="2025-01-02T00:00:00"/>
    <s v="CUST-0094"/>
    <s v="Lena Smith"/>
    <x v="2"/>
    <x v="2"/>
    <s v="OH"/>
    <s v="Columbus"/>
    <x v="3"/>
    <x v="3"/>
    <s v="TEC-MON-201"/>
    <s v="ClearView 27 Monitor"/>
    <x v="3"/>
    <x v="4"/>
    <n v="2"/>
    <n v="273.58"/>
    <n v="0.09"/>
    <n v="22.72"/>
    <s v="Medium"/>
    <s v="No"/>
    <n v="5"/>
    <s v="Valid"/>
    <x v="1"/>
    <d v="2024-11-03T00:00:00"/>
    <n v="168"/>
    <n v="547.16"/>
    <n v="24.622199999999999"/>
    <n v="522.53779999999995"/>
    <n v="336"/>
    <n v="186.53779999999995"/>
    <n v="0.35698431768955274"/>
    <n v="6"/>
    <s v="on time"/>
    <s v="December"/>
    <s v="Q4"/>
  </r>
  <r>
    <s v="ORD-01590"/>
    <x v="216"/>
    <d v="2025-01-04T00:00:00"/>
    <s v="CUST-0074"/>
    <s v="Alex Clark"/>
    <x v="2"/>
    <x v="0"/>
    <s v="MA"/>
    <s v="Boston"/>
    <x v="0"/>
    <x v="1"/>
    <s v="OFF-PAP-102"/>
    <s v="Recycled Notebook Pack"/>
    <x v="2"/>
    <x v="12"/>
    <n v="3"/>
    <n v="21.8"/>
    <n v="0.05"/>
    <n v="7.34"/>
    <s v="Medium"/>
    <s v="Yes"/>
    <n v="2"/>
    <s v="Valid"/>
    <x v="1"/>
    <d v="2025-06-20T00:00:00"/>
    <n v="10"/>
    <n v="65.400000000000006"/>
    <n v="1.0900000000000001"/>
    <n v="64.31"/>
    <n v="30"/>
    <n v="34.31"/>
    <n v="0.53350956305395736"/>
    <n v="8"/>
    <s v="on time"/>
    <s v="December"/>
    <s v="Q4"/>
  </r>
  <r>
    <s v="ORD-01311"/>
    <x v="217"/>
    <d v="2025-01-04T00:00:00"/>
    <s v="CUST-0048"/>
    <s v="Drew Clark"/>
    <x v="1"/>
    <x v="0"/>
    <s v="NY"/>
    <s v="New York"/>
    <x v="3"/>
    <x v="2"/>
    <s v="OFF-PAP-102"/>
    <s v="Recycled Notebook Pack"/>
    <x v="2"/>
    <x v="12"/>
    <n v="1"/>
    <n v="21.91"/>
    <n v="0.28999999999999998"/>
    <n v="11.48"/>
    <s v="Low"/>
    <s v="Yes"/>
    <m/>
    <s v="Valid"/>
    <x v="2"/>
    <d v="2025-08-10T00:00:00"/>
    <n v="10"/>
    <n v="21.91"/>
    <n v="6.3538999999999994"/>
    <n v="15.556100000000001"/>
    <n v="10"/>
    <n v="5.5561000000000007"/>
    <n v="0.35716535635538471"/>
    <n v="7"/>
    <s v="on time"/>
    <s v="December"/>
    <s v="Q4"/>
  </r>
  <r>
    <s v="ORD-01197"/>
    <x v="218"/>
    <d v="2025-01-09T00:00:00"/>
    <s v="CUST-0030"/>
    <s v="Lena Martinez"/>
    <x v="0"/>
    <x v="1"/>
    <s v="OR"/>
    <s v="Portland"/>
    <x v="1"/>
    <x v="3"/>
    <s v="OFF-BIN-202"/>
    <s v="Presentation Folder Box"/>
    <x v="2"/>
    <x v="6"/>
    <n v="6"/>
    <n v="27.83"/>
    <n v="0.03"/>
    <n v="7.61"/>
    <s v="High"/>
    <s v="No"/>
    <n v="3"/>
    <s v="Valid"/>
    <x v="0"/>
    <d v="2024-03-22T00:00:00"/>
    <n v="14"/>
    <n v="166.98"/>
    <n v="0.83489999999999986"/>
    <n v="166.14509999999999"/>
    <n v="84"/>
    <n v="82.145099999999985"/>
    <n v="0.49441783116083465"/>
    <n v="9"/>
    <s v="on time"/>
    <s v="December"/>
    <s v="Q4"/>
  </r>
  <r>
    <s v="ORD-01216"/>
    <x v="219"/>
    <d v="2025-01-07T00:00:00"/>
    <s v="CUST-0131"/>
    <s v="Drew Garcia"/>
    <x v="1"/>
    <x v="3"/>
    <s v="GA"/>
    <s v="Atlanta"/>
    <x v="1"/>
    <x v="2"/>
    <s v="OFF-BIN-201"/>
    <s v="Heavy-Duty Binder 12-Pack"/>
    <x v="2"/>
    <x v="6"/>
    <n v="5"/>
    <n v="36.68"/>
    <n v="0.01"/>
    <n v="15.84"/>
    <s v="Low"/>
    <s v="No"/>
    <n v="5"/>
    <s v="Valid"/>
    <x v="0"/>
    <d v="2024-12-16T00:00:00"/>
    <n v="18"/>
    <n v="183.4"/>
    <n v="0.36680000000000001"/>
    <n v="183.03319999999999"/>
    <n v="90"/>
    <n v="93.033199999999994"/>
    <n v="0.50828592845450993"/>
    <n v="6"/>
    <s v="on time"/>
    <s v="January"/>
    <s v="Q1"/>
  </r>
  <r>
    <s v="ORD-01689"/>
    <x v="219"/>
    <d v="2025-01-04T00:00:00"/>
    <s v="CUST-0107"/>
    <s v="Jordan Clark"/>
    <x v="2"/>
    <x v="3"/>
    <s v="NC"/>
    <s v="Charlotte"/>
    <x v="3"/>
    <x v="4"/>
    <s v="TEC-NET-402"/>
    <s v="8-Port Network Switch"/>
    <x v="3"/>
    <x v="5"/>
    <n v="2"/>
    <n v="89.03"/>
    <n v="0.08"/>
    <n v="22.86"/>
    <s v="Medium"/>
    <s v="No"/>
    <n v="2"/>
    <s v="Valid"/>
    <x v="3"/>
    <d v="2025-09-19T00:00:00"/>
    <n v="44"/>
    <n v="178.06"/>
    <n v="7.1223999999999998"/>
    <n v="170.9376"/>
    <n v="88"/>
    <n v="82.937600000000003"/>
    <n v="0.48519225729154969"/>
    <n v="3"/>
    <s v="on time"/>
    <s v="January"/>
    <s v="Q1"/>
  </r>
  <r>
    <s v="ORD-01420"/>
    <x v="220"/>
    <d v="2025-01-06T00:00:00"/>
    <s v="CUST-0124"/>
    <s v="Owen Johnson"/>
    <x v="0"/>
    <x v="2"/>
    <s v="TX"/>
    <s v="Austin"/>
    <x v="1"/>
    <x v="4"/>
    <s v="APP-KIT-102"/>
    <s v="Mini Refrigerator"/>
    <x v="0"/>
    <x v="0"/>
    <n v="3"/>
    <n v="237.09"/>
    <n v="0.12"/>
    <n v="9.86"/>
    <s v="Medium"/>
    <s v="No"/>
    <m/>
    <s v="Valid"/>
    <x v="3"/>
    <d v="2024-12-04T00:00:00"/>
    <n v="125"/>
    <n v="711.27"/>
    <n v="28.450800000000001"/>
    <n v="682.81920000000002"/>
    <n v="375"/>
    <n v="307.81920000000002"/>
    <n v="0.45080630421640167"/>
    <n v="3"/>
    <s v="on time"/>
    <s v="January"/>
    <s v="Q1"/>
  </r>
  <r>
    <s v="ORD-01412"/>
    <x v="221"/>
    <d v="2025-01-06T00:00:00"/>
    <s v="CUST-0153"/>
    <s v="Reese Davis"/>
    <x v="2"/>
    <x v="0"/>
    <s v="MA"/>
    <s v="Boston"/>
    <x v="0"/>
    <x v="0"/>
    <s v="OFF-SUP-401"/>
    <s v="Desk Organizer Kit"/>
    <x v="2"/>
    <x v="2"/>
    <n v="3"/>
    <n v="27.83"/>
    <n v="0.08"/>
    <n v="9.39"/>
    <s v="Low"/>
    <s v="No"/>
    <n v="3"/>
    <s v="Valid"/>
    <x v="3"/>
    <d v="2021-03-24T00:00:00"/>
    <n v="12"/>
    <n v="83.49"/>
    <n v="2.2263999999999999"/>
    <n v="81.263599999999997"/>
    <n v="36"/>
    <n v="45.263599999999997"/>
    <n v="0.55699722877155333"/>
    <n v="1"/>
    <s v="on time"/>
    <s v="January"/>
    <s v="Q1"/>
  </r>
  <r>
    <s v="ORD-01629"/>
    <x v="222"/>
    <d v="2025-01-07T00:00:00"/>
    <s v="CUST-0160"/>
    <s v="Jordan Wright"/>
    <x v="0"/>
    <x v="1"/>
    <s v="OR"/>
    <s v="Portland"/>
    <x v="3"/>
    <x v="4"/>
    <s v="APP-CLN-202"/>
    <s v="Robot Vacuum"/>
    <x v="0"/>
    <x v="3"/>
    <n v="4"/>
    <n v="328.38"/>
    <n v="0.09"/>
    <n v="16.899999999999999"/>
    <s v="Medium"/>
    <s v="No"/>
    <n v="1"/>
    <s v="Valid"/>
    <x v="2"/>
    <d v="2025-08-22T00:00:00"/>
    <n v="165"/>
    <n v="1313.52"/>
    <n v="29.554199999999998"/>
    <n v="1283.9657999999999"/>
    <n v="660"/>
    <n v="623.96579999999994"/>
    <n v="0.48596761689446866"/>
    <n v="1"/>
    <s v="on time"/>
    <s v="January"/>
    <s v="Q1"/>
  </r>
  <r>
    <s v="ORD-01176"/>
    <x v="223"/>
    <d v="2025-01-11T00:00:00"/>
    <s v="CUST-0113"/>
    <s v="Priya Smith"/>
    <x v="2"/>
    <x v="2"/>
    <s v="CO"/>
    <s v="Denver"/>
    <x v="1"/>
    <x v="4"/>
    <s v="OFF-WRT-302"/>
    <s v="Mechanical Pencil Set"/>
    <x v="2"/>
    <x v="8"/>
    <n v="1"/>
    <n v="12.14"/>
    <n v="0.04"/>
    <n v="9.35"/>
    <s v="Critical"/>
    <s v="No"/>
    <n v="1"/>
    <s v="Valid"/>
    <x v="1"/>
    <d v="2021-01-23T00:00:00"/>
    <n v="5"/>
    <n v="12.14"/>
    <n v="0.48560000000000003"/>
    <n v="11.654400000000001"/>
    <n v="5"/>
    <n v="6.6544000000000008"/>
    <n v="0.57097748489840749"/>
    <n v="4"/>
    <s v="on time"/>
    <s v="January"/>
    <s v="Q1"/>
  </r>
  <r>
    <s v="ORD-01235"/>
    <x v="224"/>
    <d v="2025-01-14T00:00:00"/>
    <s v="CUST-0116"/>
    <s v="Iris Clark"/>
    <x v="1"/>
    <x v="3"/>
    <s v="TN"/>
    <s v="Nashville"/>
    <x v="2"/>
    <x v="5"/>
    <s v="TEC-NET-402"/>
    <s v="8-Port Network Switch"/>
    <x v="3"/>
    <x v="5"/>
    <n v="4"/>
    <n v="88.67"/>
    <n v="0.1"/>
    <n v="19.41"/>
    <s v="High"/>
    <s v="No"/>
    <n v="5"/>
    <s v="Valid"/>
    <x v="2"/>
    <d v="2021-09-08T00:00:00"/>
    <n v="44"/>
    <n v="354.68"/>
    <n v="8.8670000000000009"/>
    <n v="345.81299999999999"/>
    <n v="176"/>
    <n v="169.81299999999999"/>
    <n v="0.49105441380167891"/>
    <n v="6"/>
    <s v="on time"/>
    <s v="January"/>
    <s v="Q1"/>
  </r>
  <r>
    <s v="ORD-01369"/>
    <x v="225"/>
    <d v="2025-01-14T00:00:00"/>
    <s v="CUST-0082"/>
    <s v="Alex Wright"/>
    <x v="1"/>
    <x v="2"/>
    <s v="TX"/>
    <s v="Austin"/>
    <x v="0"/>
    <x v="4"/>
    <s v="FUR-CHR-202"/>
    <s v="Mesh Conference Chair"/>
    <x v="1"/>
    <x v="11"/>
    <n v="1"/>
    <n v="141.99"/>
    <n v="0.26"/>
    <n v="24.14"/>
    <s v="Critical"/>
    <s v="No"/>
    <m/>
    <s v="Valid"/>
    <x v="2"/>
    <d v="2022-06-23T00:00:00"/>
    <n v="82"/>
    <n v="141.99"/>
    <n v="36.917400000000001"/>
    <n v="105.07260000000001"/>
    <n v="82"/>
    <n v="23.072600000000008"/>
    <n v="0.21958721874208886"/>
    <n v="5"/>
    <s v="on time"/>
    <s v="January"/>
    <s v="Q1"/>
  </r>
  <r>
    <s v="ORD-01130"/>
    <x v="226"/>
    <d v="2025-01-14T00:00:00"/>
    <s v="CUST-0082"/>
    <s v="Alex Wright"/>
    <x v="1"/>
    <x v="2"/>
    <s v="TX"/>
    <s v="Austin"/>
    <x v="1"/>
    <x v="0"/>
    <s v="OFF-WRT-301"/>
    <s v="Gel Pen Variety Pack"/>
    <x v="2"/>
    <x v="8"/>
    <n v="2"/>
    <n v="14.92"/>
    <n v="0.19"/>
    <n v="16.989999999999998"/>
    <s v="High"/>
    <s v="No"/>
    <n v="4"/>
    <s v="Valid"/>
    <x v="2"/>
    <d v="2022-06-23T00:00:00"/>
    <n v="6"/>
    <n v="29.84"/>
    <n v="2.8348"/>
    <n v="27.005199999999999"/>
    <n v="12"/>
    <n v="15.005199999999999"/>
    <n v="0.55564113578125696"/>
    <n v="3"/>
    <s v="on time"/>
    <s v="January"/>
    <s v="Q1"/>
  </r>
  <r>
    <s v="ORD-01022"/>
    <x v="227"/>
    <d v="2025-01-23T00:00:00"/>
    <s v="CUST-0004"/>
    <s v="Riley Smith"/>
    <x v="1"/>
    <x v="0"/>
    <s v="VA"/>
    <s v="Richmond"/>
    <x v="1"/>
    <x v="0"/>
    <s v="OFF-SUP-401"/>
    <s v="Desk Organizer Kit"/>
    <x v="2"/>
    <x v="2"/>
    <n v="7"/>
    <n v="28.22"/>
    <n v="0.32"/>
    <n v="12.41"/>
    <s v="High"/>
    <s v="No"/>
    <n v="5"/>
    <s v="Valid"/>
    <x v="0"/>
    <d v="2022-06-24T00:00:00"/>
    <n v="12"/>
    <n v="197.54"/>
    <n v="9.0304000000000002"/>
    <n v="188.50959999999998"/>
    <n v="84"/>
    <n v="104.50959999999998"/>
    <n v="0.55439935154496101"/>
    <n v="10"/>
    <s v="on time"/>
    <s v="January"/>
    <s v="Q1"/>
  </r>
  <r>
    <s v="ORD-01481"/>
    <x v="227"/>
    <d v="2025-01-15T00:00:00"/>
    <s v="CUST-0072"/>
    <s v="Sam Wright"/>
    <x v="0"/>
    <x v="3"/>
    <s v="LA"/>
    <s v="New Orleans"/>
    <x v="0"/>
    <x v="4"/>
    <s v="FUR-DSK-101"/>
    <s v="Standing Desk 48"/>
    <x v="1"/>
    <x v="1"/>
    <n v="3"/>
    <n v="343.63"/>
    <n v="0.34"/>
    <n v="29.6"/>
    <s v="Low"/>
    <s v="No"/>
    <n v="4"/>
    <s v="Valid"/>
    <x v="0"/>
    <d v="2025-07-05T00:00:00"/>
    <n v="184"/>
    <n v="1030.8899999999999"/>
    <n v="116.83420000000001"/>
    <n v="914.05579999999986"/>
    <n v="552"/>
    <n v="362.05579999999986"/>
    <n v="0.3960981375535278"/>
    <n v="2"/>
    <s v="on time"/>
    <s v="January"/>
    <s v="Q1"/>
  </r>
  <r>
    <s v="ORD-01070"/>
    <x v="228"/>
    <d v="2025-01-25T00:00:00"/>
    <s v="CUST-0132"/>
    <s v="Priya Young"/>
    <x v="0"/>
    <x v="0"/>
    <s v="NJ"/>
    <s v="Newark"/>
    <x v="3"/>
    <x v="2"/>
    <s v="APP-KIT-102"/>
    <s v="Mini Refrigerator"/>
    <x v="0"/>
    <x v="0"/>
    <n v="10"/>
    <n v="244.17"/>
    <n v="0.11"/>
    <n v="13.71"/>
    <s v="Medium"/>
    <s v="No"/>
    <n v="4"/>
    <s v="Valid"/>
    <x v="0"/>
    <d v="2021-03-16T00:00:00"/>
    <n v="125"/>
    <n v="2441.6999999999998"/>
    <n v="26.858699999999999"/>
    <n v="2414.8413"/>
    <n v="1250"/>
    <n v="1164.8413"/>
    <n v="0.48236764047393094"/>
    <n v="9"/>
    <s v="on time"/>
    <s v="January"/>
    <s v="Q1"/>
  </r>
  <r>
    <s v="ORD-01189"/>
    <x v="228"/>
    <d v="2025-01-22T00:00:00"/>
    <s v="CUST-0133"/>
    <s v="Iris Clark"/>
    <x v="0"/>
    <x v="2"/>
    <s v="OH"/>
    <s v="Columbus"/>
    <x v="2"/>
    <x v="2"/>
    <s v="OFF-BIN-202"/>
    <s v="Presentation Folder Box"/>
    <x v="2"/>
    <x v="6"/>
    <n v="2"/>
    <n v="0"/>
    <n v="0.1"/>
    <n v="11.64"/>
    <s v="High"/>
    <s v="Yes"/>
    <n v="1"/>
    <s v="Invalid Price"/>
    <x v="3"/>
    <d v="2025-12-19T00:00:00"/>
    <n v="14"/>
    <n v="0"/>
    <n v="0"/>
    <n v="0"/>
    <n v="28"/>
    <n v="-28"/>
    <e v="#DIV/0!"/>
    <n v="6"/>
    <s v="on time"/>
    <s v="January"/>
    <s v="Q1"/>
  </r>
  <r>
    <s v="ORD-01639"/>
    <x v="229"/>
    <d v="2025-01-22T00:00:00"/>
    <s v="CUST-0037"/>
    <s v="Drew Martinez"/>
    <x v="0"/>
    <x v="3"/>
    <s v="FL"/>
    <s v="Miami"/>
    <x v="1"/>
    <x v="1"/>
    <s v="TEC-LAP-102"/>
    <s v="ApexBook Pro 16 Laptop"/>
    <x v="3"/>
    <x v="7"/>
    <n v="4"/>
    <n v="1471.99"/>
    <n v="0.02"/>
    <n v="16.71"/>
    <s v="Medium"/>
    <s v="No"/>
    <n v="5"/>
    <s v="Valid"/>
    <x v="1"/>
    <d v="2024-10-02T00:00:00"/>
    <n v="885"/>
    <n v="5887.96"/>
    <n v="29.439800000000002"/>
    <n v="5858.5201999999999"/>
    <n v="3540"/>
    <n v="2318.5201999999999"/>
    <n v="0.39575184873477093"/>
    <n v="5"/>
    <s v="on time"/>
    <s v="January"/>
    <s v="Q1"/>
  </r>
  <r>
    <s v="ORD-01473"/>
    <x v="230"/>
    <d v="2025-01-20T00:00:00"/>
    <s v="CUST-0107"/>
    <s v="Jordan Clark"/>
    <x v="2"/>
    <x v="3"/>
    <s v="NC"/>
    <s v="Charlotte"/>
    <x v="1"/>
    <x v="4"/>
    <s v="TEC-NET-401"/>
    <s v="Mesh Wi-Fi Router"/>
    <x v="3"/>
    <x v="5"/>
    <n v="1"/>
    <n v="190.57"/>
    <n v="0.03"/>
    <n v="22.41"/>
    <s v="High"/>
    <s v="No"/>
    <n v="3"/>
    <s v="Valid"/>
    <x v="3"/>
    <d v="2025-09-19T00:00:00"/>
    <n v="96"/>
    <n v="190.57"/>
    <n v="5.7170999999999994"/>
    <n v="184.85290000000001"/>
    <n v="96"/>
    <n v="88.852900000000005"/>
    <n v="0.48066814207404918"/>
    <n v="2"/>
    <s v="on time"/>
    <s v="January"/>
    <s v="Q1"/>
  </r>
  <r>
    <s v="ORD-01564"/>
    <x v="231"/>
    <d v="2025-01-26T00:00:00"/>
    <s v="CUST-0002"/>
    <s v="Lena Martinez"/>
    <x v="1"/>
    <x v="3"/>
    <s v="TN"/>
    <s v="Nashville"/>
    <x v="1"/>
    <x v="3"/>
    <s v="TEC-MON-201"/>
    <s v="ClearView 27 Monitor"/>
    <x v="3"/>
    <x v="4"/>
    <n v="1"/>
    <n v="275.31"/>
    <n v="0.12"/>
    <n v="19.489999999999998"/>
    <s v="Critical"/>
    <s v="No"/>
    <n v="5"/>
    <s v="Valid"/>
    <x v="1"/>
    <d v="2024-11-20T00:00:00"/>
    <n v="168"/>
    <n v="275.31"/>
    <n v="33.037199999999999"/>
    <n v="242.27280000000002"/>
    <n v="168"/>
    <n v="74.272800000000018"/>
    <n v="0.30656681228763616"/>
    <n v="6"/>
    <s v="on time"/>
    <s v="January"/>
    <s v="Q1"/>
  </r>
  <r>
    <s v="ORD-01667"/>
    <x v="231"/>
    <d v="2025-01-30T00:00:00"/>
    <s v="CUST-0082"/>
    <s v="Alex Wright"/>
    <x v="1"/>
    <x v="2"/>
    <s v="TX"/>
    <s v="Austin"/>
    <x v="1"/>
    <x v="0"/>
    <s v="TEC-MON-201"/>
    <s v="ClearView 27 Monitor"/>
    <x v="3"/>
    <x v="4"/>
    <n v="1"/>
    <n v="299.35000000000002"/>
    <n v="7.0000000000000007E-2"/>
    <n v="19.05"/>
    <s v="Low"/>
    <s v="Yes"/>
    <n v="4"/>
    <s v="Valid"/>
    <x v="2"/>
    <d v="2022-06-23T00:00:00"/>
    <n v="168"/>
    <n v="299.35000000000002"/>
    <n v="20.954500000000003"/>
    <n v="278.39550000000003"/>
    <n v="168"/>
    <n v="110.39550000000003"/>
    <n v="0.39654196996718705"/>
    <n v="10"/>
    <s v="on time"/>
    <s v="January"/>
    <s v="Q1"/>
  </r>
  <r>
    <s v="ORD-01210"/>
    <x v="232"/>
    <d v="2025-01-27T00:00:00"/>
    <s v="CUST-0121"/>
    <s v="Lena Chen"/>
    <x v="0"/>
    <x v="3"/>
    <s v="NC"/>
    <s v="Charlotte"/>
    <x v="1"/>
    <x v="5"/>
    <s v="APP-KIT-101"/>
    <s v="Compact Coffee Brewer"/>
    <x v="0"/>
    <x v="0"/>
    <n v="3"/>
    <n v="90.66"/>
    <n v="0.08"/>
    <n v="5.88"/>
    <s v="Critical"/>
    <s v="No"/>
    <n v="1"/>
    <s v="Valid"/>
    <x v="0"/>
    <d v="2025-03-09T00:00:00"/>
    <n v="48"/>
    <n v="271.98"/>
    <n v="7.2527999999999997"/>
    <n v="264.72720000000004"/>
    <n v="144"/>
    <n v="120.72720000000004"/>
    <n v="0.45604380660544147"/>
    <n v="6"/>
    <s v="on time"/>
    <s v="January"/>
    <s v="Q1"/>
  </r>
  <r>
    <s v="ORD-01330"/>
    <x v="232"/>
    <d v="2025-01-25T00:00:00"/>
    <s v="CUST-0089"/>
    <s v="Jamie Garcia"/>
    <x v="1"/>
    <x v="3"/>
    <s v="NC"/>
    <s v="Charlotte"/>
    <x v="2"/>
    <x v="2"/>
    <s v="TEC-ACC-301"/>
    <s v="Wireless Keyboard and Mouse"/>
    <x v="3"/>
    <x v="10"/>
    <n v="3"/>
    <n v="60.31"/>
    <n v="0.02"/>
    <n v="10.99"/>
    <s v="High"/>
    <s v="No"/>
    <n v="5"/>
    <s v="Valid"/>
    <x v="0"/>
    <d v="2023-08-04T00:00:00"/>
    <n v="28"/>
    <n v="180.93"/>
    <n v="1.2062000000000002"/>
    <n v="179.72380000000001"/>
    <n v="84"/>
    <n v="95.723800000000011"/>
    <n v="0.53261615879477286"/>
    <n v="4"/>
    <s v="on time"/>
    <s v="January"/>
    <s v="Q1"/>
  </r>
  <r>
    <s v="ORD-01446"/>
    <x v="232"/>
    <d v="2025-01-22T00:00:00"/>
    <s v="CUST-0154"/>
    <s v="Rowan Nguyen"/>
    <x v="0"/>
    <x v="0"/>
    <s v="NY"/>
    <s v="New York"/>
    <x v="1"/>
    <x v="3"/>
    <s v="OFF-SUP-401"/>
    <s v="Desk Organizer Kit"/>
    <x v="2"/>
    <x v="2"/>
    <n v="5"/>
    <n v="26.93"/>
    <n v="7.0000000000000007E-2"/>
    <n v="9.74"/>
    <s v="Low"/>
    <s v="Yes"/>
    <n v="1"/>
    <s v="Valid"/>
    <x v="1"/>
    <d v="2022-04-17T00:00:00"/>
    <n v="12"/>
    <n v="134.65"/>
    <n v="1.8851000000000002"/>
    <n v="132.76490000000001"/>
    <n v="60"/>
    <n v="72.764900000000011"/>
    <n v="0.54807332359682415"/>
    <n v="1"/>
    <s v="on time"/>
    <s v="January"/>
    <s v="Q1"/>
  </r>
  <r>
    <s v="ORD-01167"/>
    <x v="233"/>
    <d v="2025-01-28T00:00:00"/>
    <s v="Missing Customer_ID"/>
    <s v="Quinn Robinson"/>
    <x v="1"/>
    <x v="2"/>
    <s v="IL"/>
    <s v="Chicago"/>
    <x v="3"/>
    <x v="3"/>
    <s v="OFF-WRT-302"/>
    <s v="Mechanical Pencil Set"/>
    <x v="2"/>
    <x v="8"/>
    <n v="5"/>
    <n v="12.51"/>
    <n v="0.11"/>
    <n v="12.97"/>
    <s v="Low"/>
    <s v="No"/>
    <n v="4"/>
    <s v="Invalid Customer"/>
    <x v="4"/>
    <e v="#N/A"/>
    <n v="5"/>
    <n v="62.55"/>
    <n v="1.3760999999999999"/>
    <n v="61.173899999999996"/>
    <n v="25"/>
    <n v="36.173899999999996"/>
    <n v="0.59132898180433158"/>
    <n v="6"/>
    <s v="on time"/>
    <s v="January"/>
    <s v="Q1"/>
  </r>
  <r>
    <s v="ORD-01027"/>
    <x v="234"/>
    <d v="2025-01-25T00:00:00"/>
    <s v="CUST-0114"/>
    <s v="Riley Patel"/>
    <x v="1"/>
    <x v="0"/>
    <s v="NJ"/>
    <s v="Newark"/>
    <x v="0"/>
    <x v="4"/>
    <s v="TEC-MON-202"/>
    <s v="ClearView Ultrawide Monitor"/>
    <x v="3"/>
    <x v="4"/>
    <n v="3"/>
    <n v="541.24"/>
    <n v="0.03"/>
    <n v="6.7"/>
    <s v="Critical"/>
    <s v="No"/>
    <n v="5"/>
    <s v="Valid"/>
    <x v="3"/>
    <d v="2021-12-08T00:00:00"/>
    <n v="310"/>
    <n v="1623.72"/>
    <n v="16.237200000000001"/>
    <n v="1607.4828"/>
    <n v="930"/>
    <n v="677.4828"/>
    <n v="0.42145570702218399"/>
    <n v="2"/>
    <s v="on time"/>
    <s v="January"/>
    <s v="Q1"/>
  </r>
  <r>
    <s v="ORD-01173"/>
    <x v="235"/>
    <d v="2025-02-05T00:00:00"/>
    <s v="CUST-0017"/>
    <s v="Cameron Chen"/>
    <x v="0"/>
    <x v="3"/>
    <s v="LA"/>
    <s v="New Orleans"/>
    <x v="1"/>
    <x v="3"/>
    <s v="FUR-DSK-102"/>
    <s v="Executive Desk 60"/>
    <x v="1"/>
    <x v="1"/>
    <n v="1"/>
    <n v="469.27"/>
    <n v="0.08"/>
    <n v="27.7"/>
    <s v="Low"/>
    <s v="No"/>
    <n v="1"/>
    <s v="Valid"/>
    <x v="0"/>
    <d v="2022-04-02T00:00:00"/>
    <n v="265"/>
    <n v="469.27"/>
    <n v="37.541600000000003"/>
    <n v="431.72839999999997"/>
    <n v="265"/>
    <n v="166.72839999999997"/>
    <n v="0.38618816830210839"/>
    <n v="10"/>
    <s v="on time"/>
    <s v="January"/>
    <s v="Q1"/>
  </r>
  <r>
    <s v="ORD-01201"/>
    <x v="236"/>
    <d v="2025-01-31T00:00:00"/>
    <s v="CUST-0112"/>
    <s v="Priya Walker"/>
    <x v="0"/>
    <x v="0"/>
    <s v="VA"/>
    <s v="Richmond"/>
    <x v="3"/>
    <x v="1"/>
    <s v="OFF-SUP-402"/>
    <s v="Label Maker"/>
    <x v="2"/>
    <x v="2"/>
    <n v="10"/>
    <n v="74.64"/>
    <n v="0.08"/>
    <n v="5.88"/>
    <s v="Medium"/>
    <s v="No"/>
    <n v="3"/>
    <s v="Valid"/>
    <x v="1"/>
    <d v="2022-09-16T00:00:00"/>
    <n v="36"/>
    <n v="746.4"/>
    <n v="5.9712000000000005"/>
    <n v="740.42880000000002"/>
    <n v="360"/>
    <n v="380.42880000000002"/>
    <n v="0.51379524945545074"/>
    <n v="4"/>
    <s v="on time"/>
    <s v="January"/>
    <s v="Q1"/>
  </r>
  <r>
    <s v="ORD-01416"/>
    <x v="236"/>
    <d v="2025-01-25T00:00:00"/>
    <s v="CUST-0077"/>
    <s v="Casey Nguyen"/>
    <x v="0"/>
    <x v="1"/>
    <s v="CA"/>
    <s v="Los Angeles"/>
    <x v="3"/>
    <x v="4"/>
    <s v="FUR-CHR-201"/>
    <s v="ErgoFlex Office Chair"/>
    <x v="1"/>
    <x v="11"/>
    <n v="2"/>
    <n v="275.27"/>
    <n v="0.11"/>
    <n v="19.649999999999999"/>
    <s v="Critical"/>
    <s v="Yes"/>
    <n v="5"/>
    <s v="Invalid Date"/>
    <x v="3"/>
    <d v="2023-07-25T00:00:00"/>
    <n v="146"/>
    <n v="550.54"/>
    <n v="30.279699999999998"/>
    <n v="520.26029999999992"/>
    <n v="292"/>
    <n v="228.26029999999992"/>
    <n v="0.43874249101843815"/>
    <n v="-2"/>
    <s v="on time"/>
    <s v="January"/>
    <s v="Q1"/>
  </r>
  <r>
    <s v="ORD-01152"/>
    <x v="237"/>
    <d v="2025-01-31T00:00:00"/>
    <s v="CUST-0009"/>
    <s v="Reese Patel"/>
    <x v="0"/>
    <x v="2"/>
    <s v="IL"/>
    <s v="Chicago"/>
    <x v="0"/>
    <x v="4"/>
    <s v="OFF-SUP-402"/>
    <s v="Label Maker"/>
    <x v="2"/>
    <x v="2"/>
    <n v="6"/>
    <n v="76.709999999999994"/>
    <n v="0.11"/>
    <n v="7.16"/>
    <s v="High"/>
    <s v="No"/>
    <n v="2"/>
    <s v="Valid"/>
    <x v="0"/>
    <d v="2025-02-18T00:00:00"/>
    <n v="36"/>
    <n v="460.26"/>
    <n v="8.4380999999999986"/>
    <n v="451.82189999999997"/>
    <n v="216"/>
    <n v="235.82189999999997"/>
    <n v="0.52193552370967411"/>
    <n v="2"/>
    <s v="on time"/>
    <s v="January"/>
    <s v="Q1"/>
  </r>
  <r>
    <s v="ORD-01084"/>
    <x v="238"/>
    <d v="2025-02-01T00:00:00"/>
    <s v="CUST-0079"/>
    <s v="Taylor Scott"/>
    <x v="1"/>
    <x v="2"/>
    <s v="OH"/>
    <s v="Columbus"/>
    <x v="0"/>
    <x v="3"/>
    <s v="APP-CLN-201"/>
    <s v="Air Purifier"/>
    <x v="0"/>
    <x v="3"/>
    <n v="10"/>
    <n v="175.89"/>
    <n v="0.11"/>
    <n v="9.2899999999999991"/>
    <s v="Critical"/>
    <s v="No"/>
    <n v="3"/>
    <s v="Valid"/>
    <x v="0"/>
    <d v="2024-04-12T00:00:00"/>
    <n v="82"/>
    <n v="1758.8999999999999"/>
    <n v="19.347899999999999"/>
    <n v="1739.5520999999999"/>
    <n v="820"/>
    <n v="919.55209999999988"/>
    <n v="0.52861429100053969"/>
    <n v="2"/>
    <s v="on time"/>
    <s v="January"/>
    <s v="Q1"/>
  </r>
  <r>
    <s v="ORD-01401"/>
    <x v="238"/>
    <d v="2025-02-06T00:00:00"/>
    <s v="CUST-0036"/>
    <s v="Avery Davis"/>
    <x v="1"/>
    <x v="0"/>
    <s v="NY"/>
    <s v="New York"/>
    <x v="2"/>
    <x v="2"/>
    <s v="TEC-MON-202"/>
    <s v="ClearView Ultrawide Monitor"/>
    <x v="3"/>
    <x v="4"/>
    <n v="1"/>
    <n v="514.99"/>
    <n v="0.05"/>
    <n v="12.57"/>
    <s v="High"/>
    <s v="No"/>
    <n v="4"/>
    <s v="Valid"/>
    <x v="2"/>
    <d v="2022-02-02T00:00:00"/>
    <n v="310"/>
    <n v="514.99"/>
    <n v="25.749500000000001"/>
    <n v="489.2405"/>
    <n v="310"/>
    <n v="179.2405"/>
    <n v="0.36636480422205436"/>
    <n v="7"/>
    <s v="on time"/>
    <s v="January"/>
    <s v="Q1"/>
  </r>
  <r>
    <s v="ORD-01075"/>
    <x v="239"/>
    <d v="2025-02-04T00:00:00"/>
    <s v="CUST-0101"/>
    <s v="Drew Walker"/>
    <x v="2"/>
    <x v="1"/>
    <s v="CA"/>
    <s v="San Diego"/>
    <x v="3"/>
    <x v="5"/>
    <s v="OFF-WRT-302"/>
    <s v="Mechanical Pencil Set"/>
    <x v="2"/>
    <x v="8"/>
    <n v="9"/>
    <n v="11.37"/>
    <n v="0.23"/>
    <n v="7"/>
    <s v="High"/>
    <s v="No"/>
    <n v="5"/>
    <s v="Valid"/>
    <x v="3"/>
    <d v="2025-01-20T00:00:00"/>
    <n v="5"/>
    <n v="102.33"/>
    <n v="2.6151"/>
    <n v="99.7149"/>
    <n v="45"/>
    <n v="54.7149"/>
    <n v="0.54871338185165908"/>
    <n v="4"/>
    <s v="on time"/>
    <s v="January"/>
    <s v="Q1"/>
  </r>
  <r>
    <s v="ORD-01504"/>
    <x v="239"/>
    <d v="2025-02-08T00:00:00"/>
    <s v="CUST-0011"/>
    <s v="Reese Young"/>
    <x v="2"/>
    <x v="0"/>
    <s v="NJ"/>
    <s v="Newark"/>
    <x v="0"/>
    <x v="2"/>
    <s v="TEC-MON-201"/>
    <s v="ClearView 27 Monitor"/>
    <x v="3"/>
    <x v="4"/>
    <n v="2"/>
    <n v="286.29000000000002"/>
    <n v="0.04"/>
    <n v="5.45"/>
    <s v="Critical"/>
    <s v="No"/>
    <n v="4"/>
    <s v="Valid"/>
    <x v="1"/>
    <d v="2021-12-15T00:00:00"/>
    <n v="168"/>
    <n v="572.58000000000004"/>
    <n v="11.451600000000001"/>
    <n v="561.12840000000006"/>
    <n v="336"/>
    <n v="225.12840000000006"/>
    <n v="0.40120656876394073"/>
    <n v="8"/>
    <s v="on time"/>
    <s v="January"/>
    <s v="Q1"/>
  </r>
  <r>
    <s v="ORD-01383"/>
    <x v="240"/>
    <d v="2025-02-05T00:00:00"/>
    <s v="CUST-0076"/>
    <s v="Morgan Nguyen"/>
    <x v="2"/>
    <x v="3"/>
    <s v="LA"/>
    <s v="New Orleans"/>
    <x v="2"/>
    <x v="3"/>
    <s v="APP-KIT-101"/>
    <s v="Compact Coffee Brewer"/>
    <x v="0"/>
    <x v="0"/>
    <n v="1"/>
    <n v="91.08"/>
    <n v="0.03"/>
    <n v="11.53"/>
    <s v="Critical"/>
    <s v="No"/>
    <n v="2"/>
    <s v="Valid"/>
    <x v="1"/>
    <d v="2022-10-01T00:00:00"/>
    <n v="48"/>
    <n v="91.08"/>
    <n v="2.7323999999999997"/>
    <n v="88.3476"/>
    <n v="48"/>
    <n v="40.3476"/>
    <n v="0.45669152302948807"/>
    <n v="4"/>
    <s v="on time"/>
    <s v="February"/>
    <s v="Q1"/>
  </r>
  <r>
    <s v="ORD-01649"/>
    <x v="240"/>
    <d v="2025-02-03T00:00:00"/>
    <s v="CUST-0136"/>
    <s v="Taylor Robinson"/>
    <x v="0"/>
    <x v="1"/>
    <s v="WA"/>
    <s v="Seattle"/>
    <x v="2"/>
    <x v="2"/>
    <s v="TEC-ACC-302"/>
    <s v="USB-C Docking Station"/>
    <x v="3"/>
    <x v="10"/>
    <n v="1"/>
    <n v="143.47"/>
    <n v="0.12"/>
    <n v="9.8000000000000007"/>
    <s v="Low"/>
    <s v="No"/>
    <n v="1"/>
    <s v="Valid"/>
    <x v="2"/>
    <d v="2023-11-25T00:00:00"/>
    <n v="72"/>
    <n v="143.47"/>
    <n v="17.2164"/>
    <n v="126.25360000000001"/>
    <n v="72"/>
    <n v="54.253600000000006"/>
    <n v="0.42971923176844068"/>
    <n v="2"/>
    <s v="on time"/>
    <s v="February"/>
    <s v="Q1"/>
  </r>
  <r>
    <s v="ORD-01347"/>
    <x v="241"/>
    <d v="2025-02-12T00:00:00"/>
    <s v="CUST-0139"/>
    <s v="Riley Clark"/>
    <x v="2"/>
    <x v="3"/>
    <s v="GA"/>
    <s v="Atlanta"/>
    <x v="2"/>
    <x v="2"/>
    <s v="APP-KIT-101"/>
    <s v="Compact Coffee Brewer"/>
    <x v="0"/>
    <x v="0"/>
    <n v="6"/>
    <n v="91.7"/>
    <n v="0.03"/>
    <n v="13.11"/>
    <s v="Critical"/>
    <s v="No"/>
    <n v="1"/>
    <s v="Valid"/>
    <x v="1"/>
    <d v="2023-09-02T00:00:00"/>
    <n v="48"/>
    <n v="550.20000000000005"/>
    <n v="2.7509999999999999"/>
    <n v="547.44900000000007"/>
    <n v="288"/>
    <n v="259.44900000000007"/>
    <n v="0.47392359836258724"/>
    <n v="10"/>
    <s v="on time"/>
    <s v="February"/>
    <s v="Q1"/>
  </r>
  <r>
    <s v="ORD-01431"/>
    <x v="242"/>
    <d v="2025-02-13T00:00:00"/>
    <s v="CUST-0093"/>
    <s v="Iris Miller"/>
    <x v="2"/>
    <x v="0"/>
    <s v="NJ"/>
    <s v="Newark"/>
    <x v="0"/>
    <x v="1"/>
    <s v="FUR-STO-301"/>
    <s v="Two-Drawer File Cabinet"/>
    <x v="1"/>
    <x v="9"/>
    <n v="3"/>
    <n v="168.71"/>
    <n v="0.12"/>
    <n v="29.85"/>
    <s v="High"/>
    <s v="No"/>
    <n v="2"/>
    <s v="Valid"/>
    <x v="0"/>
    <d v="2023-11-13T00:00:00"/>
    <n v="88"/>
    <n v="506.13"/>
    <n v="20.245200000000001"/>
    <n v="485.88479999999998"/>
    <n v="264"/>
    <n v="221.88479999999998"/>
    <n v="0.45666133206883608"/>
    <n v="10"/>
    <s v="on time"/>
    <s v="February"/>
    <s v="Q1"/>
  </r>
  <r>
    <s v="ORD-01460"/>
    <x v="243"/>
    <d v="2025-02-10T00:00:00"/>
    <s v="CUST-0142"/>
    <s v="Priya Hall"/>
    <x v="0"/>
    <x v="0"/>
    <s v="MA"/>
    <s v="Boston"/>
    <x v="2"/>
    <x v="2"/>
    <s v="FUR-CHR-201"/>
    <s v="ErgoFlex Office Chair"/>
    <x v="1"/>
    <x v="11"/>
    <n v="2"/>
    <n v="258.83999999999997"/>
    <n v="0.24"/>
    <n v="25.27"/>
    <s v="Critical"/>
    <s v="No"/>
    <n v="3"/>
    <s v="Valid"/>
    <x v="1"/>
    <d v="2024-06-11T00:00:00"/>
    <n v="146"/>
    <n v="517.67999999999995"/>
    <n v="62.121599999999994"/>
    <n v="455.55839999999995"/>
    <n v="292"/>
    <n v="163.55839999999995"/>
    <n v="0.35902839240808637"/>
    <n v="6"/>
    <s v="on time"/>
    <s v="February"/>
    <s v="Q1"/>
  </r>
  <r>
    <s v="ORD-01279"/>
    <x v="244"/>
    <d v="2025-02-14T00:00:00"/>
    <s v="CUST-0013"/>
    <s v="Drew Allen"/>
    <x v="2"/>
    <x v="3"/>
    <s v="FL"/>
    <s v="Miami"/>
    <x v="1"/>
    <x v="5"/>
    <s v="FUR-CHR-202"/>
    <s v="Mesh Conference Chair"/>
    <x v="1"/>
    <x v="11"/>
    <n v="3"/>
    <n v="152.25"/>
    <n v="0.01"/>
    <n v="25.75"/>
    <s v="Low"/>
    <s v="Yes"/>
    <n v="1"/>
    <s v="Valid"/>
    <x v="3"/>
    <d v="2025-08-16T00:00:00"/>
    <n v="82"/>
    <n v="456.75"/>
    <n v="1.5225"/>
    <n v="455.22750000000002"/>
    <n v="246"/>
    <n v="209.22750000000002"/>
    <n v="0.45961085391370249"/>
    <n v="9"/>
    <s v="on time"/>
    <s v="February"/>
    <s v="Q1"/>
  </r>
  <r>
    <s v="ORD-01215"/>
    <x v="245"/>
    <d v="2025-02-16T00:00:00"/>
    <s v="CUST-0041"/>
    <s v="Quinn Patel"/>
    <x v="0"/>
    <x v="1"/>
    <s v="WA"/>
    <s v="Seattle"/>
    <x v="2"/>
    <x v="1"/>
    <s v="TEC-MON-202"/>
    <s v="ClearView Ultrawide Monitor"/>
    <x v="3"/>
    <x v="4"/>
    <n v="3"/>
    <n v="531.14"/>
    <n v="0.1"/>
    <n v="13.31"/>
    <s v="Medium"/>
    <s v="No"/>
    <n v="2"/>
    <s v="Valid"/>
    <x v="1"/>
    <d v="2021-08-13T00:00:00"/>
    <n v="310"/>
    <n v="1593.42"/>
    <n v="53.114000000000004"/>
    <n v="1540.306"/>
    <n v="930"/>
    <n v="610.30600000000004"/>
    <n v="0.39622386720560721"/>
    <n v="10"/>
    <s v="on time"/>
    <s v="February"/>
    <s v="Q1"/>
  </r>
  <r>
    <s v="ORD-01284"/>
    <x v="246"/>
    <d v="2025-02-17T00:00:00"/>
    <s v="CUST-0065"/>
    <s v="Drew Nguyen"/>
    <x v="0"/>
    <x v="0"/>
    <s v="NJ"/>
    <s v="Newark"/>
    <x v="1"/>
    <x v="0"/>
    <s v="TEC-LAP-101"/>
    <s v="ApexBook 14 Laptop"/>
    <x v="3"/>
    <x v="7"/>
    <n v="2"/>
    <n v="931.85"/>
    <n v="0.34"/>
    <n v="13.39"/>
    <s v="High"/>
    <s v="No"/>
    <n v="3"/>
    <s v="Valid"/>
    <x v="2"/>
    <d v="2025-01-01T00:00:00"/>
    <n v="585"/>
    <n v="1863.7"/>
    <n v="316.82900000000001"/>
    <n v="1546.8710000000001"/>
    <n v="1170"/>
    <n v="376.87100000000009"/>
    <n v="0.24363440778190298"/>
    <n v="10"/>
    <s v="on time"/>
    <s v="February"/>
    <s v="Q1"/>
  </r>
  <r>
    <s v="ORD-01316"/>
    <x v="246"/>
    <d v="2025-02-17T00:00:00"/>
    <s v="CUST-0111"/>
    <s v="Avery Wright"/>
    <x v="0"/>
    <x v="2"/>
    <s v="MN"/>
    <s v="Minneapolis"/>
    <x v="2"/>
    <x v="1"/>
    <s v="TEC-ACC-302"/>
    <s v="USB-C Docking Station"/>
    <x v="3"/>
    <x v="10"/>
    <n v="1"/>
    <n v="140.27000000000001"/>
    <n v="0.22"/>
    <n v="20.8"/>
    <s v="High"/>
    <s v="No"/>
    <n v="1"/>
    <s v="Valid"/>
    <x v="3"/>
    <d v="2025-09-02T00:00:00"/>
    <n v="72"/>
    <n v="140.27000000000001"/>
    <n v="30.859400000000001"/>
    <n v="109.41060000000002"/>
    <n v="72"/>
    <n v="37.410600000000017"/>
    <n v="0.34192847859348191"/>
    <n v="10"/>
    <s v="on time"/>
    <s v="February"/>
    <s v="Q1"/>
  </r>
  <r>
    <s v="ORD-01366"/>
    <x v="246"/>
    <d v="2025-02-09T00:00:00"/>
    <s v="CUST-0126"/>
    <s v="Iris Garcia"/>
    <x v="2"/>
    <x v="0"/>
    <s v="PA"/>
    <s v="Philadelphia"/>
    <x v="0"/>
    <x v="1"/>
    <s v="FUR-CHR-202"/>
    <s v="Mesh Conference Chair"/>
    <x v="1"/>
    <x v="11"/>
    <n v="2"/>
    <n v="152.26"/>
    <n v="0.1"/>
    <n v="28.47"/>
    <s v="Critical"/>
    <s v="No"/>
    <n v="1"/>
    <s v="Valid"/>
    <x v="3"/>
    <d v="2021-01-03T00:00:00"/>
    <n v="82"/>
    <n v="304.52"/>
    <n v="15.225999999999999"/>
    <n v="289.29399999999998"/>
    <n v="164"/>
    <n v="125.29399999999998"/>
    <n v="0.43310265681279247"/>
    <n v="2"/>
    <s v="on time"/>
    <s v="February"/>
    <s v="Q1"/>
  </r>
  <r>
    <s v="ORD-01684"/>
    <x v="247"/>
    <d v="2025-02-15T00:00:00"/>
    <s v="CUST-0126"/>
    <s v="Iris Garcia"/>
    <x v="2"/>
    <x v="0"/>
    <s v="PA"/>
    <s v="Philadelphia"/>
    <x v="2"/>
    <x v="2"/>
    <s v="FUR-CHR-202"/>
    <s v="Mesh Conference Chair"/>
    <x v="1"/>
    <x v="11"/>
    <n v="2"/>
    <n v="155.33000000000001"/>
    <n v="0.11"/>
    <n v="22.12"/>
    <s v="Low"/>
    <s v="No"/>
    <n v="1"/>
    <s v="Valid"/>
    <x v="3"/>
    <d v="2021-01-03T00:00:00"/>
    <n v="82"/>
    <n v="310.66000000000003"/>
    <n v="17.086300000000001"/>
    <n v="293.57370000000003"/>
    <n v="164"/>
    <n v="129.57370000000003"/>
    <n v="0.44136685268469217"/>
    <n v="5"/>
    <s v="on time"/>
    <s v="February"/>
    <s v="Q1"/>
  </r>
  <r>
    <s v="ORD-01002"/>
    <x v="248"/>
    <d v="2025-02-14T00:00:00"/>
    <s v="CUST-0054"/>
    <s v="Maya Brown"/>
    <x v="2"/>
    <x v="0"/>
    <s v="NJ"/>
    <s v="Newark"/>
    <x v="0"/>
    <x v="5"/>
    <s v="OFF-WRT-302"/>
    <s v="Mechanical Pencil Set"/>
    <x v="2"/>
    <x v="8"/>
    <n v="4"/>
    <n v="12.27"/>
    <n v="0.02"/>
    <n v="9.2100000000000009"/>
    <s v="Critical"/>
    <s v="No"/>
    <n v="1"/>
    <s v="Valid"/>
    <x v="0"/>
    <d v="2021-04-05T00:00:00"/>
    <n v="5"/>
    <n v="49.08"/>
    <n v="0.24540000000000001"/>
    <n v="48.834600000000002"/>
    <n v="20"/>
    <n v="28.834600000000002"/>
    <n v="0.59045430903498752"/>
    <n v="1"/>
    <s v="on time"/>
    <s v="February"/>
    <s v="Q1"/>
  </r>
  <r>
    <s v="ORD-01195"/>
    <x v="249"/>
    <d v="2025-02-19T00:00:00"/>
    <s v="CUST-0148"/>
    <s v="Alex Wright"/>
    <x v="1"/>
    <x v="3"/>
    <s v="FL"/>
    <s v="Miami"/>
    <x v="2"/>
    <x v="4"/>
    <s v="APP-KIT-101"/>
    <s v="Compact Coffee Brewer"/>
    <x v="0"/>
    <x v="0"/>
    <n v="9"/>
    <n v="100.11"/>
    <n v="0.26"/>
    <n v="9.6999999999999993"/>
    <s v="Medium"/>
    <s v="Yes"/>
    <n v="5"/>
    <s v="Valid"/>
    <x v="1"/>
    <d v="2025-01-13T00:00:00"/>
    <n v="48"/>
    <n v="900.99"/>
    <n v="26.028600000000001"/>
    <n v="874.96140000000003"/>
    <n v="432"/>
    <n v="442.96140000000003"/>
    <n v="0.50626393347180798"/>
    <n v="5"/>
    <s v="on time"/>
    <s v="February"/>
    <s v="Q1"/>
  </r>
  <r>
    <s v="ORD-01648"/>
    <x v="250"/>
    <d v="2025-02-20T00:00:00"/>
    <s v="CUST-0013"/>
    <s v="Drew Allen"/>
    <x v="2"/>
    <x v="3"/>
    <s v="FL"/>
    <s v="Miami"/>
    <x v="3"/>
    <x v="3"/>
    <s v="OFF-WRT-302"/>
    <s v="Mechanical Pencil Set"/>
    <x v="2"/>
    <x v="8"/>
    <n v="7"/>
    <n v="12.11"/>
    <n v="0.01"/>
    <n v="16.59"/>
    <s v="Low"/>
    <s v="No"/>
    <n v="4"/>
    <s v="Valid"/>
    <x v="3"/>
    <d v="2025-08-16T00:00:00"/>
    <n v="5"/>
    <n v="84.77"/>
    <n v="0.1211"/>
    <n v="84.648899999999998"/>
    <n v="35"/>
    <n v="49.648899999999998"/>
    <n v="0.5865274090980509"/>
    <n v="5"/>
    <s v="on time"/>
    <s v="February"/>
    <s v="Q1"/>
  </r>
  <r>
    <s v="ORD-01230"/>
    <x v="251"/>
    <d v="2025-02-18T00:00:00"/>
    <s v="CUST-0047"/>
    <s v="Reese Miller"/>
    <x v="0"/>
    <x v="3"/>
    <s v="FL"/>
    <s v="Miami"/>
    <x v="3"/>
    <x v="5"/>
    <s v="TEC-LAP-102"/>
    <s v="ApexBook Pro 16 Laptop"/>
    <x v="3"/>
    <x v="7"/>
    <n v="1"/>
    <n v="1428.48"/>
    <n v="0.03"/>
    <n v="17.350000000000001"/>
    <s v="Critical"/>
    <s v="No"/>
    <n v="2"/>
    <s v="Valid"/>
    <x v="1"/>
    <d v="2021-07-19T00:00:00"/>
    <n v="885"/>
    <n v="1428.48"/>
    <n v="42.854399999999998"/>
    <n v="1385.6256000000001"/>
    <n v="885"/>
    <n v="500.62560000000008"/>
    <n v="0.36129932934264497"/>
    <n v="2"/>
    <s v="on time"/>
    <s v="February"/>
    <s v="Q1"/>
  </r>
  <r>
    <s v="ORD-01546"/>
    <x v="251"/>
    <d v="2025-02-26T00:00:00"/>
    <s v="CUST-0123"/>
    <s v="Taylor Wright"/>
    <x v="1"/>
    <x v="1"/>
    <s v="CA"/>
    <s v="San Diego"/>
    <x v="0"/>
    <x v="1"/>
    <s v="FUR-CHR-202"/>
    <s v="Mesh Conference Chair"/>
    <x v="1"/>
    <x v="11"/>
    <n v="2"/>
    <n v="153.76"/>
    <n v="0.01"/>
    <n v="19.2"/>
    <s v="Medium"/>
    <s v="No"/>
    <m/>
    <s v="Valid"/>
    <x v="0"/>
    <d v="2024-07-22T00:00:00"/>
    <n v="82"/>
    <n v="307.52"/>
    <n v="1.5375999999999999"/>
    <n v="305.98239999999998"/>
    <n v="164"/>
    <n v="141.98239999999998"/>
    <n v="0.46402146005783335"/>
    <n v="10"/>
    <s v="on time"/>
    <s v="February"/>
    <s v="Q1"/>
  </r>
  <r>
    <s v="ORD-01080"/>
    <x v="252"/>
    <d v="2025-02-25T00:00:00"/>
    <s v="CUST-0071"/>
    <s v="Avery Scott"/>
    <x v="1"/>
    <x v="3"/>
    <s v="LA"/>
    <s v="New Orleans"/>
    <x v="2"/>
    <x v="2"/>
    <s v="TEC-ACC-301"/>
    <s v="Wireless Keyboard and Mouse"/>
    <x v="3"/>
    <x v="10"/>
    <n v="1"/>
    <n v="57.68"/>
    <n v="0.04"/>
    <n v="10.99"/>
    <s v="Medium"/>
    <s v="No"/>
    <m/>
    <s v="Valid"/>
    <x v="2"/>
    <d v="2023-02-18T00:00:00"/>
    <n v="28"/>
    <n v="57.68"/>
    <n v="2.3071999999999999"/>
    <n v="55.372799999999998"/>
    <n v="28"/>
    <n v="27.372799999999998"/>
    <n v="0.49433656957928801"/>
    <n v="8"/>
    <s v="on time"/>
    <s v="February"/>
    <s v="Q1"/>
  </r>
  <r>
    <s v="ORD-01353"/>
    <x v="252"/>
    <d v="2025-02-24T00:00:00"/>
    <s v="CUST-0007"/>
    <s v="Iris Walker"/>
    <x v="0"/>
    <x v="3"/>
    <s v="LA"/>
    <s v="New Orleans"/>
    <x v="1"/>
    <x v="0"/>
    <s v="OFF-WRT-301"/>
    <s v="Gel Pen Variety Pack"/>
    <x v="2"/>
    <x v="8"/>
    <n v="2"/>
    <n v="14.57"/>
    <n v="0.11"/>
    <n v="14.72"/>
    <s v="Medium"/>
    <s v="No"/>
    <n v="2"/>
    <s v="Valid"/>
    <x v="3"/>
    <d v="2022-08-23T00:00:00"/>
    <n v="6"/>
    <n v="29.14"/>
    <n v="1.6027"/>
    <n v="27.537300000000002"/>
    <n v="12"/>
    <n v="15.537300000000002"/>
    <n v="0.56422742970443729"/>
    <n v="7"/>
    <s v="on time"/>
    <s v="February"/>
    <s v="Q1"/>
  </r>
  <r>
    <s v="ORD-01093"/>
    <x v="253"/>
    <d v="2025-02-27T00:00:00"/>
    <s v="CUST-0098"/>
    <s v="Reese Martinez"/>
    <x v="2"/>
    <x v="3"/>
    <s v="GA"/>
    <s v="Atlanta"/>
    <x v="3"/>
    <x v="0"/>
    <s v="TEC-NET-402"/>
    <s v="8-Port Network Switch"/>
    <x v="3"/>
    <x v="5"/>
    <n v="3"/>
    <n v="84.11"/>
    <n v="0.01"/>
    <n v="19.739999999999998"/>
    <s v="Medium"/>
    <s v="No"/>
    <m/>
    <s v="Valid"/>
    <x v="2"/>
    <d v="2024-04-21T00:00:00"/>
    <n v="44"/>
    <n v="252.32999999999998"/>
    <n v="0.84109999999999996"/>
    <n v="251.48889999999997"/>
    <n v="132"/>
    <n v="119.48889999999997"/>
    <n v="0.47512593995202168"/>
    <n v="9"/>
    <s v="on time"/>
    <s v="February"/>
    <s v="Q1"/>
  </r>
  <r>
    <s v="ORD-01143"/>
    <x v="254"/>
    <d v="2025-02-25T00:00:00"/>
    <s v="CUST-0110"/>
    <s v="Mila Martinez"/>
    <x v="0"/>
    <x v="2"/>
    <s v="OH"/>
    <s v="Columbus"/>
    <x v="0"/>
    <x v="4"/>
    <s v="APP-CLN-202"/>
    <s v="Robot Vacuum"/>
    <x v="0"/>
    <x v="3"/>
    <n v="1"/>
    <n v="312.16000000000003"/>
    <n v="0.12"/>
    <n v="5.37"/>
    <s v="Medium"/>
    <s v="No"/>
    <n v="4"/>
    <s v="Valid"/>
    <x v="0"/>
    <d v="2025-02-16T00:00:00"/>
    <n v="165"/>
    <n v="312.16000000000003"/>
    <n v="37.459200000000003"/>
    <n v="274.70080000000002"/>
    <n v="165"/>
    <n v="109.70080000000002"/>
    <n v="0.39934648898001029"/>
    <n v="5"/>
    <s v="on time"/>
    <s v="February"/>
    <s v="Q1"/>
  </r>
  <r>
    <s v="ORD-01425"/>
    <x v="254"/>
    <d v="2025-03-02T00:00:00"/>
    <s v="CUST-0156"/>
    <s v="Alex Young"/>
    <x v="2"/>
    <x v="3"/>
    <s v="GA"/>
    <s v="Atlanta"/>
    <x v="1"/>
    <x v="2"/>
    <s v="TEC-MON-202"/>
    <s v="ClearView Ultrawide Monitor"/>
    <x v="3"/>
    <x v="4"/>
    <n v="1"/>
    <n v="557.70000000000005"/>
    <n v="0.33"/>
    <n v="5.41"/>
    <s v="High"/>
    <s v="No"/>
    <n v="3"/>
    <s v="Valid"/>
    <x v="3"/>
    <d v="2024-08-10T00:00:00"/>
    <n v="310"/>
    <n v="557.70000000000005"/>
    <n v="184.04100000000003"/>
    <n v="373.65899999999999"/>
    <n v="310"/>
    <n v="63.658999999999992"/>
    <n v="0.17036656416679377"/>
    <n v="10"/>
    <s v="on time"/>
    <s v="February"/>
    <s v="Q1"/>
  </r>
  <r>
    <s v="ORD-01434"/>
    <x v="255"/>
    <d v="2025-02-26T00:00:00"/>
    <s v="CUST-0004"/>
    <s v="Riley Smith"/>
    <x v="1"/>
    <x v="0"/>
    <s v="VA"/>
    <s v="Richmond"/>
    <x v="2"/>
    <x v="3"/>
    <s v="OFF-BIN-202"/>
    <s v="Presentation Folder Box"/>
    <x v="2"/>
    <x v="6"/>
    <n v="1"/>
    <n v="29.61"/>
    <n v="0.08"/>
    <n v="16.190000000000001"/>
    <s v="High"/>
    <s v="No"/>
    <n v="2"/>
    <s v="Valid"/>
    <x v="0"/>
    <d v="2022-06-24T00:00:00"/>
    <n v="14"/>
    <n v="29.61"/>
    <n v="2.3687999999999998"/>
    <n v="27.241199999999999"/>
    <n v="14"/>
    <n v="13.241199999999999"/>
    <n v="0.48607256655360259"/>
    <n v="5"/>
    <s v="on time"/>
    <s v="February"/>
    <s v="Q1"/>
  </r>
  <r>
    <s v="ORD-01663"/>
    <x v="255"/>
    <d v="2025-02-22T00:00:00"/>
    <s v="CUST-0128"/>
    <s v="Iris King"/>
    <x v="1"/>
    <x v="2"/>
    <s v="TX"/>
    <s v="Austin"/>
    <x v="0"/>
    <x v="5"/>
    <s v="TEC-NET-401"/>
    <s v="Mesh Wi-Fi Router"/>
    <x v="3"/>
    <x v="5"/>
    <n v="2"/>
    <n v="190.15"/>
    <n v="0.01"/>
    <n v="22.27"/>
    <s v="Critical"/>
    <s v="No"/>
    <n v="1"/>
    <s v="Valid"/>
    <x v="1"/>
    <d v="2025-09-08T00:00:00"/>
    <n v="96"/>
    <n v="380.3"/>
    <n v="1.9015000000000002"/>
    <n v="378.39850000000001"/>
    <n v="192"/>
    <n v="186.39850000000001"/>
    <n v="0.49259841146304756"/>
    <n v="1"/>
    <s v="on time"/>
    <s v="February"/>
    <s v="Q1"/>
  </r>
  <r>
    <s v="ORD-01071"/>
    <x v="256"/>
    <d v="2025-02-28T00:00:00"/>
    <s v="CUST-0030"/>
    <s v="Lena Martinez"/>
    <x v="0"/>
    <x v="1"/>
    <s v="OR"/>
    <s v="Portland"/>
    <x v="0"/>
    <x v="2"/>
    <s v="TEC-LAP-102"/>
    <s v="ApexBook Pro 16 Laptop"/>
    <x v="3"/>
    <x v="7"/>
    <n v="3"/>
    <n v="1372.24"/>
    <n v="0.05"/>
    <n v="7.09"/>
    <s v="High"/>
    <s v="No"/>
    <n v="2"/>
    <s v="Valid"/>
    <x v="0"/>
    <d v="2024-03-22T00:00:00"/>
    <n v="885"/>
    <n v="4116.72"/>
    <n v="68.612000000000009"/>
    <n v="4048.1080000000002"/>
    <n v="2655"/>
    <n v="1393.1080000000002"/>
    <n v="0.34413805165277211"/>
    <n v="6"/>
    <s v="on time"/>
    <s v="February"/>
    <s v="Q1"/>
  </r>
  <r>
    <s v="ORD-01560"/>
    <x v="257"/>
    <d v="2025-02-27T00:00:00"/>
    <s v="CUST-0085"/>
    <s v="Avery Chen"/>
    <x v="2"/>
    <x v="2"/>
    <s v="OH"/>
    <s v="Columbus"/>
    <x v="0"/>
    <x v="2"/>
    <s v="TEC-NET-401"/>
    <s v="Mesh Wi-Fi Router"/>
    <x v="3"/>
    <x v="5"/>
    <n v="3"/>
    <n v="188.7"/>
    <n v="0.12"/>
    <n v="6.3"/>
    <s v="Critical"/>
    <s v="No"/>
    <n v="3"/>
    <s v="Valid"/>
    <x v="1"/>
    <d v="2025-07-20T00:00:00"/>
    <n v="96"/>
    <n v="566.09999999999991"/>
    <n v="22.643999999999998"/>
    <n v="543.4559999999999"/>
    <n v="288"/>
    <n v="255.4559999999999"/>
    <n v="0.47005829358770523"/>
    <n v="4"/>
    <s v="on time"/>
    <s v="February"/>
    <s v="Q1"/>
  </r>
  <r>
    <s v="ORD-01356"/>
    <x v="258"/>
    <d v="2025-03-06T00:00:00"/>
    <s v="CUST-0154"/>
    <s v="Rowan Nguyen"/>
    <x v="0"/>
    <x v="0"/>
    <s v="NY"/>
    <s v="New York"/>
    <x v="1"/>
    <x v="0"/>
    <s v="FUR-DSK-101"/>
    <s v="Standing Desk 48"/>
    <x v="1"/>
    <x v="1"/>
    <n v="2"/>
    <n v="311.25"/>
    <n v="0"/>
    <n v="20.260000000000002"/>
    <s v="Medium"/>
    <s v="Unknown"/>
    <n v="2"/>
    <s v="Invalid return status"/>
    <x v="1"/>
    <d v="2022-04-17T00:00:00"/>
    <n v="184"/>
    <n v="622.5"/>
    <n v="0"/>
    <n v="622.5"/>
    <n v="368"/>
    <n v="254.5"/>
    <n v="0.40883534136546185"/>
    <n v="10"/>
    <s v="on time"/>
    <s v="February"/>
    <s v="Q1"/>
  </r>
  <r>
    <s v="ORD-01304"/>
    <x v="259"/>
    <d v="2025-03-06T00:00:00"/>
    <s v="CUST-0126"/>
    <s v="Iris Garcia"/>
    <x v="2"/>
    <x v="0"/>
    <s v="PA"/>
    <s v="Philadelphia"/>
    <x v="0"/>
    <x v="4"/>
    <s v="TEC-LAP-101"/>
    <s v="ApexBook 14 Laptop"/>
    <x v="3"/>
    <x v="7"/>
    <n v="4"/>
    <n v="868.26"/>
    <n v="0"/>
    <n v="20.420000000000002"/>
    <s v="Low"/>
    <s v="No"/>
    <m/>
    <s v="Valid"/>
    <x v="3"/>
    <d v="2021-01-03T00:00:00"/>
    <n v="585"/>
    <n v="3473.04"/>
    <n v="0"/>
    <n v="3473.04"/>
    <n v="2340"/>
    <n v="1133.04"/>
    <n v="0.3262386842650819"/>
    <n v="8"/>
    <s v="on time"/>
    <s v="February"/>
    <s v="Q1"/>
  </r>
  <r>
    <s v="ORD-01552"/>
    <x v="260"/>
    <d v="2025-03-08T00:00:00"/>
    <s v="CUST-0071"/>
    <s v="Avery Scott"/>
    <x v="1"/>
    <x v="3"/>
    <s v="LA"/>
    <s v="New Orleans"/>
    <x v="1"/>
    <x v="4"/>
    <s v="OFF-BIN-201"/>
    <s v="Heavy-Duty Binder 12-Pack"/>
    <x v="2"/>
    <x v="6"/>
    <n v="10"/>
    <n v="34.4"/>
    <n v="0.02"/>
    <n v="6.93"/>
    <s v="High"/>
    <s v="No"/>
    <n v="2"/>
    <s v="Valid"/>
    <x v="2"/>
    <d v="2023-02-18T00:00:00"/>
    <n v="18"/>
    <n v="344"/>
    <n v="0.68799999999999994"/>
    <n v="343.31200000000001"/>
    <n v="180"/>
    <n v="163.31200000000001"/>
    <n v="0.47569557720091349"/>
    <n v="6"/>
    <s v="on time"/>
    <s v="March"/>
    <s v="Q1"/>
  </r>
  <r>
    <s v="ORD-01271"/>
    <x v="261"/>
    <d v="2025-03-14T00:00:00"/>
    <s v="CUST-0073"/>
    <s v="Jordan Robinson"/>
    <x v="1"/>
    <x v="2"/>
    <s v="CO"/>
    <s v="Denver"/>
    <x v="1"/>
    <x v="1"/>
    <s v="FUR-CHR-202"/>
    <s v="Mesh Conference Chair"/>
    <x v="1"/>
    <x v="11"/>
    <n v="3"/>
    <n v="145.72999999999999"/>
    <n v="0.05"/>
    <n v="28.51"/>
    <s v="Medium"/>
    <s v="No"/>
    <n v="5"/>
    <s v="Valid"/>
    <x v="1"/>
    <d v="2025-02-09T00:00:00"/>
    <n v="82"/>
    <n v="437.18999999999994"/>
    <n v="7.2865000000000002"/>
    <n v="429.90349999999995"/>
    <n v="246"/>
    <n v="183.90349999999995"/>
    <n v="0.42777855960698152"/>
    <n v="10"/>
    <s v="on time"/>
    <s v="March"/>
    <s v="Q1"/>
  </r>
  <r>
    <s v="ORD-01211"/>
    <x v="262"/>
    <d v="2025-03-11T00:00:00"/>
    <s v="CUST-0073"/>
    <s v="Jordan Robinson"/>
    <x v="1"/>
    <x v="2"/>
    <s v="CO"/>
    <s v="Denver"/>
    <x v="2"/>
    <x v="4"/>
    <s v="OFF-WRT-302"/>
    <s v="Mechanical Pencil Set"/>
    <x v="2"/>
    <x v="8"/>
    <n v="2"/>
    <n v="12.72"/>
    <n v="0.08"/>
    <n v="15.35"/>
    <s v="High"/>
    <s v="No"/>
    <n v="5"/>
    <s v="Valid"/>
    <x v="1"/>
    <d v="2025-02-09T00:00:00"/>
    <n v="5"/>
    <n v="25.44"/>
    <n v="1.0176000000000001"/>
    <n v="24.4224"/>
    <n v="10"/>
    <n v="14.4224"/>
    <n v="0.59053983228511531"/>
    <n v="5"/>
    <s v="on time"/>
    <s v="March"/>
    <s v="Q1"/>
  </r>
  <r>
    <s v="ORD-01511"/>
    <x v="262"/>
    <d v="2025-03-09T00:00:00"/>
    <s v="CUST-0113"/>
    <s v="Priya Smith"/>
    <x v="2"/>
    <x v="2"/>
    <s v="CO"/>
    <s v="Denver"/>
    <x v="1"/>
    <x v="5"/>
    <s v="FUR-STO-302"/>
    <s v="Modular Bookcase"/>
    <x v="1"/>
    <x v="9"/>
    <n v="3"/>
    <n v="220.44"/>
    <n v="0.08"/>
    <n v="21.17"/>
    <s v="Medium"/>
    <s v="No"/>
    <n v="5"/>
    <s v="Valid"/>
    <x v="1"/>
    <d v="2021-01-23T00:00:00"/>
    <n v="118"/>
    <n v="661.31999999999994"/>
    <n v="17.635200000000001"/>
    <n v="643.68479999999988"/>
    <n v="354"/>
    <n v="289.68479999999988"/>
    <n v="0.45004138671598265"/>
    <n v="3"/>
    <s v="on time"/>
    <s v="March"/>
    <s v="Q1"/>
  </r>
  <r>
    <s v="ORD-01317"/>
    <x v="263"/>
    <d v="2025-03-08T00:00:00"/>
    <s v="CUST-0074"/>
    <s v="Alex Clark"/>
    <x v="2"/>
    <x v="0"/>
    <s v="MA"/>
    <s v="Boston"/>
    <x v="0"/>
    <x v="4"/>
    <s v="APP-KIT-101"/>
    <s v="Compact Coffee Brewer"/>
    <x v="0"/>
    <x v="0"/>
    <n v="1"/>
    <n v="93.43"/>
    <n v="7.0000000000000007E-2"/>
    <n v="7.57"/>
    <s v="Low"/>
    <s v="No"/>
    <n v="5"/>
    <s v="Valid"/>
    <x v="1"/>
    <d v="2025-06-20T00:00:00"/>
    <n v="48"/>
    <n v="93.43"/>
    <n v="6.5401000000000007"/>
    <n v="86.889900000000011"/>
    <n v="48"/>
    <n v="38.889900000000011"/>
    <n v="0.44757676093539073"/>
    <n v="1"/>
    <s v="on time"/>
    <s v="March"/>
    <s v="Q1"/>
  </r>
  <r>
    <s v="ORD-01580"/>
    <x v="263"/>
    <d v="2025-03-11T00:00:00"/>
    <s v="CUST-0138"/>
    <s v="Morgan Johnson"/>
    <x v="1"/>
    <x v="2"/>
    <s v="CO"/>
    <s v="Denver"/>
    <x v="3"/>
    <x v="4"/>
    <s v="FUR-STO-302"/>
    <s v="Modular Bookcase"/>
    <x v="1"/>
    <x v="9"/>
    <n v="4"/>
    <n v="233.42"/>
    <n v="0.02"/>
    <n v="18.78"/>
    <s v="Critical"/>
    <s v="Yes"/>
    <n v="1"/>
    <s v="Valid"/>
    <x v="3"/>
    <d v="2025-12-06T00:00:00"/>
    <n v="118"/>
    <n v="933.68"/>
    <n v="4.6684000000000001"/>
    <n v="929.01159999999993"/>
    <n v="472"/>
    <n v="457.01159999999993"/>
    <n v="0.49193314701344953"/>
    <n v="4"/>
    <s v="on time"/>
    <s v="March"/>
    <s v="Q1"/>
  </r>
  <r>
    <s v="ORD-01717"/>
    <x v="263"/>
    <d v="2025-03-12T00:00:00"/>
    <s v="CUST-0041"/>
    <s v="Quinn Patel"/>
    <x v="0"/>
    <x v="1"/>
    <s v="WA"/>
    <s v="Seattle"/>
    <x v="3"/>
    <x v="2"/>
    <s v="OFF-BIN-201"/>
    <s v="Heavy-Duty Binder 12-Pack"/>
    <x v="2"/>
    <x v="6"/>
    <n v="7"/>
    <n v="34.340000000000003"/>
    <n v="0"/>
    <n v="16.7"/>
    <s v="Critical"/>
    <s v="No"/>
    <n v="3"/>
    <s v="Valid"/>
    <x v="1"/>
    <d v="2021-08-13T00:00:00"/>
    <n v="18"/>
    <n v="240.38000000000002"/>
    <n v="0"/>
    <n v="240.38000000000002"/>
    <n v="126"/>
    <n v="114.38000000000002"/>
    <n v="0.47582993593477002"/>
    <n v="5"/>
    <s v="on time"/>
    <s v="March"/>
    <s v="Q1"/>
  </r>
  <r>
    <s v="ORD-01111"/>
    <x v="264"/>
    <d v="2025-03-12T00:00:00"/>
    <s v="CUST-0161"/>
    <s v="Drew Walker"/>
    <x v="0"/>
    <x v="0"/>
    <s v="PA"/>
    <s v="Philadelphia"/>
    <x v="2"/>
    <x v="3"/>
    <s v="FUR-DSK-102"/>
    <s v="Executive Desk 60"/>
    <x v="1"/>
    <x v="1"/>
    <n v="3"/>
    <n v="452.04"/>
    <n v="0.01"/>
    <n v="18.87"/>
    <s v="Medium"/>
    <s v="No"/>
    <n v="5"/>
    <s v="Valid"/>
    <x v="3"/>
    <d v="2023-10-05T00:00:00"/>
    <n v="265"/>
    <n v="1356.1200000000001"/>
    <n v="4.5204000000000004"/>
    <n v="1351.5996"/>
    <n v="795"/>
    <n v="556.59960000000001"/>
    <n v="0.41180805321339248"/>
    <n v="4"/>
    <s v="on time"/>
    <s v="March"/>
    <s v="Q1"/>
  </r>
  <r>
    <s v="ORD-01164"/>
    <x v="265"/>
    <d v="2025-03-19T00:00:00"/>
    <s v="CUST-0060"/>
    <s v="Owen Johnson"/>
    <x v="2"/>
    <x v="1"/>
    <s v="OR"/>
    <s v="Portland"/>
    <x v="3"/>
    <x v="4"/>
    <s v="TEC-MON-202"/>
    <s v="ClearView Ultrawide Monitor"/>
    <x v="3"/>
    <x v="4"/>
    <n v="2"/>
    <n v="526.04"/>
    <n v="0.02"/>
    <n v="11.6"/>
    <s v="Critical"/>
    <s v="No"/>
    <n v="1"/>
    <s v="Valid"/>
    <x v="1"/>
    <d v="2022-12-08T00:00:00"/>
    <n v="310"/>
    <n v="1052.08"/>
    <n v="10.520799999999999"/>
    <n v="1041.5591999999999"/>
    <n v="620"/>
    <n v="421.55919999999992"/>
    <n v="0.40473858807065405"/>
    <n v="10"/>
    <s v="on time"/>
    <s v="March"/>
    <s v="Q1"/>
  </r>
  <r>
    <s v="ORD-01521"/>
    <x v="265"/>
    <d v="2025-03-16T00:00:00"/>
    <s v="CUST-0106"/>
    <s v="Morgan Martinez"/>
    <x v="0"/>
    <x v="2"/>
    <s v="OH"/>
    <s v="Columbus"/>
    <x v="0"/>
    <x v="3"/>
    <s v="FUR-DSK-101"/>
    <s v="Standing Desk 48"/>
    <x v="1"/>
    <x v="1"/>
    <n v="4"/>
    <n v="348.63"/>
    <n v="0.34"/>
    <n v="18.16"/>
    <s v="Low"/>
    <s v="No"/>
    <n v="4"/>
    <s v="Valid"/>
    <x v="1"/>
    <d v="2023-04-04T00:00:00"/>
    <n v="184"/>
    <n v="1394.52"/>
    <n v="118.53420000000001"/>
    <n v="1275.9857999999999"/>
    <n v="736"/>
    <n v="539.98579999999993"/>
    <n v="0.42319107312949716"/>
    <n v="7"/>
    <s v="on time"/>
    <s v="March"/>
    <s v="Q1"/>
  </r>
  <r>
    <s v="ORD-01635"/>
    <x v="265"/>
    <d v="2025-03-15T00:00:00"/>
    <s v="CUST-0035"/>
    <s v="Priya Chen"/>
    <x v="0"/>
    <x v="3"/>
    <s v="LA"/>
    <s v="New Orleans"/>
    <x v="2"/>
    <x v="0"/>
    <s v="OFF-SUP-401"/>
    <s v="Desk Organizer Kit"/>
    <x v="2"/>
    <x v="2"/>
    <n v="3"/>
    <n v="27.74"/>
    <n v="0.05"/>
    <n v="9.42"/>
    <s v="Medium"/>
    <s v="No"/>
    <n v="2"/>
    <s v="Valid"/>
    <x v="0"/>
    <d v="2025-09-13T00:00:00"/>
    <n v="12"/>
    <n v="83.22"/>
    <n v="1.387"/>
    <n v="81.832999999999998"/>
    <n v="36"/>
    <n v="45.832999999999998"/>
    <n v="0.56007967445895912"/>
    <n v="6"/>
    <s v="on time"/>
    <s v="March"/>
    <s v="Q1"/>
  </r>
  <r>
    <s v="ORD-01501"/>
    <x v="266"/>
    <d v="2025-03-25T00:00:00"/>
    <s v="CUST-0084"/>
    <s v="Iris Patel"/>
    <x v="2"/>
    <x v="3"/>
    <s v="NC"/>
    <s v="Charlotte"/>
    <x v="1"/>
    <x v="5"/>
    <s v="APP-KIT-101"/>
    <s v="Compact Coffee Brewer"/>
    <x v="0"/>
    <x v="0"/>
    <n v="3"/>
    <n v="97.79"/>
    <n v="0.11"/>
    <n v="5.3"/>
    <s v="Critical"/>
    <s v="No"/>
    <n v="5"/>
    <s v="Valid"/>
    <x v="3"/>
    <d v="2022-12-02T00:00:00"/>
    <n v="48"/>
    <n v="293.37"/>
    <n v="10.7569"/>
    <n v="282.61310000000003"/>
    <n v="144"/>
    <n v="138.61310000000003"/>
    <n v="0.49046947929873036"/>
    <n v="15"/>
    <s v="late"/>
    <s v="March"/>
    <s v="Q1"/>
  </r>
  <r>
    <s v="ORD-01696"/>
    <x v="266"/>
    <d v="2025-03-20T00:00:00"/>
    <s v="CUST-0048"/>
    <s v="Drew Clark"/>
    <x v="1"/>
    <x v="0"/>
    <s v="NY"/>
    <s v="New York"/>
    <x v="1"/>
    <x v="3"/>
    <s v="OFF-WRT-302"/>
    <s v="Mechanical Pencil Set"/>
    <x v="2"/>
    <x v="8"/>
    <n v="2"/>
    <n v="11.53"/>
    <n v="0.11"/>
    <n v="5.0199999999999996"/>
    <s v="Medium"/>
    <s v="No"/>
    <n v="1"/>
    <s v="Valid"/>
    <x v="2"/>
    <d v="2025-08-10T00:00:00"/>
    <n v="5"/>
    <n v="23.06"/>
    <n v="1.2683"/>
    <n v="21.791699999999999"/>
    <n v="10"/>
    <n v="11.791699999999999"/>
    <n v="0.54110968855114561"/>
    <n v="10"/>
    <s v="on time"/>
    <s v="March"/>
    <s v="Q1"/>
  </r>
  <r>
    <s v="ORD-01340"/>
    <x v="267"/>
    <d v="2025-03-22T00:00:00"/>
    <s v="CUST-0123"/>
    <s v="Taylor Wright"/>
    <x v="1"/>
    <x v="1"/>
    <s v="CA"/>
    <s v="San Diego"/>
    <x v="2"/>
    <x v="2"/>
    <s v="OFF-BIN-202"/>
    <s v="Presentation Folder Box"/>
    <x v="2"/>
    <x v="6"/>
    <n v="3"/>
    <n v="29.51"/>
    <n v="0.11"/>
    <n v="16.62"/>
    <s v="Medium"/>
    <s v="No"/>
    <m/>
    <s v="Valid"/>
    <x v="0"/>
    <d v="2024-07-22T00:00:00"/>
    <n v="14"/>
    <n v="88.53"/>
    <n v="3.2461000000000002"/>
    <n v="85.283900000000003"/>
    <n v="42"/>
    <n v="43.283900000000003"/>
    <n v="0.50752721205291973"/>
    <n v="10"/>
    <s v="on time"/>
    <s v="March"/>
    <s v="Q1"/>
  </r>
  <r>
    <s v="ORD-01679"/>
    <x v="267"/>
    <d v="2025-03-18T00:00:00"/>
    <s v="CUST-0088"/>
    <s v="Noah Chen"/>
    <x v="2"/>
    <x v="3"/>
    <s v="NC"/>
    <s v="Charlotte"/>
    <x v="2"/>
    <x v="0"/>
    <s v="FUR-DSK-102"/>
    <s v="Executive Desk 60"/>
    <x v="1"/>
    <x v="1"/>
    <n v="1"/>
    <n v="443.87"/>
    <n v="0.11"/>
    <n v="24.78"/>
    <s v="Low"/>
    <s v="No"/>
    <n v="4"/>
    <s v="Valid"/>
    <x v="3"/>
    <d v="2021-08-06T00:00:00"/>
    <n v="265"/>
    <n v="443.87"/>
    <n v="48.825699999999998"/>
    <n v="395.04430000000002"/>
    <n v="265"/>
    <n v="130.04430000000002"/>
    <n v="0.32918915676039373"/>
    <n v="6"/>
    <s v="on time"/>
    <s v="March"/>
    <s v="Q1"/>
  </r>
  <r>
    <s v="ORD-01178"/>
    <x v="268"/>
    <d v="2025-03-16T00:00:00"/>
    <s v="CUST-0012"/>
    <s v="Jordan Johnson"/>
    <x v="2"/>
    <x v="2"/>
    <s v="CO"/>
    <s v="Denver"/>
    <x v="0"/>
    <x v="1"/>
    <s v="OFF-SUP-402"/>
    <s v="Label Maker"/>
    <x v="2"/>
    <x v="2"/>
    <n v="5"/>
    <n v="75.5"/>
    <n v="0.08"/>
    <n v="16.98"/>
    <s v="High"/>
    <s v="No"/>
    <n v="1"/>
    <s v="Valid"/>
    <x v="2"/>
    <d v="2025-07-21T00:00:00"/>
    <n v="36"/>
    <n v="377.5"/>
    <n v="6.04"/>
    <n v="371.46"/>
    <n v="180"/>
    <n v="191.45999999999998"/>
    <n v="0.5154256178323372"/>
    <n v="2"/>
    <s v="on time"/>
    <s v="March"/>
    <s v="Q1"/>
  </r>
  <r>
    <s v="ORD-01322"/>
    <x v="269"/>
    <d v="2025-03-27T00:00:00"/>
    <s v="CUST-0095"/>
    <s v="Drew Martinez"/>
    <x v="2"/>
    <x v="1"/>
    <s v="CA"/>
    <s v="Los Angeles"/>
    <x v="3"/>
    <x v="2"/>
    <s v="OFF-SUP-401"/>
    <s v="Desk Organizer Kit"/>
    <x v="2"/>
    <x v="2"/>
    <n v="3"/>
    <n v="27.08"/>
    <n v="7.0000000000000007E-2"/>
    <n v="11.13"/>
    <s v="Medium"/>
    <s v="No"/>
    <n v="1"/>
    <s v="Valid"/>
    <x v="2"/>
    <d v="2023-07-08T00:00:00"/>
    <n v="12"/>
    <n v="81.239999999999995"/>
    <n v="1.8956"/>
    <n v="79.344399999999993"/>
    <n v="36"/>
    <n v="43.344399999999993"/>
    <n v="0.54628177918038323"/>
    <n v="10"/>
    <s v="on time"/>
    <s v="March"/>
    <s v="Q1"/>
  </r>
  <r>
    <s v="ORD-01388"/>
    <x v="269"/>
    <d v="2025-03-26T00:00:00"/>
    <s v="CUST-0047"/>
    <s v="Reese Miller"/>
    <x v="0"/>
    <x v="3"/>
    <s v="FL"/>
    <s v="Miami"/>
    <x v="0"/>
    <x v="4"/>
    <s v="TEC-MON-202"/>
    <s v="ClearView Ultrawide Monitor"/>
    <x v="3"/>
    <x v="4"/>
    <n v="3"/>
    <n v="500.65"/>
    <n v="0.12"/>
    <n v="19.190000000000001"/>
    <s v="Low"/>
    <s v="No"/>
    <n v="4"/>
    <s v="Valid"/>
    <x v="1"/>
    <d v="2021-07-19T00:00:00"/>
    <n v="310"/>
    <n v="1501.9499999999998"/>
    <n v="60.077999999999996"/>
    <n v="1441.8719999999998"/>
    <n v="930"/>
    <n v="511.87199999999984"/>
    <n v="0.35500515995872028"/>
    <n v="9"/>
    <s v="on time"/>
    <s v="March"/>
    <s v="Q1"/>
  </r>
  <r>
    <s v="ORD-01105"/>
    <x v="270"/>
    <d v="2025-03-23T00:00:00"/>
    <s v="CUST-0025"/>
    <s v="Jamie Scott"/>
    <x v="2"/>
    <x v="0"/>
    <s v="NJ"/>
    <s v="Newark"/>
    <x v="0"/>
    <x v="1"/>
    <s v="FUR-DSK-101"/>
    <s v="Standing Desk 48"/>
    <x v="1"/>
    <x v="1"/>
    <n v="4"/>
    <n v="314.27"/>
    <n v="7.0000000000000007E-2"/>
    <n v="20.88"/>
    <s v="Low"/>
    <s v="No"/>
    <n v="1"/>
    <s v="Valid"/>
    <x v="0"/>
    <d v="2022-06-23T00:00:00"/>
    <n v="184"/>
    <n v="1257.08"/>
    <n v="21.998900000000003"/>
    <n v="1235.0810999999999"/>
    <n v="736"/>
    <n v="499.08109999999988"/>
    <n v="0.40408771537350863"/>
    <n v="5"/>
    <s v="on time"/>
    <s v="March"/>
    <s v="Q1"/>
  </r>
  <r>
    <s v="ORD-01653"/>
    <x v="271"/>
    <d v="2025-03-22T00:00:00"/>
    <s v="CUST-0040"/>
    <s v="Drew Wilson"/>
    <x v="2"/>
    <x v="0"/>
    <s v="NJ"/>
    <s v="Newark"/>
    <x v="0"/>
    <x v="4"/>
    <s v="TEC-NET-401"/>
    <s v="Mesh Wi-Fi Router"/>
    <x v="3"/>
    <x v="5"/>
    <n v="3"/>
    <n v="192.02"/>
    <n v="0.05"/>
    <n v="8.9600000000000009"/>
    <s v="Critical"/>
    <s v="No"/>
    <n v="3"/>
    <s v="Valid"/>
    <x v="1"/>
    <d v="2021-05-25T00:00:00"/>
    <n v="96"/>
    <n v="576.06000000000006"/>
    <n v="9.6010000000000009"/>
    <n v="566.45900000000006"/>
    <n v="288"/>
    <n v="278.45900000000006"/>
    <n v="0.49157838431378093"/>
    <n v="2"/>
    <s v="on time"/>
    <s v="March"/>
    <s v="Q1"/>
  </r>
  <r>
    <s v="ORD-01033"/>
    <x v="272"/>
    <d v="2025-03-27T00:00:00"/>
    <s v="CUST-0127"/>
    <s v="Riley Wilson"/>
    <x v="1"/>
    <x v="1"/>
    <s v="OR"/>
    <s v="Portland"/>
    <x v="0"/>
    <x v="5"/>
    <s v="OFF-BIN-201"/>
    <s v="Heavy-Duty Binder 12-Pack"/>
    <x v="2"/>
    <x v="6"/>
    <n v="10"/>
    <n v="37.31"/>
    <n v="7.0000000000000007E-2"/>
    <n v="16.87"/>
    <s v="High"/>
    <s v="No"/>
    <n v="1"/>
    <s v="Valid"/>
    <x v="2"/>
    <d v="2021-01-05T00:00:00"/>
    <n v="18"/>
    <n v="373.1"/>
    <n v="2.6117000000000004"/>
    <n v="370.48830000000004"/>
    <n v="180"/>
    <n v="190.48830000000004"/>
    <n v="0.51415469800260905"/>
    <n v="6"/>
    <s v="on time"/>
    <s v="March"/>
    <s v="Q1"/>
  </r>
  <r>
    <s v="ORD-01310"/>
    <x v="272"/>
    <d v="2025-03-29T00:00:00"/>
    <s v="CUST-0028"/>
    <s v="Rowan Scott"/>
    <x v="1"/>
    <x v="3"/>
    <s v="FL"/>
    <s v="Miami"/>
    <x v="2"/>
    <x v="0"/>
    <s v="OFF-SUP-402"/>
    <s v="Label Maker"/>
    <x v="3"/>
    <x v="2"/>
    <n v="1"/>
    <n v="77.25"/>
    <n v="7.0000000000000007E-2"/>
    <n v="14.79"/>
    <s v="High"/>
    <s v="No"/>
    <n v="2"/>
    <s v="Valid"/>
    <x v="0"/>
    <d v="2023-04-10T00:00:00"/>
    <n v="36"/>
    <n v="77.25"/>
    <n v="5.4075000000000006"/>
    <n v="71.842500000000001"/>
    <n v="36"/>
    <n v="35.842500000000001"/>
    <n v="0.49890385217663641"/>
    <n v="8"/>
    <s v="on time"/>
    <s v="March"/>
    <s v="Q1"/>
  </r>
  <r>
    <s v="ORD-01533"/>
    <x v="273"/>
    <d v="2025-03-27T00:00:00"/>
    <s v="CUST-0052"/>
    <s v="Maya Scott"/>
    <x v="1"/>
    <x v="1"/>
    <s v="CA"/>
    <s v="San Diego"/>
    <x v="2"/>
    <x v="5"/>
    <s v="OFF-PAP-102"/>
    <s v="Recycled Notebook Pack"/>
    <x v="2"/>
    <x v="12"/>
    <n v="2"/>
    <n v="21.68"/>
    <n v="0.1"/>
    <n v="12.79"/>
    <s v="Low"/>
    <s v="No"/>
    <n v="3"/>
    <s v="Valid"/>
    <x v="2"/>
    <d v="2025-07-06T00:00:00"/>
    <n v="10"/>
    <n v="43.36"/>
    <n v="2.1680000000000001"/>
    <n v="41.192"/>
    <n v="20"/>
    <n v="21.192"/>
    <n v="0.51446882889881529"/>
    <n v="4"/>
    <s v="on time"/>
    <s v="March"/>
    <s v="Q1"/>
  </r>
  <r>
    <s v="ORD-01147"/>
    <x v="274"/>
    <d v="2025-03-29T00:00:00"/>
    <s v="CUST-0030"/>
    <s v="Lena Martinez"/>
    <x v="0"/>
    <x v="1"/>
    <s v="OR"/>
    <s v="Portland"/>
    <x v="1"/>
    <x v="2"/>
    <s v="TEC-NET-401"/>
    <s v="Mesh Wi-Fi Router"/>
    <x v="3"/>
    <x v="5"/>
    <n v="1"/>
    <n v="192.11"/>
    <n v="0.04"/>
    <n v="22.49"/>
    <s v="Critical"/>
    <s v="No"/>
    <n v="1"/>
    <s v="Valid"/>
    <x v="0"/>
    <d v="2024-03-22T00:00:00"/>
    <n v="96"/>
    <n v="192.11"/>
    <n v="7.684400000000001"/>
    <n v="184.4256"/>
    <n v="96"/>
    <n v="88.425600000000003"/>
    <n v="0.47946488990682423"/>
    <n v="5"/>
    <s v="on time"/>
    <s v="March"/>
    <s v="Q1"/>
  </r>
  <r>
    <s v="ORD-01331"/>
    <x v="274"/>
    <d v="2025-03-28T00:00:00"/>
    <s v="CUST-0052"/>
    <s v="Maya Scott"/>
    <x v="1"/>
    <x v="1"/>
    <s v="CA"/>
    <s v="San Diego"/>
    <x v="2"/>
    <x v="4"/>
    <s v="OFF-BIN-202"/>
    <s v="Presentation Folder Box"/>
    <x v="2"/>
    <x v="6"/>
    <n v="8"/>
    <n v="29.26"/>
    <n v="0.11"/>
    <n v="5.58"/>
    <s v="Critical"/>
    <s v="No"/>
    <n v="2"/>
    <s v="Valid"/>
    <x v="2"/>
    <d v="2025-07-06T00:00:00"/>
    <n v="14"/>
    <n v="234.08"/>
    <n v="3.2186000000000003"/>
    <n v="230.8614"/>
    <n v="112"/>
    <n v="118.8614"/>
    <n v="0.51486043141036142"/>
    <n v="4"/>
    <s v="on time"/>
    <s v="March"/>
    <s v="Q1"/>
  </r>
  <r>
    <s v="ORD-01404"/>
    <x v="275"/>
    <d v="2025-04-04T00:00:00"/>
    <s v="CUST-0023"/>
    <s v="Jordan Smith"/>
    <x v="1"/>
    <x v="0"/>
    <s v="NJ"/>
    <s v="Newark"/>
    <x v="1"/>
    <x v="1"/>
    <s v="TEC-MON-202"/>
    <s v="ClearView Ultrawide Monitor"/>
    <x v="3"/>
    <x v="4"/>
    <n v="4"/>
    <n v="508.72"/>
    <n v="0.05"/>
    <n v="5.15"/>
    <s v="Medium"/>
    <s v="No"/>
    <n v="3"/>
    <s v="Valid"/>
    <x v="1"/>
    <d v="2023-05-13T00:00:00"/>
    <n v="310"/>
    <n v="2034.88"/>
    <n v="25.436000000000003"/>
    <n v="2009.4440000000002"/>
    <n v="1240"/>
    <n v="769.44400000000019"/>
    <n v="0.3829138806555446"/>
    <n v="10"/>
    <s v="on time"/>
    <s v="March"/>
    <s v="Q1"/>
  </r>
  <r>
    <s v="ORD-01046"/>
    <x v="276"/>
    <d v="2025-03-29T00:00:00"/>
    <s v="CUST-0129"/>
    <s v="Lena Walker"/>
    <x v="0"/>
    <x v="2"/>
    <s v="OH"/>
    <s v="Columbus"/>
    <x v="0"/>
    <x v="3"/>
    <s v="FUR-STO-302"/>
    <s v="Modular Bookcase"/>
    <x v="1"/>
    <x v="9"/>
    <n v="3"/>
    <n v="237.56"/>
    <n v="0.06"/>
    <n v="21.95"/>
    <s v="Medium"/>
    <s v="No"/>
    <n v="4"/>
    <s v="Valid"/>
    <x v="3"/>
    <d v="2023-10-18T00:00:00"/>
    <n v="118"/>
    <n v="712.68000000000006"/>
    <n v="14.2536"/>
    <n v="698.42640000000006"/>
    <n v="354"/>
    <n v="344.42640000000006"/>
    <n v="0.49314630718426455"/>
    <n v="3"/>
    <s v="on time"/>
    <s v="March"/>
    <s v="Q1"/>
  </r>
  <r>
    <s v="ORD-01676"/>
    <x v="276"/>
    <d v="2025-03-28T00:00:00"/>
    <s v="CUST-0089"/>
    <s v="Jamie Garcia"/>
    <x v="1"/>
    <x v="3"/>
    <s v="NC"/>
    <s v="Charlotte"/>
    <x v="3"/>
    <x v="4"/>
    <s v="TEC-LAP-102"/>
    <s v="ApexBook Pro 16 Laptop"/>
    <x v="3"/>
    <x v="7"/>
    <n v="4"/>
    <n v="1353.04"/>
    <n v="0.03"/>
    <n v="20.57"/>
    <s v="High"/>
    <s v="No"/>
    <n v="3"/>
    <s v="Valid"/>
    <x v="0"/>
    <d v="2023-08-04T00:00:00"/>
    <n v="885"/>
    <n v="5412.16"/>
    <n v="40.591200000000001"/>
    <n v="5371.5688"/>
    <n v="3540"/>
    <n v="1831.5688"/>
    <n v="0.34097465157664925"/>
    <n v="2"/>
    <s v="on time"/>
    <s v="March"/>
    <s v="Q1"/>
  </r>
  <r>
    <s v="ORD-01685"/>
    <x v="276"/>
    <d v="2025-03-28T00:00:00"/>
    <s v="CUST-0128"/>
    <s v="Iris King"/>
    <x v="1"/>
    <x v="2"/>
    <s v="TX"/>
    <s v="Austin"/>
    <x v="2"/>
    <x v="3"/>
    <s v="APP-KIT-102"/>
    <s v="Mini Refrigerator"/>
    <x v="0"/>
    <x v="0"/>
    <n v="3"/>
    <n v="233.03"/>
    <n v="0.03"/>
    <n v="11.52"/>
    <s v="Medium"/>
    <s v="No"/>
    <n v="1"/>
    <s v="Valid"/>
    <x v="1"/>
    <d v="2025-09-08T00:00:00"/>
    <n v="125"/>
    <n v="699.09"/>
    <n v="6.9908999999999999"/>
    <n v="692.09910000000002"/>
    <n v="375"/>
    <n v="317.09910000000002"/>
    <n v="0.45817007997843084"/>
    <n v="2"/>
    <s v="on time"/>
    <s v="March"/>
    <s v="Q1"/>
  </r>
  <r>
    <s v="ORD-01260"/>
    <x v="277"/>
    <d v="2025-04-14T00:00:00"/>
    <s v="CUST-0068"/>
    <s v="Quinn Robinson"/>
    <x v="1"/>
    <x v="3"/>
    <s v="LA"/>
    <s v="New Orleans"/>
    <x v="0"/>
    <x v="5"/>
    <s v="FUR-DSK-101"/>
    <s v="Standing Desk 48"/>
    <x v="1"/>
    <x v="1"/>
    <n v="2"/>
    <n v="324.63"/>
    <n v="0.1"/>
    <n v="23.64"/>
    <s v="Medium"/>
    <s v="No"/>
    <n v="1"/>
    <s v="Valid"/>
    <x v="0"/>
    <d v="2024-09-14T00:00:00"/>
    <n v="184"/>
    <n v="649.26"/>
    <n v="32.463000000000001"/>
    <n v="616.79700000000003"/>
    <n v="368"/>
    <n v="248.79700000000003"/>
    <n v="0.40336934193908208"/>
    <n v="18"/>
    <s v="late"/>
    <s v="March"/>
    <s v="Q1"/>
  </r>
  <r>
    <s v="ORD-01309"/>
    <x v="277"/>
    <d v="2025-04-01T00:00:00"/>
    <s v="CUST-0122"/>
    <s v="Iris Wilson"/>
    <x v="1"/>
    <x v="2"/>
    <s v="IL"/>
    <s v="Chicago"/>
    <x v="0"/>
    <x v="5"/>
    <s v="FUR-DSK-101"/>
    <s v="Standing Desk 48"/>
    <x v="1"/>
    <x v="1"/>
    <n v="3"/>
    <n v="314.67"/>
    <n v="0.06"/>
    <n v="25.82"/>
    <s v="Medium"/>
    <s v="No"/>
    <n v="2"/>
    <s v="Valid"/>
    <x v="2"/>
    <d v="2024-07-20T00:00:00"/>
    <n v="184"/>
    <n v="944.01"/>
    <n v="18.880199999999999"/>
    <n v="925.12980000000005"/>
    <n v="552"/>
    <n v="373.12980000000005"/>
    <n v="0.40332697098288267"/>
    <n v="5"/>
    <s v="on time"/>
    <s v="March"/>
    <s v="Q1"/>
  </r>
  <r>
    <s v="ORD-01644"/>
    <x v="277"/>
    <d v="2025-03-29T00:00:00"/>
    <s v="CUST-0098"/>
    <s v="Reese Martinez"/>
    <x v="2"/>
    <x v="3"/>
    <s v="GA"/>
    <s v="Atlanta"/>
    <x v="3"/>
    <x v="1"/>
    <s v="FUR-STO-302"/>
    <s v="Modular Bookcase"/>
    <x v="1"/>
    <x v="9"/>
    <n v="4"/>
    <n v="229.48"/>
    <n v="0.23"/>
    <n v="24.62"/>
    <s v="Critical"/>
    <s v="No"/>
    <n v="5"/>
    <s v="Valid"/>
    <x v="2"/>
    <d v="2024-04-21T00:00:00"/>
    <n v="118"/>
    <n v="917.92"/>
    <n v="52.7804"/>
    <n v="865.13959999999997"/>
    <n v="472"/>
    <n v="393.13959999999997"/>
    <n v="0.4544233092555236"/>
    <n v="2"/>
    <s v="on time"/>
    <s v="March"/>
    <s v="Q1"/>
  </r>
  <r>
    <s v="ORD-01441"/>
    <x v="278"/>
    <d v="2025-04-03T00:00:00"/>
    <s v="CUST-0091"/>
    <s v="Morgan Garcia"/>
    <x v="1"/>
    <x v="1"/>
    <s v="WA"/>
    <s v="Seattle"/>
    <x v="2"/>
    <x v="0"/>
    <s v="FUR-STO-302"/>
    <s v="Modular Bookcase"/>
    <x v="1"/>
    <x v="9"/>
    <n v="2"/>
    <n v="220.29"/>
    <n v="0.02"/>
    <n v="29.68"/>
    <s v="Medium"/>
    <s v="No"/>
    <n v="3"/>
    <s v="Valid"/>
    <x v="2"/>
    <d v="2022-11-11T00:00:00"/>
    <n v="118"/>
    <n v="440.58"/>
    <n v="4.4058000000000002"/>
    <n v="436.17419999999998"/>
    <n v="236"/>
    <n v="200.17419999999998"/>
    <n v="0.45893177542367247"/>
    <n v="6"/>
    <s v="on time"/>
    <s v="March"/>
    <s v="Q1"/>
  </r>
  <r>
    <s v="ORD-01021"/>
    <x v="279"/>
    <d v="2025-04-05T00:00:00"/>
    <s v="CUST-0091"/>
    <s v="Morgan Garcia"/>
    <x v="1"/>
    <x v="1"/>
    <s v="WA"/>
    <s v="Seattle"/>
    <x v="3"/>
    <x v="2"/>
    <s v="FUR-CHR-202"/>
    <s v="Mesh Conference Chair"/>
    <x v="1"/>
    <x v="11"/>
    <n v="3"/>
    <n v="142.58000000000001"/>
    <n v="0.09"/>
    <n v="20.74"/>
    <s v="High"/>
    <s v="No"/>
    <n v="4"/>
    <s v="Valid"/>
    <x v="2"/>
    <d v="2022-11-11T00:00:00"/>
    <n v="82"/>
    <n v="427.74"/>
    <n v="12.8322"/>
    <n v="414.90780000000001"/>
    <n v="246"/>
    <n v="168.90780000000001"/>
    <n v="0.40709719123140131"/>
    <n v="7"/>
    <s v="on time"/>
    <s v="March"/>
    <s v="Q1"/>
  </r>
  <r>
    <s v="ORD-01196"/>
    <x v="279"/>
    <d v="2025-03-31T00:00:00"/>
    <s v="CUST-0013"/>
    <s v="Drew Allen"/>
    <x v="2"/>
    <x v="3"/>
    <s v="FL"/>
    <s v="Miami"/>
    <x v="2"/>
    <x v="0"/>
    <s v="FUR-CHR-202"/>
    <s v="Mesh Conference Chair"/>
    <x v="1"/>
    <x v="11"/>
    <n v="1"/>
    <n v="144.25"/>
    <n v="0.1"/>
    <n v="28.83"/>
    <s v="Critical"/>
    <s v="No"/>
    <n v="5"/>
    <s v="Valid"/>
    <x v="3"/>
    <d v="2025-08-16T00:00:00"/>
    <n v="82"/>
    <n v="144.25"/>
    <n v="14.425000000000001"/>
    <n v="129.82499999999999"/>
    <n v="82"/>
    <n v="47.824999999999989"/>
    <n v="0.36838051222799917"/>
    <n v="2"/>
    <s v="on time"/>
    <s v="March"/>
    <s v="Q1"/>
  </r>
  <r>
    <s v="ORD-01693"/>
    <x v="279"/>
    <d v="2025-04-01T00:00:00"/>
    <s v="CUST-0013"/>
    <s v="Drew Allen"/>
    <x v="2"/>
    <x v="3"/>
    <s v="FL"/>
    <s v="Miami"/>
    <x v="1"/>
    <x v="5"/>
    <s v="OFF-SUP-401"/>
    <s v="Desk Organizer Kit"/>
    <x v="2"/>
    <x v="2"/>
    <n v="10"/>
    <n v="25.97"/>
    <n v="0.11"/>
    <n v="14.68"/>
    <s v="Low"/>
    <s v="No"/>
    <n v="1"/>
    <s v="Valid"/>
    <x v="3"/>
    <d v="2025-08-16T00:00:00"/>
    <n v="12"/>
    <n v="259.7"/>
    <n v="2.8567"/>
    <n v="256.8433"/>
    <n v="120"/>
    <n v="136.8433"/>
    <n v="0.53278905854269898"/>
    <n v="3"/>
    <s v="on time"/>
    <s v="March"/>
    <s v="Q1"/>
  </r>
  <r>
    <s v="ORD-01198"/>
    <x v="280"/>
    <d v="2025-04-04T00:00:00"/>
    <s v="CUST-0099"/>
    <s v="Jamie Clark"/>
    <x v="0"/>
    <x v="3"/>
    <s v="FL"/>
    <s v="Miami"/>
    <x v="3"/>
    <x v="4"/>
    <s v="OFF-PAP-102"/>
    <s v="Recycled Notebook Pack"/>
    <x v="2"/>
    <x v="12"/>
    <n v="10"/>
    <n v="21.08"/>
    <n v="0.34"/>
    <n v="7.43"/>
    <s v="Low"/>
    <s v="No"/>
    <n v="5"/>
    <s v="Valid"/>
    <x v="3"/>
    <d v="2025-04-09T00:00:00"/>
    <n v="10"/>
    <n v="210.79999999999998"/>
    <n v="7.1672000000000002"/>
    <n v="203.63279999999997"/>
    <n v="100"/>
    <n v="103.63279999999997"/>
    <n v="0.50891997752817808"/>
    <n v="5"/>
    <s v="on time"/>
    <s v="March"/>
    <s v="Q1"/>
  </r>
  <r>
    <s v="ORD-01203"/>
    <x v="280"/>
    <d v="2025-04-04T00:00:00"/>
    <s v="CUST-0094"/>
    <s v="Lena Smith"/>
    <x v="2"/>
    <x v="2"/>
    <s v="OH"/>
    <s v="Columbus"/>
    <x v="1"/>
    <x v="5"/>
    <s v="APP-KIT-101"/>
    <s v="Compact Coffee Brewer"/>
    <x v="0"/>
    <x v="0"/>
    <n v="5"/>
    <n v="89.68"/>
    <n v="0.03"/>
    <n v="15.63"/>
    <s v="Low"/>
    <s v="No"/>
    <m/>
    <s v="Valid"/>
    <x v="1"/>
    <d v="2024-11-03T00:00:00"/>
    <n v="48"/>
    <n v="448.40000000000003"/>
    <n v="2.6903999999999999"/>
    <n v="445.70960000000002"/>
    <n v="240"/>
    <n v="205.70960000000002"/>
    <n v="0.46153280072944358"/>
    <n v="5"/>
    <s v="on time"/>
    <s v="March"/>
    <s v="Q1"/>
  </r>
  <r>
    <s v="ORD-01062"/>
    <x v="281"/>
    <d v="2025-04-03T00:00:00"/>
    <s v="CUST-0114"/>
    <s v="Riley Patel"/>
    <x v="1"/>
    <x v="0"/>
    <s v="Missing state"/>
    <s v="Newark"/>
    <x v="0"/>
    <x v="2"/>
    <s v="OFF-PAP-101"/>
    <s v="Premium Copy Paper Case"/>
    <x v="2"/>
    <x v="12"/>
    <n v="1"/>
    <n v="39.43"/>
    <n v="0.04"/>
    <n v="14.88"/>
    <s v="Low"/>
    <s v="No"/>
    <n v="4"/>
    <s v="Invalid state"/>
    <x v="3"/>
    <d v="2021-12-08T00:00:00"/>
    <n v="20"/>
    <n v="39.43"/>
    <n v="1.5771999999999999"/>
    <n v="37.852800000000002"/>
    <n v="20"/>
    <n v="17.852800000000002"/>
    <n v="0.47163750105672503"/>
    <n v="3"/>
    <s v="on time"/>
    <s v="March"/>
    <s v="Q1"/>
  </r>
  <r>
    <s v="ORD-01298"/>
    <x v="281"/>
    <d v="2025-04-05T00:00:00"/>
    <s v="CUST-0011"/>
    <s v="Reese Young"/>
    <x v="2"/>
    <x v="0"/>
    <s v="NJ"/>
    <s v="Newark"/>
    <x v="2"/>
    <x v="0"/>
    <s v="TEC-MON-201"/>
    <s v="ClearView 27 Monitor"/>
    <x v="3"/>
    <x v="4"/>
    <n v="3"/>
    <n v="273.27"/>
    <n v="0.05"/>
    <n v="11.53"/>
    <s v="Critical"/>
    <s v="No"/>
    <n v="4"/>
    <s v="Valid"/>
    <x v="1"/>
    <d v="2021-12-15T00:00:00"/>
    <n v="168"/>
    <n v="819.81"/>
    <n v="13.663499999999999"/>
    <n v="806.14649999999995"/>
    <n v="504"/>
    <n v="302.14649999999995"/>
    <n v="0.37480346314224522"/>
    <n v="5"/>
    <s v="on time"/>
    <s v="March"/>
    <s v="Q1"/>
  </r>
  <r>
    <s v="ORD-01391"/>
    <x v="281"/>
    <d v="2025-04-10T00:00:00"/>
    <s v="CUST-0152"/>
    <s v="Cameron Robinson"/>
    <x v="0"/>
    <x v="0"/>
    <s v="MA"/>
    <s v="Boston"/>
    <x v="1"/>
    <x v="0"/>
    <s v="APP-CLN-201"/>
    <s v="Air Purifier"/>
    <x v="0"/>
    <x v="3"/>
    <n v="1"/>
    <n v="160.5"/>
    <n v="0.1"/>
    <n v="16.77"/>
    <s v="Critical"/>
    <s v="No"/>
    <n v="1"/>
    <s v="Valid"/>
    <x v="2"/>
    <d v="2022-08-22T00:00:00"/>
    <n v="82"/>
    <n v="160.5"/>
    <n v="16.05"/>
    <n v="144.44999999999999"/>
    <n v="82"/>
    <n v="62.449999999999989"/>
    <n v="0.43232952578746969"/>
    <n v="10"/>
    <s v="on time"/>
    <s v="March"/>
    <s v="Q1"/>
  </r>
  <r>
    <s v="ORD-01497"/>
    <x v="281"/>
    <d v="2025-04-04T00:00:00"/>
    <s v="CUST-0016"/>
    <s v="Rowan Nguyen"/>
    <x v="2"/>
    <x v="3"/>
    <s v="GA"/>
    <s v="Atlanta"/>
    <x v="0"/>
    <x v="5"/>
    <s v="TEC-NET-402"/>
    <s v="8-Port Network Switch"/>
    <x v="3"/>
    <x v="5"/>
    <n v="1"/>
    <n v="86.68"/>
    <n v="0.04"/>
    <n v="14.53"/>
    <s v="Critical"/>
    <s v="No"/>
    <n v="5"/>
    <s v="Valid"/>
    <x v="2"/>
    <d v="2023-08-11T00:00:00"/>
    <n v="44"/>
    <n v="86.68"/>
    <n v="3.4672000000000005"/>
    <n v="83.212800000000001"/>
    <n v="44"/>
    <n v="39.212800000000001"/>
    <n v="0.47123519458544838"/>
    <n v="4"/>
    <s v="on time"/>
    <s v="March"/>
    <s v="Q1"/>
  </r>
  <r>
    <s v="ORD-01175"/>
    <x v="282"/>
    <d v="2025-04-05T00:00:00"/>
    <s v="CUST-0068"/>
    <s v="Quinn Robinson"/>
    <x v="1"/>
    <x v="3"/>
    <s v="LA"/>
    <s v="New Orleans"/>
    <x v="0"/>
    <x v="3"/>
    <s v="OFF-PAP-102"/>
    <s v="Recycled Notebook Pack"/>
    <x v="2"/>
    <x v="12"/>
    <n v="9"/>
    <n v="21.99"/>
    <n v="0.01"/>
    <n v="7.9"/>
    <s v="High"/>
    <s v="No"/>
    <n v="4"/>
    <s v="Valid"/>
    <x v="0"/>
    <d v="2024-09-14T00:00:00"/>
    <n v="10"/>
    <n v="197.91"/>
    <n v="0.21989999999999998"/>
    <n v="197.6901"/>
    <n v="90"/>
    <n v="107.6901"/>
    <n v="0.54474199770246456"/>
    <n v="4"/>
    <s v="on time"/>
    <s v="April"/>
    <s v="Q2"/>
  </r>
  <r>
    <s v="ORD-01666"/>
    <x v="282"/>
    <d v="2025-04-14T00:00:00"/>
    <s v="CUST-0027"/>
    <s v="Cameron Lopez"/>
    <x v="2"/>
    <x v="1"/>
    <s v="CA"/>
    <s v="San Diego"/>
    <x v="3"/>
    <x v="4"/>
    <s v="TEC-ACC-302"/>
    <s v="USB-C Docking Station"/>
    <x v="3"/>
    <x v="10"/>
    <n v="4"/>
    <n v="142.30000000000001"/>
    <n v="0.06"/>
    <n v="16.72"/>
    <s v="High"/>
    <s v="No"/>
    <n v="1"/>
    <s v="Valid"/>
    <x v="3"/>
    <d v="2025-02-25T00:00:00"/>
    <n v="72"/>
    <n v="569.20000000000005"/>
    <n v="8.5380000000000003"/>
    <n v="560.66200000000003"/>
    <n v="288"/>
    <n v="272.66200000000003"/>
    <n v="0.48632152705194931"/>
    <n v="13"/>
    <s v="late"/>
    <s v="April"/>
    <s v="Q2"/>
  </r>
  <r>
    <s v="ORD-01052"/>
    <x v="283"/>
    <d v="2025-04-07T00:00:00"/>
    <s v="CUST-0161"/>
    <s v="Drew Walker"/>
    <x v="0"/>
    <x v="0"/>
    <s v="PA"/>
    <s v="Philadelphia"/>
    <x v="0"/>
    <x v="2"/>
    <s v="TEC-MON-201"/>
    <s v="ClearView 27 Monitor"/>
    <x v="3"/>
    <x v="4"/>
    <n v="1"/>
    <n v="295.87"/>
    <n v="0.09"/>
    <n v="20.100000000000001"/>
    <s v="High"/>
    <s v="Yes"/>
    <n v="3"/>
    <s v="Valid"/>
    <x v="3"/>
    <d v="2023-10-05T00:00:00"/>
    <n v="168"/>
    <n v="295.87"/>
    <n v="26.628299999999999"/>
    <n v="269.24169999999998"/>
    <n v="168"/>
    <n v="101.24169999999998"/>
    <n v="0.3760253333714651"/>
    <n v="5"/>
    <s v="on time"/>
    <s v="April"/>
    <s v="Q2"/>
  </r>
  <r>
    <s v="ORD-01411"/>
    <x v="283"/>
    <d v="2025-04-12T00:00:00"/>
    <s v="CUST-0085"/>
    <s v="Avery Chen"/>
    <x v="2"/>
    <x v="2"/>
    <s v="OH"/>
    <s v="Columbus"/>
    <x v="2"/>
    <x v="2"/>
    <s v="FUR-CHR-202"/>
    <s v="Mesh Conference Chair"/>
    <x v="1"/>
    <x v="11"/>
    <n v="2"/>
    <n v="156.38999999999999"/>
    <n v="0.01"/>
    <n v="24.08"/>
    <s v="Medium"/>
    <s v="No"/>
    <m/>
    <s v="Valid"/>
    <x v="1"/>
    <d v="2025-07-20T00:00:00"/>
    <n v="82"/>
    <n v="312.77999999999997"/>
    <n v="1.5638999999999998"/>
    <n v="311.21609999999998"/>
    <n v="164"/>
    <n v="147.21609999999998"/>
    <n v="0.47303497473299094"/>
    <n v="10"/>
    <s v="on time"/>
    <s v="April"/>
    <s v="Q2"/>
  </r>
  <r>
    <s v="ORD-01582"/>
    <x v="284"/>
    <d v="2025-04-14T00:00:00"/>
    <s v="CUST-0057"/>
    <s v="Morgan Lopez"/>
    <x v="2"/>
    <x v="1"/>
    <s v="CA"/>
    <s v="Los Angeles"/>
    <x v="1"/>
    <x v="4"/>
    <s v="FUR-DSK-102"/>
    <s v="Executive Desk 60"/>
    <x v="1"/>
    <x v="1"/>
    <n v="3"/>
    <n v="464.75"/>
    <n v="0.04"/>
    <n v="19.46"/>
    <s v="Low"/>
    <s v="No"/>
    <n v="5"/>
    <s v="Valid"/>
    <x v="2"/>
    <d v="2025-02-02T00:00:00"/>
    <n v="265"/>
    <n v="1394.25"/>
    <n v="18.59"/>
    <n v="1375.66"/>
    <n v="795"/>
    <n v="580.66000000000008"/>
    <n v="0.42209557594172981"/>
    <n v="11"/>
    <s v="late"/>
    <s v="April"/>
    <s v="Q2"/>
  </r>
  <r>
    <s v="ORD-01600"/>
    <x v="285"/>
    <d v="2025-04-06T00:00:00"/>
    <s v="CUST-0025"/>
    <s v="Jamie Scott"/>
    <x v="2"/>
    <x v="0"/>
    <s v="NJ"/>
    <s v="Newark"/>
    <x v="0"/>
    <x v="3"/>
    <s v="FUR-CHR-202"/>
    <s v="Mesh Conference Chair"/>
    <x v="1"/>
    <x v="11"/>
    <n v="3"/>
    <n v="151.53"/>
    <n v="0.27"/>
    <n v="26.37"/>
    <s v="High"/>
    <s v="Yes"/>
    <n v="5"/>
    <s v="Valid"/>
    <x v="0"/>
    <d v="2022-06-23T00:00:00"/>
    <n v="82"/>
    <n v="454.59000000000003"/>
    <n v="40.9131"/>
    <n v="413.67690000000005"/>
    <n v="246"/>
    <n v="167.67690000000005"/>
    <n v="0.40533300264046657"/>
    <n v="2"/>
    <s v="on time"/>
    <s v="April"/>
    <s v="Q2"/>
  </r>
  <r>
    <s v="ORD-01447"/>
    <x v="286"/>
    <d v="2025-04-08T00:00:00"/>
    <s v="CUST-0065"/>
    <s v="Drew Nguyen"/>
    <x v="0"/>
    <x v="0"/>
    <s v="NJ"/>
    <s v="Newark"/>
    <x v="3"/>
    <x v="4"/>
    <s v="APP-CLN-201"/>
    <s v="Air Purifier"/>
    <x v="0"/>
    <x v="3"/>
    <n v="9"/>
    <n v="173.79"/>
    <n v="7.0000000000000007E-2"/>
    <n v="14.83"/>
    <s v="High"/>
    <s v="No"/>
    <n v="4"/>
    <s v="Valid"/>
    <x v="2"/>
    <d v="2025-01-01T00:00:00"/>
    <n v="82"/>
    <n v="1564.11"/>
    <n v="12.1653"/>
    <n v="1551.9447"/>
    <n v="738"/>
    <n v="813.94470000000001"/>
    <n v="0.52446759217644801"/>
    <n v="3"/>
    <s v="on time"/>
    <s v="April"/>
    <s v="Q2"/>
  </r>
  <r>
    <s v="ORD-01680"/>
    <x v="286"/>
    <d v="2025-04-10T00:00:00"/>
    <s v="CUST-0158"/>
    <s v="Jamie Scott"/>
    <x v="1"/>
    <x v="1"/>
    <s v="CA"/>
    <s v="Los Angeles"/>
    <x v="2"/>
    <x v="4"/>
    <s v="TEC-LAP-101"/>
    <s v="ApexBook 14 Laptop"/>
    <x v="3"/>
    <x v="7"/>
    <n v="1"/>
    <n v="871.98"/>
    <n v="7.0000000000000007E-2"/>
    <n v="13.33"/>
    <s v="Critical"/>
    <s v="No"/>
    <n v="1"/>
    <s v="Valid"/>
    <x v="2"/>
    <d v="2021-03-23T00:00:00"/>
    <n v="585"/>
    <n v="871.98"/>
    <n v="61.03860000000001"/>
    <n v="810.94140000000004"/>
    <n v="585"/>
    <n v="225.94140000000004"/>
    <n v="0.27861618607707045"/>
    <n v="5"/>
    <s v="on time"/>
    <s v="April"/>
    <s v="Q2"/>
  </r>
  <r>
    <s v="ORD-01179"/>
    <x v="287"/>
    <d v="2025-04-12T00:00:00"/>
    <s v="CUST-0098"/>
    <s v="Reese Martinez"/>
    <x v="2"/>
    <x v="3"/>
    <s v="GA"/>
    <s v="Atlanta"/>
    <x v="0"/>
    <x v="4"/>
    <s v="APP-KIT-101"/>
    <s v="Compact Coffee Brewer"/>
    <x v="0"/>
    <x v="0"/>
    <n v="7"/>
    <n v="100.37"/>
    <n v="0.12"/>
    <n v="9.5299999999999994"/>
    <s v="Medium"/>
    <s v="No"/>
    <n v="1"/>
    <s v="Valid"/>
    <x v="2"/>
    <d v="2024-04-21T00:00:00"/>
    <n v="48"/>
    <n v="702.59"/>
    <n v="12.0444"/>
    <n v="690.54560000000004"/>
    <n v="336"/>
    <n v="354.54560000000004"/>
    <n v="0.51342822255329701"/>
    <n v="3"/>
    <s v="on time"/>
    <s v="April"/>
    <s v="Q2"/>
  </r>
  <r>
    <s v="ORD-01190"/>
    <x v="288"/>
    <d v="2025-04-11T00:00:00"/>
    <s v="CUST-0128"/>
    <s v="Iris King"/>
    <x v="1"/>
    <x v="2"/>
    <s v="TX"/>
    <s v="Austin"/>
    <x v="0"/>
    <x v="5"/>
    <s v="OFF-PAP-102"/>
    <s v="Recycled Notebook Pack"/>
    <x v="2"/>
    <x v="12"/>
    <n v="3"/>
    <n v="20.85"/>
    <n v="0.1"/>
    <n v="12.32"/>
    <s v="Low"/>
    <s v="No"/>
    <m/>
    <s v="Valid"/>
    <x v="1"/>
    <d v="2025-09-08T00:00:00"/>
    <n v="10"/>
    <n v="62.550000000000004"/>
    <n v="2.0850000000000004"/>
    <n v="60.465000000000003"/>
    <n v="30"/>
    <n v="30.465000000000003"/>
    <n v="0.50384519970230712"/>
    <n v="1"/>
    <s v="on time"/>
    <s v="April"/>
    <s v="Q2"/>
  </r>
  <r>
    <s v="ORD-01292"/>
    <x v="288"/>
    <d v="2025-04-17T00:00:00"/>
    <s v="CUST-0012"/>
    <s v="Jordan Johnson"/>
    <x v="2"/>
    <x v="2"/>
    <s v="CO"/>
    <s v="Denver"/>
    <x v="2"/>
    <x v="5"/>
    <s v="FUR-CHR-201"/>
    <s v="ErgoFlex Office Chair"/>
    <x v="1"/>
    <x v="11"/>
    <n v="1"/>
    <n v="254.71"/>
    <n v="0.21"/>
    <n v="22.05"/>
    <s v="Critical"/>
    <s v="No"/>
    <n v="4"/>
    <s v="Valid"/>
    <x v="2"/>
    <d v="2025-07-21T00:00:00"/>
    <n v="146"/>
    <n v="254.71"/>
    <n v="53.489100000000001"/>
    <n v="201.2209"/>
    <n v="146"/>
    <n v="55.2209"/>
    <n v="0.27442924666374119"/>
    <n v="7"/>
    <s v="on time"/>
    <s v="April"/>
    <s v="Q2"/>
  </r>
  <r>
    <s v="ORD-01692"/>
    <x v="289"/>
    <d v="2025-04-20T00:00:00"/>
    <s v="CUST-0147"/>
    <s v="Priya Scott"/>
    <x v="1"/>
    <x v="2"/>
    <s v="IL"/>
    <s v="Chicago"/>
    <x v="1"/>
    <x v="1"/>
    <s v="FUR-STO-301"/>
    <s v="Two-Drawer File Cabinet"/>
    <x v="1"/>
    <x v="9"/>
    <n v="4"/>
    <n v="160.25"/>
    <n v="0.3"/>
    <n v="22.65"/>
    <s v="Low"/>
    <s v="No"/>
    <n v="3"/>
    <s v="Valid"/>
    <x v="0"/>
    <d v="2022-10-11T00:00:00"/>
    <n v="88"/>
    <n v="641"/>
    <n v="48.074999999999996"/>
    <n v="592.92499999999995"/>
    <n v="352"/>
    <n v="240.92499999999995"/>
    <n v="0.40633301007715977"/>
    <n v="9"/>
    <s v="on time"/>
    <s v="April"/>
    <s v="Q2"/>
  </r>
  <r>
    <s v="ORD-01254"/>
    <x v="290"/>
    <d v="2025-04-27T00:00:00"/>
    <s v="CUST-0004"/>
    <s v="Riley Smith"/>
    <x v="1"/>
    <x v="0"/>
    <s v="VA"/>
    <s v="Richmond"/>
    <x v="1"/>
    <x v="2"/>
    <s v="TEC-MON-201"/>
    <s v="ClearView 27 Monitor"/>
    <x v="3"/>
    <x v="4"/>
    <n v="3"/>
    <n v="294.38"/>
    <n v="7.0000000000000007E-2"/>
    <n v="20.420000000000002"/>
    <s v="Medium"/>
    <s v="No"/>
    <n v="5"/>
    <s v="Valid"/>
    <x v="0"/>
    <d v="2022-06-24T00:00:00"/>
    <n v="168"/>
    <n v="883.14"/>
    <n v="20.6066"/>
    <n v="862.53340000000003"/>
    <n v="504"/>
    <n v="358.53340000000003"/>
    <n v="0.41567480169463583"/>
    <n v="9"/>
    <s v="on time"/>
    <s v="April"/>
    <s v="Q2"/>
  </r>
  <r>
    <s v="ORD-01623"/>
    <x v="290"/>
    <d v="2025-04-20T00:00:00"/>
    <s v="CUST-0090"/>
    <s v="Reese Davis"/>
    <x v="1"/>
    <x v="0"/>
    <s v="MA"/>
    <s v="Boston"/>
    <x v="1"/>
    <x v="3"/>
    <s v="FUR-DSK-102"/>
    <s v="Executive Desk 60"/>
    <x v="1"/>
    <x v="1"/>
    <n v="4"/>
    <n v="463.25"/>
    <n v="0.88"/>
    <n v="27.5"/>
    <s v="High"/>
    <s v="No"/>
    <n v="5"/>
    <s v="Valid"/>
    <x v="2"/>
    <d v="2025-05-10T00:00:00"/>
    <n v="265"/>
    <n v="1853"/>
    <n v="407.66"/>
    <n v="1445.34"/>
    <n v="1060"/>
    <n v="385.33999999999992"/>
    <n v="0.26660854885355689"/>
    <n v="2"/>
    <s v="on time"/>
    <s v="April"/>
    <s v="Q2"/>
  </r>
  <r>
    <s v="ORD-01273"/>
    <x v="291"/>
    <d v="2025-04-24T00:00:00"/>
    <s v="CUST-0156"/>
    <s v="Alex Young"/>
    <x v="2"/>
    <x v="3"/>
    <s v="GA"/>
    <s v="Atlanta"/>
    <x v="3"/>
    <x v="4"/>
    <s v="OFF-BIN-201"/>
    <s v="Heavy-Duty Binder 12-Pack"/>
    <x v="2"/>
    <x v="6"/>
    <n v="5"/>
    <n v="38.15"/>
    <n v="0.08"/>
    <n v="13.45"/>
    <s v="Medium"/>
    <s v="No"/>
    <n v="2"/>
    <s v="Valid"/>
    <x v="3"/>
    <d v="2024-08-10T00:00:00"/>
    <n v="18"/>
    <n v="190.75"/>
    <n v="3.052"/>
    <n v="187.69800000000001"/>
    <n v="90"/>
    <n v="97.698000000000008"/>
    <n v="0.5205063452993639"/>
    <n v="5"/>
    <s v="on time"/>
    <s v="April"/>
    <s v="Q2"/>
  </r>
  <r>
    <s v="ORD-01686"/>
    <x v="292"/>
    <d v="2026-01-15T00:00:00"/>
    <s v="CUST-0142"/>
    <s v="Priya Hall"/>
    <x v="0"/>
    <x v="0"/>
    <s v="MA"/>
    <s v="Boston"/>
    <x v="0"/>
    <x v="4"/>
    <s v="OFF-WRT-301"/>
    <s v="Gel Pen Variety Pack"/>
    <x v="2"/>
    <x v="8"/>
    <n v="5"/>
    <n v="15.35"/>
    <n v="0.05"/>
    <n v="11.07"/>
    <s v="High"/>
    <s v="Yes"/>
    <n v="5"/>
    <s v="Invalid Ship Date"/>
    <x v="1"/>
    <d v="2024-06-11T00:00:00"/>
    <n v="6"/>
    <n v="76.75"/>
    <n v="0.76750000000000007"/>
    <n v="75.982500000000002"/>
    <n v="30"/>
    <n v="45.982500000000002"/>
    <n v="0.60517224360872568"/>
    <n v="270"/>
    <s v="late"/>
    <s v="April"/>
    <s v="Q2"/>
  </r>
  <r>
    <s v="ORD-01090"/>
    <x v="293"/>
    <d v="2025-05-02T00:00:00"/>
    <s v="CUST-0130"/>
    <s v="Iris Allen"/>
    <x v="1"/>
    <x v="1"/>
    <s v="OR"/>
    <s v="Portland"/>
    <x v="2"/>
    <x v="1"/>
    <s v="TEC-NET-401"/>
    <s v="Mesh Wi-Fi Router"/>
    <x v="3"/>
    <x v="5"/>
    <n v="2"/>
    <n v="191.27"/>
    <n v="0.06"/>
    <n v="8.7799999999999994"/>
    <s v="Low"/>
    <s v="No"/>
    <n v="3"/>
    <s v="Valid"/>
    <x v="3"/>
    <d v="2021-12-13T00:00:00"/>
    <n v="96"/>
    <n v="382.54"/>
    <n v="11.4762"/>
    <n v="371.06380000000001"/>
    <n v="192"/>
    <n v="179.06380000000001"/>
    <n v="0.48256876580253855"/>
    <n v="10"/>
    <s v="on time"/>
    <s v="April"/>
    <s v="Q2"/>
  </r>
  <r>
    <s v="ORD-01252"/>
    <x v="294"/>
    <d v="2025-04-29T00:00:00"/>
    <s v="CUST-0115"/>
    <s v="Quinn Nguyen"/>
    <x v="0"/>
    <x v="1"/>
    <s v="CA"/>
    <s v="San Diego"/>
    <x v="1"/>
    <x v="2"/>
    <s v="FUR-STO-301"/>
    <s v="Two-Drawer File Cabinet"/>
    <x v="1"/>
    <x v="9"/>
    <n v="3"/>
    <n v="167.24"/>
    <n v="0.11"/>
    <n v="25.89"/>
    <s v="High"/>
    <s v="No"/>
    <n v="2"/>
    <s v="Valid"/>
    <x v="2"/>
    <d v="2023-01-12T00:00:00"/>
    <n v="88"/>
    <n v="501.72"/>
    <n v="18.3964"/>
    <n v="483.32360000000006"/>
    <n v="264"/>
    <n v="219.32360000000006"/>
    <n v="0.45378210374995143"/>
    <n v="6"/>
    <s v="on time"/>
    <s v="April"/>
    <s v="Q2"/>
  </r>
  <r>
    <s v="ORD-01262"/>
    <x v="294"/>
    <d v="2025-05-02T00:00:00"/>
    <s v="CUST-0114"/>
    <s v="Riley Patel"/>
    <x v="1"/>
    <x v="0"/>
    <s v="NJ"/>
    <s v="Newark"/>
    <x v="2"/>
    <x v="2"/>
    <s v="TEC-ACC-302"/>
    <s v="USB-C Docking Station"/>
    <x v="3"/>
    <x v="10"/>
    <n v="4"/>
    <n v="133.57"/>
    <n v="0.1"/>
    <n v="12.92"/>
    <s v="Low"/>
    <s v="No"/>
    <n v="4"/>
    <s v="Valid"/>
    <x v="3"/>
    <d v="2021-12-08T00:00:00"/>
    <n v="72"/>
    <n v="534.28"/>
    <n v="13.356999999999999"/>
    <n v="520.923"/>
    <n v="288"/>
    <n v="232.923"/>
    <n v="0.44713518120720336"/>
    <n v="9"/>
    <s v="on time"/>
    <s v="April"/>
    <s v="Q2"/>
  </r>
  <r>
    <s v="ORD-01337"/>
    <x v="295"/>
    <d v="2025-04-26T00:00:00"/>
    <s v="CUST-0085"/>
    <s v="Avery Chen"/>
    <x v="2"/>
    <x v="2"/>
    <s v="OH"/>
    <s v="Columbus"/>
    <x v="1"/>
    <x v="2"/>
    <s v="APP-KIT-101"/>
    <s v="Compact Coffee Brewer"/>
    <x v="0"/>
    <x v="0"/>
    <n v="7"/>
    <n v="94.99"/>
    <n v="0.03"/>
    <n v="8.7799999999999994"/>
    <s v="High"/>
    <s v="No"/>
    <n v="4"/>
    <s v="Valid"/>
    <x v="1"/>
    <d v="2025-07-20T00:00:00"/>
    <n v="48"/>
    <n v="664.93"/>
    <n v="2.8496999999999999"/>
    <n v="662.08029999999997"/>
    <n v="336"/>
    <n v="326.08029999999997"/>
    <n v="0.49250868814553156"/>
    <n v="2"/>
    <s v="on time"/>
    <s v="April"/>
    <s v="Q2"/>
  </r>
  <r>
    <s v="ORD-01265"/>
    <x v="296"/>
    <d v="2025-04-28T00:00:00"/>
    <s v="CUST-0154"/>
    <s v="Rowan Nguyen"/>
    <x v="0"/>
    <x v="0"/>
    <s v="NY"/>
    <s v="New York"/>
    <x v="1"/>
    <x v="0"/>
    <s v="TEC-MON-202"/>
    <s v="ClearView Ultrawide Monitor"/>
    <x v="3"/>
    <x v="4"/>
    <n v="3"/>
    <n v="552.66999999999996"/>
    <n v="0.06"/>
    <n v="7.36"/>
    <s v="High"/>
    <s v="No"/>
    <m/>
    <s v="Valid"/>
    <x v="1"/>
    <d v="2022-04-17T00:00:00"/>
    <n v="310"/>
    <n v="1658.0099999999998"/>
    <n v="33.160199999999996"/>
    <n v="1624.8497999999997"/>
    <n v="930"/>
    <n v="694.84979999999973"/>
    <n v="0.42763940396213845"/>
    <n v="3"/>
    <s v="on time"/>
    <s v="April"/>
    <s v="Q2"/>
  </r>
  <r>
    <s v="ORD-01170"/>
    <x v="297"/>
    <d v="2025-05-03T00:00:00"/>
    <s v="CUST-0154"/>
    <s v="Rowan Nguyen"/>
    <x v="0"/>
    <x v="0"/>
    <s v="NY"/>
    <s v="New York"/>
    <x v="2"/>
    <x v="4"/>
    <s v="OFF-PAP-102"/>
    <s v="Recycled Notebook Pack"/>
    <x v="2"/>
    <x v="12"/>
    <n v="10"/>
    <n v="22.95"/>
    <n v="0.05"/>
    <n v="14.59"/>
    <s v="Medium"/>
    <s v="No"/>
    <n v="4"/>
    <s v="Valid"/>
    <x v="1"/>
    <d v="2022-04-17T00:00:00"/>
    <n v="10"/>
    <n v="229.5"/>
    <n v="1.1475"/>
    <n v="228.35249999999999"/>
    <n v="100"/>
    <n v="128.35249999999999"/>
    <n v="0.56208055528185585"/>
    <n v="5"/>
    <s v="on time"/>
    <s v="April"/>
    <s v="Q2"/>
  </r>
  <r>
    <s v="ORD-01240"/>
    <x v="297"/>
    <d v="2025-05-04T00:00:00"/>
    <s v="CUST-0128"/>
    <s v="Iris King"/>
    <x v="1"/>
    <x v="2"/>
    <s v="TX"/>
    <s v="Austin"/>
    <x v="1"/>
    <x v="4"/>
    <s v="FUR-DSK-101"/>
    <s v="Standing Desk 48"/>
    <x v="1"/>
    <x v="1"/>
    <n v="4"/>
    <n v="336.25"/>
    <n v="0.11"/>
    <n v="25.45"/>
    <s v="Critical"/>
    <s v="No"/>
    <n v="5"/>
    <s v="Valid"/>
    <x v="1"/>
    <d v="2025-09-08T00:00:00"/>
    <n v="184"/>
    <n v="1345"/>
    <n v="36.987499999999997"/>
    <n v="1308.0125"/>
    <n v="736"/>
    <n v="572.01250000000005"/>
    <n v="0.43731424585009704"/>
    <n v="6"/>
    <s v="on time"/>
    <s v="April"/>
    <s v="Q2"/>
  </r>
  <r>
    <s v="ORD-01437"/>
    <x v="297"/>
    <d v="2025-04-30T00:00:00"/>
    <s v="CUST-0161"/>
    <s v="Drew Walker"/>
    <x v="0"/>
    <x v="0"/>
    <s v="PA"/>
    <s v="Philadelphia"/>
    <x v="3"/>
    <x v="3"/>
    <s v="FUR-CHR-201"/>
    <s v="ErgoFlex Office Chair"/>
    <x v="1"/>
    <x v="11"/>
    <n v="4"/>
    <n v="265.82"/>
    <n v="0.28999999999999998"/>
    <n v="18.28"/>
    <s v="Medium"/>
    <s v="No"/>
    <n v="2"/>
    <s v="Valid"/>
    <x v="3"/>
    <d v="2023-10-05T00:00:00"/>
    <n v="146"/>
    <n v="1063.28"/>
    <n v="77.087799999999987"/>
    <n v="986.19219999999996"/>
    <n v="584"/>
    <n v="402.19219999999996"/>
    <n v="0.40782334315765223"/>
    <n v="2"/>
    <s v="on time"/>
    <s v="April"/>
    <s v="Q2"/>
  </r>
  <r>
    <s v="ORD-01243"/>
    <x v="298"/>
    <d v="2025-05-01T00:00:00"/>
    <s v="CUST-0128"/>
    <s v="Iris King"/>
    <x v="1"/>
    <x v="2"/>
    <s v="TX"/>
    <s v="Austin"/>
    <x v="3"/>
    <x v="2"/>
    <s v="FUR-CHR-201"/>
    <s v="ErgoFlex Office Chair"/>
    <x v="1"/>
    <x v="11"/>
    <n v="3"/>
    <n v="267.25"/>
    <n v="0.06"/>
    <n v="23.14"/>
    <s v="High"/>
    <s v="No"/>
    <n v="4"/>
    <s v="Valid"/>
    <x v="1"/>
    <d v="2025-09-08T00:00:00"/>
    <n v="146"/>
    <n v="801.75"/>
    <n v="16.035"/>
    <n v="785.71500000000003"/>
    <n v="438"/>
    <n v="347.71500000000003"/>
    <n v="0.44254596132185336"/>
    <n v="2"/>
    <s v="on time"/>
    <s v="April"/>
    <s v="Q2"/>
  </r>
  <r>
    <s v="ORD-01439"/>
    <x v="299"/>
    <d v="2025-05-03T00:00:00"/>
    <s v="CUST-0056"/>
    <s v="Rowan Nguyen"/>
    <x v="1"/>
    <x v="3"/>
    <s v="TN"/>
    <s v="Nashville"/>
    <x v="0"/>
    <x v="5"/>
    <s v="FUR-CHR-201"/>
    <s v="ErgoFlex Office Chair"/>
    <x v="1"/>
    <x v="11"/>
    <n v="1"/>
    <n v="276.88"/>
    <n v="7.0000000000000007E-2"/>
    <n v="22.62"/>
    <s v="High"/>
    <s v="No"/>
    <n v="5"/>
    <s v="Valid"/>
    <x v="3"/>
    <d v="2025-07-10T00:00:00"/>
    <n v="146"/>
    <n v="276.88"/>
    <n v="19.381600000000002"/>
    <n v="257.4984"/>
    <n v="146"/>
    <n v="111.4984"/>
    <n v="0.43300618566950322"/>
    <n v="2"/>
    <s v="on time"/>
    <s v="May"/>
    <s v="Q2"/>
  </r>
  <r>
    <s v="ORD-01459"/>
    <x v="300"/>
    <d v="2025-05-05T00:00:00"/>
    <s v="CUST-0121"/>
    <s v="Lena Chen"/>
    <x v="0"/>
    <x v="3"/>
    <s v="NC"/>
    <s v="Charlotte"/>
    <x v="1"/>
    <x v="4"/>
    <s v="TEC-ACC-301"/>
    <s v="Wireless Keyboard and Mouse"/>
    <x v="3"/>
    <x v="10"/>
    <n v="3"/>
    <n v="61.59"/>
    <n v="0.33"/>
    <n v="5.39"/>
    <s v="Critical"/>
    <s v="No"/>
    <n v="2"/>
    <s v="Valid"/>
    <x v="0"/>
    <d v="2025-03-09T00:00:00"/>
    <n v="28"/>
    <n v="184.77"/>
    <n v="20.324700000000004"/>
    <n v="164.4453"/>
    <n v="84"/>
    <n v="80.445300000000003"/>
    <n v="0.48919184677214855"/>
    <n v="3"/>
    <s v="on time"/>
    <s v="May"/>
    <s v="Q2"/>
  </r>
  <r>
    <s v="ORD-01312"/>
    <x v="301"/>
    <d v="2025-05-08T00:00:00"/>
    <s v="CUST-0091"/>
    <s v="Morgan Garcia"/>
    <x v="1"/>
    <x v="1"/>
    <s v="WA"/>
    <s v="Seattle"/>
    <x v="2"/>
    <x v="3"/>
    <s v="FUR-STO-301"/>
    <s v="Two-Drawer File Cabinet"/>
    <x v="1"/>
    <x v="9"/>
    <n v="3"/>
    <n v="172.09"/>
    <n v="0"/>
    <n v="26.41"/>
    <s v="Critical"/>
    <s v="No"/>
    <m/>
    <s v="Valid"/>
    <x v="2"/>
    <d v="2022-11-11T00:00:00"/>
    <n v="88"/>
    <n v="516.27"/>
    <n v="0"/>
    <n v="516.27"/>
    <n v="264"/>
    <n v="252.26999999999998"/>
    <n v="0.48863966529141728"/>
    <n v="5"/>
    <s v="on time"/>
    <s v="May"/>
    <s v="Q2"/>
  </r>
  <r>
    <s v="ORD-01032"/>
    <x v="302"/>
    <d v="2025-05-11T00:00:00"/>
    <s v="CUST-0078"/>
    <s v="Reese Nguyen"/>
    <x v="0"/>
    <x v="1"/>
    <s v="WA"/>
    <s v="Seattle"/>
    <x v="1"/>
    <x v="3"/>
    <s v="FUR-CHR-201"/>
    <s v="ErgoFlex Office Chair"/>
    <x v="1"/>
    <x v="11"/>
    <n v="3"/>
    <n v="262.73"/>
    <n v="0.09"/>
    <n v="25.41"/>
    <s v="Critical"/>
    <s v="Yes"/>
    <n v="5"/>
    <s v="Valid"/>
    <x v="2"/>
    <d v="2022-12-16T00:00:00"/>
    <n v="146"/>
    <n v="788.19"/>
    <n v="23.645700000000001"/>
    <n v="764.54430000000002"/>
    <n v="438"/>
    <n v="326.54430000000002"/>
    <n v="0.42710971751407995"/>
    <n v="4"/>
    <s v="on time"/>
    <s v="May"/>
    <s v="Q2"/>
  </r>
  <r>
    <s v="ORD-01342"/>
    <x v="302"/>
    <d v="2025-05-12T00:00:00"/>
    <s v="CUST-0053"/>
    <s v="Kai Martinez"/>
    <x v="0"/>
    <x v="1"/>
    <s v="CA"/>
    <s v="Los Angeles"/>
    <x v="1"/>
    <x v="5"/>
    <s v="OFF-WRT-302"/>
    <s v="Mechanical Pencil Set"/>
    <x v="2"/>
    <x v="8"/>
    <n v="2"/>
    <n v="12.22"/>
    <n v="0.06"/>
    <n v="13.34"/>
    <s v="High"/>
    <s v="No"/>
    <m/>
    <s v="Valid"/>
    <x v="3"/>
    <d v="2025-10-01T00:00:00"/>
    <n v="5"/>
    <n v="24.44"/>
    <n v="0.73319999999999996"/>
    <n v="23.706800000000001"/>
    <n v="10"/>
    <n v="13.706800000000001"/>
    <n v="0.57818010022440824"/>
    <n v="5"/>
    <s v="on time"/>
    <s v="May"/>
    <s v="Q2"/>
  </r>
  <r>
    <s v="ORD-01299"/>
    <x v="303"/>
    <d v="2025-05-09T00:00:00"/>
    <s v="CUST-0139"/>
    <s v="Riley Clark"/>
    <x v="2"/>
    <x v="3"/>
    <s v="GA"/>
    <s v="Atlanta"/>
    <x v="0"/>
    <x v="0"/>
    <s v="FUR-STO-302"/>
    <s v="Modular Bookcase"/>
    <x v="1"/>
    <x v="9"/>
    <n v="2"/>
    <n v="237.16"/>
    <n v="0.05"/>
    <n v="22.33"/>
    <s v="Medium"/>
    <s v="No"/>
    <n v="1"/>
    <s v="Valid"/>
    <x v="1"/>
    <d v="2023-09-02T00:00:00"/>
    <n v="118"/>
    <n v="474.32"/>
    <n v="11.858000000000001"/>
    <n v="462.46199999999999"/>
    <n v="236"/>
    <n v="226.46199999999999"/>
    <n v="0.48968780137611306"/>
    <n v="1"/>
    <s v="on time"/>
    <s v="May"/>
    <s v="Q2"/>
  </r>
  <r>
    <s v="ORD-01432"/>
    <x v="303"/>
    <d v="2025-05-17T00:00:00"/>
    <s v="CUST-0005"/>
    <s v="Maya Hall"/>
    <x v="1"/>
    <x v="0"/>
    <s v="NY"/>
    <s v="New York"/>
    <x v="2"/>
    <x v="1"/>
    <s v="FUR-CHR-201"/>
    <s v="ErgoFlex Office Chair"/>
    <x v="1"/>
    <x v="11"/>
    <n v="3"/>
    <n v="274.68"/>
    <n v="0.06"/>
    <n v="28.63"/>
    <s v="Medium"/>
    <s v="No"/>
    <n v="5"/>
    <s v="Valid"/>
    <x v="0"/>
    <d v="2024-06-08T00:00:00"/>
    <n v="146"/>
    <n v="824.04"/>
    <n v="16.480799999999999"/>
    <n v="807.55919999999992"/>
    <n v="438"/>
    <n v="369.55919999999992"/>
    <n v="0.45762490229818442"/>
    <n v="9"/>
    <s v="on time"/>
    <s v="May"/>
    <s v="Q2"/>
  </r>
  <r>
    <s v="ORD-01498"/>
    <x v="303"/>
    <d v="2025-05-16T00:00:00"/>
    <s v="CUST-0057"/>
    <s v="Morgan Lopez"/>
    <x v="2"/>
    <x v="1"/>
    <s v="CA"/>
    <s v="Los Angeles"/>
    <x v="3"/>
    <x v="0"/>
    <s v="APP-CLN-202"/>
    <s v="Robot Vacuum"/>
    <x v="0"/>
    <x v="3"/>
    <n v="4"/>
    <n v="307.11"/>
    <n v="7.0000000000000007E-2"/>
    <n v="15.37"/>
    <s v="High"/>
    <s v="No"/>
    <m/>
    <s v="Valid"/>
    <x v="2"/>
    <d v="2025-02-02T00:00:00"/>
    <n v="165"/>
    <n v="1228.44"/>
    <n v="21.497700000000002"/>
    <n v="1206.9423000000002"/>
    <n v="660"/>
    <n v="546.94230000000016"/>
    <n v="0.45316358536775131"/>
    <n v="8"/>
    <s v="on time"/>
    <s v="May"/>
    <s v="Q2"/>
  </r>
  <r>
    <s v="ORD-01428"/>
    <x v="304"/>
    <d v="2025-05-13T00:00:00"/>
    <s v="CUST-0148"/>
    <s v="Alex Wright"/>
    <x v="1"/>
    <x v="3"/>
    <s v="FL"/>
    <s v="Miami"/>
    <x v="1"/>
    <x v="5"/>
    <s v="TEC-MON-201"/>
    <s v="ClearView 27 Monitor"/>
    <x v="3"/>
    <x v="4"/>
    <n v="2"/>
    <n v="286.33999999999997"/>
    <n v="0.08"/>
    <n v="21.5"/>
    <s v="Medium"/>
    <s v="No"/>
    <n v="2"/>
    <s v="Valid"/>
    <x v="1"/>
    <d v="2025-01-13T00:00:00"/>
    <n v="168"/>
    <n v="572.67999999999995"/>
    <n v="22.9072"/>
    <n v="549.77279999999996"/>
    <n v="336"/>
    <n v="213.77279999999996"/>
    <n v="0.38883844380806032"/>
    <n v="4"/>
    <s v="on time"/>
    <s v="May"/>
    <s v="Q2"/>
  </r>
  <r>
    <s v="ORD-01672"/>
    <x v="305"/>
    <d v="2025-05-11T00:00:00"/>
    <s v="CUST-0045"/>
    <s v="Jamie Brown"/>
    <x v="1"/>
    <x v="0"/>
    <s v="MA"/>
    <s v="Boston"/>
    <x v="3"/>
    <x v="2"/>
    <s v="TEC-ACC-302"/>
    <s v="USB-C Docking Station"/>
    <x v="3"/>
    <x v="10"/>
    <n v="1"/>
    <n v="146.13999999999999"/>
    <n v="0.03"/>
    <n v="16.649999999999999"/>
    <s v="Medium"/>
    <s v="No"/>
    <n v="4"/>
    <s v="Valid"/>
    <x v="1"/>
    <d v="2022-06-25T00:00:00"/>
    <n v="72"/>
    <n v="146.13999999999999"/>
    <n v="4.384199999999999"/>
    <n v="141.75579999999999"/>
    <n v="72"/>
    <n v="69.755799999999994"/>
    <n v="0.49208427450587555"/>
    <n v="1"/>
    <s v="on time"/>
    <s v="May"/>
    <s v="Q2"/>
  </r>
  <r>
    <s v="ORD-01055"/>
    <x v="306"/>
    <d v="2025-05-22T00:00:00"/>
    <s v="CUST-0140"/>
    <s v="Sam Allen"/>
    <x v="0"/>
    <x v="1"/>
    <s v="WA"/>
    <s v="Seattle"/>
    <x v="0"/>
    <x v="2"/>
    <s v="OFF-BIN-202"/>
    <s v="Presentation Folder Box"/>
    <x v="2"/>
    <x v="6"/>
    <n v="2"/>
    <n v="29.09"/>
    <n v="0"/>
    <n v="10.81"/>
    <s v="Critical"/>
    <s v="No"/>
    <n v="5"/>
    <s v="Valid"/>
    <x v="2"/>
    <d v="2022-07-22T00:00:00"/>
    <n v="14"/>
    <n v="58.18"/>
    <n v="0"/>
    <n v="58.18"/>
    <n v="28"/>
    <n v="30.18"/>
    <n v="0.51873496046751466"/>
    <n v="10"/>
    <s v="on time"/>
    <s v="May"/>
    <s v="Q2"/>
  </r>
  <r>
    <s v="ORD-01710"/>
    <x v="306"/>
    <d v="2025-05-17T00:00:00"/>
    <s v="CUST-0067"/>
    <s v="Priya Miller"/>
    <x v="1"/>
    <x v="3"/>
    <s v="FL"/>
    <s v="Miami"/>
    <x v="1"/>
    <x v="4"/>
    <s v="FUR-CHR-201"/>
    <s v="ErgoFlex Office Chair"/>
    <x v="1"/>
    <x v="11"/>
    <n v="4"/>
    <n v="278.70999999999998"/>
    <n v="7.0000000000000007E-2"/>
    <n v="29.44"/>
    <s v="Critical"/>
    <s v="No"/>
    <m/>
    <s v="Valid"/>
    <x v="2"/>
    <d v="2023-12-14T00:00:00"/>
    <n v="146"/>
    <n v="1114.8399999999999"/>
    <n v="19.509699999999999"/>
    <n v="1095.3302999999999"/>
    <n v="584"/>
    <n v="511.33029999999985"/>
    <n v="0.46682749486616038"/>
    <n v="5"/>
    <s v="on time"/>
    <s v="May"/>
    <s v="Q2"/>
  </r>
  <r>
    <s v="ORD-01034"/>
    <x v="307"/>
    <d v="2025-05-11T00:00:00"/>
    <s v="CUST-0060"/>
    <s v="Owen Johnson"/>
    <x v="2"/>
    <x v="1"/>
    <s v="OR"/>
    <s v="Portland"/>
    <x v="3"/>
    <x v="3"/>
    <s v="OFF-PAP-102"/>
    <s v="Recycled Notebook Pack"/>
    <x v="2"/>
    <x v="12"/>
    <n v="5"/>
    <n v="22.44"/>
    <n v="0.09"/>
    <n v="16.55"/>
    <s v="Medium"/>
    <s v="No"/>
    <n v="5"/>
    <s v="Invalid Date"/>
    <x v="1"/>
    <d v="2022-12-08T00:00:00"/>
    <n v="10"/>
    <n v="112.2"/>
    <n v="2.0196000000000001"/>
    <n v="110.18040000000001"/>
    <n v="50"/>
    <n v="60.180400000000006"/>
    <n v="0.54619877945623729"/>
    <n v="-2"/>
    <s v="on time"/>
    <s v="May"/>
    <s v="Q2"/>
  </r>
  <r>
    <s v="ORD-01346"/>
    <x v="308"/>
    <d v="2025-05-23T00:00:00"/>
    <s v="CUST-0165"/>
    <s v="Maya Wilson"/>
    <x v="1"/>
    <x v="0"/>
    <s v="MA"/>
    <s v="Boston"/>
    <x v="0"/>
    <x v="0"/>
    <s v="TEC-LAP-102"/>
    <s v="ApexBook Pro 16 Laptop"/>
    <x v="3"/>
    <x v="7"/>
    <n v="2"/>
    <n v="1448.98"/>
    <n v="0.31"/>
    <n v="22.82"/>
    <s v="Critical"/>
    <s v="No"/>
    <n v="1"/>
    <s v="Valid"/>
    <x v="0"/>
    <d v="2022-12-14T00:00:00"/>
    <n v="885"/>
    <n v="2897.96"/>
    <n v="449.18380000000002"/>
    <n v="2448.7762000000002"/>
    <n v="1770"/>
    <n v="678.77620000000024"/>
    <n v="0.27718996942227719"/>
    <n v="8"/>
    <s v="on time"/>
    <s v="May"/>
    <s v="Q2"/>
  </r>
  <r>
    <s v="ORD-01675"/>
    <x v="309"/>
    <d v="2025-05-21T00:00:00"/>
    <s v="CUST-0096"/>
    <s v="Mila Wilson"/>
    <x v="0"/>
    <x v="0"/>
    <s v="VA"/>
    <s v="Richmond"/>
    <x v="0"/>
    <x v="4"/>
    <s v="TEC-NET-402"/>
    <s v="8-Port Network Switch"/>
    <x v="3"/>
    <x v="5"/>
    <n v="1"/>
    <n v="83.81"/>
    <n v="0.2"/>
    <n v="9.7200000000000006"/>
    <s v="Low"/>
    <s v="No"/>
    <n v="4"/>
    <s v="Valid"/>
    <x v="0"/>
    <d v="2025-12-08T00:00:00"/>
    <n v="44"/>
    <n v="83.81"/>
    <n v="16.762"/>
    <n v="67.048000000000002"/>
    <n v="44"/>
    <n v="23.048000000000002"/>
    <n v="0.34375372867199622"/>
    <n v="5"/>
    <s v="on time"/>
    <s v="May"/>
    <s v="Q2"/>
  </r>
  <r>
    <s v="ORD-01154"/>
    <x v="310"/>
    <d v="2025-05-27T00:00:00"/>
    <s v="CUST-0043"/>
    <s v="Noah Wilson"/>
    <x v="2"/>
    <x v="3"/>
    <s v="FL"/>
    <s v="Miami"/>
    <x v="1"/>
    <x v="5"/>
    <s v="APP-CLN-202"/>
    <s v="Robot Vacuum"/>
    <x v="0"/>
    <x v="3"/>
    <n v="5"/>
    <n v="329.25"/>
    <n v="0"/>
    <n v="6.67"/>
    <s v="Critical"/>
    <s v="No"/>
    <n v="4"/>
    <s v="Valid"/>
    <x v="2"/>
    <d v="2024-04-03T00:00:00"/>
    <n v="165"/>
    <n v="1646.25"/>
    <n v="0"/>
    <n v="1646.25"/>
    <n v="825"/>
    <n v="821.25"/>
    <n v="0.49886104783599089"/>
    <n v="10"/>
    <s v="on time"/>
    <s v="May"/>
    <s v="Q2"/>
  </r>
  <r>
    <s v="ORD-01652"/>
    <x v="310"/>
    <d v="2025-05-22T00:00:00"/>
    <s v="CUST-0066"/>
    <s v="Kai Robinson"/>
    <x v="2"/>
    <x v="2"/>
    <s v="IL"/>
    <s v="Chicago"/>
    <x v="2"/>
    <x v="3"/>
    <s v="FUR-STO-301"/>
    <s v="Two-Drawer File Cabinet"/>
    <x v="1"/>
    <x v="9"/>
    <n v="4"/>
    <n v="177.6"/>
    <n v="0.02"/>
    <n v="24.36"/>
    <s v="Low"/>
    <s v="No"/>
    <n v="4"/>
    <s v="Valid"/>
    <x v="3"/>
    <d v="2024-02-11T00:00:00"/>
    <n v="88"/>
    <n v="710.4"/>
    <n v="3.552"/>
    <n v="706.84799999999996"/>
    <n v="352"/>
    <n v="354.84799999999996"/>
    <n v="0.50201457739146182"/>
    <n v="5"/>
    <s v="on time"/>
    <s v="May"/>
    <s v="Q2"/>
  </r>
  <r>
    <s v="ORD-01602"/>
    <x v="311"/>
    <d v="2025-05-21T00:00:00"/>
    <s v="CUST-0086"/>
    <s v="Rowan Hall"/>
    <x v="0"/>
    <x v="0"/>
    <s v="VA"/>
    <s v="Richmond"/>
    <x v="1"/>
    <x v="1"/>
    <s v="FUR-DSK-102"/>
    <s v="Executive Desk 60"/>
    <x v="1"/>
    <x v="1"/>
    <n v="4"/>
    <n v="453"/>
    <n v="0.01"/>
    <n v="23.38"/>
    <s v="Low"/>
    <s v="No"/>
    <m/>
    <s v="Valid"/>
    <x v="3"/>
    <d v="2022-09-14T00:00:00"/>
    <n v="265"/>
    <n v="1812"/>
    <n v="4.53"/>
    <n v="1807.47"/>
    <n v="1060"/>
    <n v="747.47"/>
    <n v="0.4135448997770364"/>
    <n v="2"/>
    <s v="on time"/>
    <s v="May"/>
    <s v="Q2"/>
  </r>
  <r>
    <s v="ORD-01591"/>
    <x v="312"/>
    <d v="2025-05-31T00:00:00"/>
    <s v="CUST-0093"/>
    <s v="Iris Miller"/>
    <x v="2"/>
    <x v="0"/>
    <s v="NJ"/>
    <s v="Newark"/>
    <x v="0"/>
    <x v="2"/>
    <s v="OFF-PAP-101"/>
    <s v="Premium Copy Paper Case"/>
    <x v="2"/>
    <x v="12"/>
    <n v="2"/>
    <n v="40.200000000000003"/>
    <n v="0.01"/>
    <n v="12.11"/>
    <s v="Medium"/>
    <s v="No"/>
    <n v="1"/>
    <s v="Valid"/>
    <x v="0"/>
    <d v="2023-11-13T00:00:00"/>
    <n v="20"/>
    <n v="80.400000000000006"/>
    <n v="0.40200000000000002"/>
    <n v="79.998000000000005"/>
    <n v="40"/>
    <n v="39.998000000000005"/>
    <n v="0.49998749968749223"/>
    <n v="10"/>
    <s v="on time"/>
    <s v="May"/>
    <s v="Q2"/>
  </r>
  <r>
    <s v="ORD-01626"/>
    <x v="312"/>
    <d v="2025-05-27T00:00:00"/>
    <s v="CUST-0125"/>
    <s v="Iris Lopez"/>
    <x v="1"/>
    <x v="2"/>
    <s v="MN"/>
    <s v="Minneapolis"/>
    <x v="2"/>
    <x v="5"/>
    <s v="APP-CLN-202"/>
    <s v="Robot Vacuum"/>
    <x v="0"/>
    <x v="3"/>
    <n v="8"/>
    <n v="301.67"/>
    <n v="7.0000000000000007E-2"/>
    <n v="8.48"/>
    <s v="Critical"/>
    <s v="No"/>
    <n v="5"/>
    <s v="Valid"/>
    <x v="0"/>
    <d v="2023-10-02T00:00:00"/>
    <n v="165"/>
    <n v="2413.36"/>
    <n v="21.116900000000005"/>
    <n v="2392.2431000000001"/>
    <n v="1320"/>
    <n v="1072.2431000000001"/>
    <n v="0.4482166131025731"/>
    <n v="6"/>
    <s v="on time"/>
    <s v="May"/>
    <s v="Q2"/>
  </r>
  <r>
    <s v="ORD-01599"/>
    <x v="313"/>
    <d v="2025-06-01T00:00:00"/>
    <s v="CUST-0060"/>
    <s v="Owen Johnson"/>
    <x v="2"/>
    <x v="1"/>
    <s v="OR"/>
    <s v="Portland"/>
    <x v="0"/>
    <x v="0"/>
    <s v="FUR-DSK-101"/>
    <s v="Standing Desk 48"/>
    <x v="1"/>
    <x v="1"/>
    <n v="3"/>
    <n v="315.76"/>
    <n v="0.12"/>
    <n v="25.97"/>
    <s v="Medium"/>
    <s v="Yes"/>
    <n v="1"/>
    <s v="Valid"/>
    <x v="1"/>
    <d v="2022-12-08T00:00:00"/>
    <n v="184"/>
    <n v="947.28"/>
    <n v="37.891199999999998"/>
    <n v="909.38879999999995"/>
    <n v="552"/>
    <n v="357.38879999999995"/>
    <n v="0.39299890211975336"/>
    <n v="10"/>
    <s v="on time"/>
    <s v="May"/>
    <s v="Q2"/>
  </r>
  <r>
    <s v="ORD-01705"/>
    <x v="313"/>
    <d v="2025-05-28T00:00:00"/>
    <s v="CUST-0095"/>
    <s v="Drew Martinez"/>
    <x v="2"/>
    <x v="1"/>
    <s v="CA"/>
    <s v="Los Angeles"/>
    <x v="2"/>
    <x v="0"/>
    <s v="TEC-NET-401"/>
    <s v="Mesh Wi-Fi Router"/>
    <x v="3"/>
    <x v="5"/>
    <n v="1"/>
    <n v="182.55"/>
    <n v="0.05"/>
    <n v="6.67"/>
    <s v="Critical"/>
    <s v="No"/>
    <m/>
    <s v="Valid"/>
    <x v="2"/>
    <d v="2023-07-08T00:00:00"/>
    <n v="96"/>
    <n v="182.55"/>
    <n v="9.1275000000000013"/>
    <n v="173.42250000000001"/>
    <n v="96"/>
    <n v="77.422500000000014"/>
    <n v="0.4464386109068893"/>
    <n v="6"/>
    <s v="on time"/>
    <s v="May"/>
    <s v="Q2"/>
  </r>
  <r>
    <s v="ORD-01144"/>
    <x v="314"/>
    <d v="2025-05-29T00:00:00"/>
    <s v="CUST-0143"/>
    <s v="Reese Brown"/>
    <x v="0"/>
    <x v="1"/>
    <s v="CA"/>
    <s v="Los Angeles"/>
    <x v="0"/>
    <x v="4"/>
    <s v="FUR-STO-301"/>
    <s v="Two-Drawer File Cabinet"/>
    <x v="1"/>
    <x v="9"/>
    <n v="4"/>
    <n v="173.97"/>
    <n v="0.23"/>
    <n v="19.149999999999999"/>
    <s v="Medium"/>
    <s v="No"/>
    <n v="5"/>
    <s v="Valid"/>
    <x v="2"/>
    <d v="2021-02-14T00:00:00"/>
    <n v="88"/>
    <n v="695.88"/>
    <n v="40.013100000000001"/>
    <n v="655.86689999999999"/>
    <n v="352"/>
    <n v="303.86689999999999"/>
    <n v="0.46330574084467441"/>
    <n v="5"/>
    <s v="on time"/>
    <s v="May"/>
    <s v="Q2"/>
  </r>
  <r>
    <s v="ORD-01442"/>
    <x v="314"/>
    <d v="2025-05-30T00:00:00"/>
    <s v="CUST-0071"/>
    <s v="Avery Scott"/>
    <x v="1"/>
    <x v="3"/>
    <s v="LA"/>
    <s v="New Orleans"/>
    <x v="3"/>
    <x v="1"/>
    <s v="APP-KIT-101"/>
    <s v="Compact Coffee Brewer"/>
    <x v="0"/>
    <x v="0"/>
    <n v="5"/>
    <n v="94.76"/>
    <n v="0.06"/>
    <n v="14.71"/>
    <s v="Critical"/>
    <s v="No"/>
    <n v="3"/>
    <s v="Valid"/>
    <x v="2"/>
    <d v="2023-02-18T00:00:00"/>
    <n v="48"/>
    <n v="473.8"/>
    <n v="5.6856"/>
    <n v="468.11439999999999"/>
    <n v="240"/>
    <n v="228.11439999999999"/>
    <n v="0.48730481266972347"/>
    <n v="6"/>
    <s v="on time"/>
    <s v="May"/>
    <s v="Q2"/>
  </r>
  <r>
    <s v="ORD-01719"/>
    <x v="314"/>
    <d v="2025-05-28T00:00:00"/>
    <s v="CUST-0136"/>
    <s v="Taylor Robinson"/>
    <x v="0"/>
    <x v="1"/>
    <s v="WA"/>
    <s v="Seattle"/>
    <x v="0"/>
    <x v="2"/>
    <s v="OFF-SUP-402"/>
    <s v="Label Maker"/>
    <x v="2"/>
    <x v="2"/>
    <n v="3"/>
    <n v="72.81"/>
    <n v="0.03"/>
    <n v="9.3699999999999992"/>
    <s v="Critical"/>
    <s v="No"/>
    <n v="4"/>
    <s v="Valid"/>
    <x v="2"/>
    <d v="2023-11-25T00:00:00"/>
    <n v="36"/>
    <n v="218.43"/>
    <n v="2.1842999999999999"/>
    <n v="216.2457"/>
    <n v="108"/>
    <n v="108.2457"/>
    <n v="0.50056810378194805"/>
    <n v="4"/>
    <s v="on time"/>
    <s v="May"/>
    <s v="Q2"/>
  </r>
  <r>
    <s v="ORD-01378"/>
    <x v="315"/>
    <d v="2025-05-26T00:00:00"/>
    <s v="CUST-0002"/>
    <s v="Lena Martinez"/>
    <x v="1"/>
    <x v="3"/>
    <s v="TN"/>
    <s v="Nashville"/>
    <x v="2"/>
    <x v="5"/>
    <s v="TEC-NET-402"/>
    <s v="8-Port Network Switch"/>
    <x v="3"/>
    <x v="5"/>
    <n v="3"/>
    <n v="93.56"/>
    <n v="0.12"/>
    <n v="15.96"/>
    <s v="Critical"/>
    <s v="No"/>
    <n v="1"/>
    <s v="Valid"/>
    <x v="1"/>
    <d v="2024-11-20T00:00:00"/>
    <n v="44"/>
    <n v="280.68"/>
    <n v="11.2272"/>
    <n v="269.45280000000002"/>
    <n v="132"/>
    <n v="137.45280000000002"/>
    <n v="0.51011828416702298"/>
    <n v="1"/>
    <s v="on time"/>
    <s v="May"/>
    <s v="Q2"/>
  </r>
  <r>
    <s v="ORD-01457"/>
    <x v="315"/>
    <d v="2025-05-28T00:00:00"/>
    <s v="CUST-0048"/>
    <s v="Drew Clark"/>
    <x v="1"/>
    <x v="0"/>
    <s v="NY"/>
    <s v="New York"/>
    <x v="1"/>
    <x v="0"/>
    <s v="FUR-CHR-202"/>
    <s v="Mesh Conference Chair"/>
    <x v="1"/>
    <x v="11"/>
    <n v="2"/>
    <n v="151.76"/>
    <n v="7.0000000000000007E-2"/>
    <n v="22.28"/>
    <s v="Medium"/>
    <s v="No"/>
    <n v="4"/>
    <s v="Valid"/>
    <x v="2"/>
    <d v="2025-08-10T00:00:00"/>
    <n v="82"/>
    <n v="303.52"/>
    <n v="10.623200000000001"/>
    <n v="292.89679999999998"/>
    <n v="164"/>
    <n v="128.89679999999998"/>
    <n v="0.44007582192772332"/>
    <n v="3"/>
    <s v="on time"/>
    <s v="May"/>
    <s v="Q2"/>
  </r>
  <r>
    <s v="ORD-01524"/>
    <x v="315"/>
    <d v="2025-05-26T00:00:00"/>
    <s v="CUST-0038"/>
    <s v="Jordan Walker"/>
    <x v="0"/>
    <x v="0"/>
    <s v="PA"/>
    <s v="Philadelphia"/>
    <x v="3"/>
    <x v="0"/>
    <s v="OFF-PAP-101"/>
    <s v="Premium Copy Paper Case"/>
    <x v="2"/>
    <x v="12"/>
    <n v="10"/>
    <n v="37.29"/>
    <n v="0.06"/>
    <n v="8.86"/>
    <s v="Medium"/>
    <s v="No"/>
    <n v="4"/>
    <s v="Valid"/>
    <x v="1"/>
    <d v="2021-09-22T00:00:00"/>
    <n v="20"/>
    <n v="372.9"/>
    <n v="2.2374000000000001"/>
    <n v="370.6626"/>
    <n v="200"/>
    <n v="170.6626"/>
    <n v="0.46042573488665972"/>
    <n v="1"/>
    <s v="on time"/>
    <s v="May"/>
    <s v="Q2"/>
  </r>
  <r>
    <s v="ORD-01537"/>
    <x v="316"/>
    <d v="2025-05-28T00:00:00"/>
    <s v="CUST-0113"/>
    <s v="Priya Smith"/>
    <x v="2"/>
    <x v="2"/>
    <s v="CO"/>
    <s v="Denver"/>
    <x v="1"/>
    <x v="2"/>
    <s v="FUR-DSK-102"/>
    <s v="Executive Desk 60"/>
    <x v="1"/>
    <x v="1"/>
    <n v="3"/>
    <n v="446.92"/>
    <n v="0.06"/>
    <n v="20.86"/>
    <s v="Medium"/>
    <s v="No"/>
    <n v="2"/>
    <s v="Valid"/>
    <x v="1"/>
    <d v="2021-01-23T00:00:00"/>
    <n v="265"/>
    <n v="1340.76"/>
    <n v="26.815200000000001"/>
    <n v="1313.9448"/>
    <n v="795"/>
    <n v="518.94479999999999"/>
    <n v="0.39495175139777561"/>
    <n v="2"/>
    <s v="on time"/>
    <s v="May"/>
    <s v="Q2"/>
  </r>
  <r>
    <s v="ORD-01282"/>
    <x v="317"/>
    <d v="2025-05-29T00:00:00"/>
    <s v="CUST-0047"/>
    <s v="Reese Miller"/>
    <x v="0"/>
    <x v="3"/>
    <s v="FL"/>
    <s v="Miami"/>
    <x v="3"/>
    <x v="1"/>
    <s v="APP-KIT-101"/>
    <s v="Compact Coffee Brewer"/>
    <x v="0"/>
    <x v="0"/>
    <n v="9"/>
    <n v="91.52"/>
    <n v="0.81"/>
    <n v="6.35"/>
    <s v="Low"/>
    <s v="No"/>
    <n v="1"/>
    <s v="Valid"/>
    <x v="1"/>
    <d v="2021-07-19T00:00:00"/>
    <n v="48"/>
    <n v="823.68"/>
    <n v="74.131200000000007"/>
    <n v="749.54879999999991"/>
    <n v="432"/>
    <n v="317.54879999999991"/>
    <n v="0.42365326980711587"/>
    <n v="2"/>
    <s v="on time"/>
    <s v="May"/>
    <s v="Q2"/>
  </r>
  <r>
    <s v="ORD-01023"/>
    <x v="318"/>
    <d v="2025-06-05T00:00:00"/>
    <s v="CUST-0090"/>
    <s v="Reese Davis"/>
    <x v="1"/>
    <x v="0"/>
    <s v="MA"/>
    <s v="Boston"/>
    <x v="1"/>
    <x v="3"/>
    <s v="OFF-BIN-201"/>
    <s v="Heavy-Duty Binder 12-Pack"/>
    <x v="2"/>
    <x v="6"/>
    <n v="2"/>
    <n v="34.450000000000003"/>
    <n v="0.06"/>
    <n v="16.559999999999999"/>
    <s v="Low"/>
    <s v="No"/>
    <n v="3"/>
    <s v="Valid"/>
    <x v="2"/>
    <d v="2025-05-10T00:00:00"/>
    <n v="18"/>
    <n v="68.900000000000006"/>
    <n v="2.0670000000000002"/>
    <n v="66.832999999999998"/>
    <n v="36"/>
    <n v="30.832999999999998"/>
    <n v="0.46134394685260277"/>
    <n v="8"/>
    <s v="on time"/>
    <s v="May"/>
    <s v="Q2"/>
  </r>
  <r>
    <s v="ORD-01630"/>
    <x v="318"/>
    <d v="2025-06-07T00:00:00"/>
    <s v="CUST-0020"/>
    <s v="Taylor Robinson"/>
    <x v="2"/>
    <x v="3"/>
    <s v="NC"/>
    <s v="Charlotte"/>
    <x v="0"/>
    <x v="2"/>
    <s v="FUR-DSK-102"/>
    <s v="Executive Desk 60"/>
    <x v="1"/>
    <x v="1"/>
    <n v="1"/>
    <n v="429.86"/>
    <n v="0.01"/>
    <n v="23.18"/>
    <s v="High"/>
    <s v="No"/>
    <n v="1"/>
    <s v="Valid"/>
    <x v="3"/>
    <d v="2021-11-24T00:00:00"/>
    <n v="265"/>
    <n v="429.86"/>
    <n v="4.2986000000000004"/>
    <n v="425.56139999999999"/>
    <n v="265"/>
    <n v="160.56139999999999"/>
    <n v="0.37729314735781955"/>
    <n v="10"/>
    <s v="on time"/>
    <s v="May"/>
    <s v="Q2"/>
  </r>
  <r>
    <s v="ORD-01641"/>
    <x v="318"/>
    <d v="2025-06-01T00:00:00"/>
    <s v="CUST-0057"/>
    <s v="Morgan Lopez"/>
    <x v="2"/>
    <x v="1"/>
    <s v="CA"/>
    <s v="Los Angeles"/>
    <x v="1"/>
    <x v="5"/>
    <s v="FUR-DSK-101"/>
    <s v="Standing Desk 48"/>
    <x v="1"/>
    <x v="1"/>
    <n v="2"/>
    <n v="340.52"/>
    <n v="0.24"/>
    <n v="18.68"/>
    <s v="Medium"/>
    <s v="No"/>
    <n v="3"/>
    <s v="Valid"/>
    <x v="2"/>
    <d v="2025-02-02T00:00:00"/>
    <n v="184"/>
    <n v="681.04"/>
    <n v="81.724799999999988"/>
    <n v="599.3152"/>
    <n v="368"/>
    <n v="231.3152"/>
    <n v="0.38596584902235087"/>
    <n v="4"/>
    <s v="on time"/>
    <s v="May"/>
    <s v="Q2"/>
  </r>
  <r>
    <s v="ORD-01718"/>
    <x v="319"/>
    <d v="2025-06-07T00:00:00"/>
    <s v="CUST-0135"/>
    <s v="Nia Miller"/>
    <x v="0"/>
    <x v="1"/>
    <s v="CA"/>
    <s v="San Diego"/>
    <x v="2"/>
    <x v="0"/>
    <s v="TEC-ACC-302"/>
    <s v="USB-C Docking Station"/>
    <x v="3"/>
    <x v="10"/>
    <n v="3"/>
    <n v="140.34"/>
    <n v="0.01"/>
    <n v="22.16"/>
    <s v="High"/>
    <s v="No"/>
    <n v="5"/>
    <s v="Valid"/>
    <x v="2"/>
    <d v="2022-05-18T00:00:00"/>
    <n v="72"/>
    <n v="421.02"/>
    <n v="1.4034"/>
    <n v="419.61660000000001"/>
    <n v="216"/>
    <n v="203.61660000000001"/>
    <n v="0.48524438737647652"/>
    <n v="9"/>
    <s v="on time"/>
    <s v="May"/>
    <s v="Q2"/>
  </r>
  <r>
    <s v="ORD-01145"/>
    <x v="320"/>
    <d v="2025-06-01T00:00:00"/>
    <s v="CUST-0059"/>
    <s v="Avery Young"/>
    <x v="1"/>
    <x v="1"/>
    <s v="CA"/>
    <s v="San Diego"/>
    <x v="0"/>
    <x v="1"/>
    <s v="OFF-WRT-301"/>
    <s v="Gel Pen Variety Pack"/>
    <x v="2"/>
    <x v="8"/>
    <n v="3"/>
    <n v="15.11"/>
    <n v="0.28999999999999998"/>
    <n v="14.71"/>
    <s v="Critical"/>
    <s v="No"/>
    <n v="1"/>
    <s v="Valid"/>
    <x v="0"/>
    <d v="2021-10-07T00:00:00"/>
    <n v="6"/>
    <n v="45.33"/>
    <n v="4.3818999999999999"/>
    <n v="40.948099999999997"/>
    <n v="18"/>
    <n v="22.948099999999997"/>
    <n v="0.5604191647475707"/>
    <n v="1"/>
    <s v="on time"/>
    <s v="May"/>
    <s v="Q2"/>
  </r>
  <r>
    <s v="ORD-01182"/>
    <x v="320"/>
    <d v="2025-06-01T00:00:00"/>
    <s v="CUST-0013"/>
    <s v="Drew Allen"/>
    <x v="2"/>
    <x v="3"/>
    <s v="FL"/>
    <s v="Miami"/>
    <x v="2"/>
    <x v="1"/>
    <s v="APP-CLN-202"/>
    <s v="Robot Vacuum"/>
    <x v="0"/>
    <x v="3"/>
    <n v="9"/>
    <n v="305.58999999999997"/>
    <n v="0.04"/>
    <n v="10.94"/>
    <s v="Medium"/>
    <s v="No"/>
    <n v="5"/>
    <s v="Valid"/>
    <x v="3"/>
    <d v="2025-08-16T00:00:00"/>
    <n v="165"/>
    <n v="2750.31"/>
    <n v="12.223599999999999"/>
    <n v="2738.0864000000001"/>
    <n v="1485"/>
    <n v="1253.0864000000001"/>
    <n v="0.4576504233029316"/>
    <n v="1"/>
    <s v="on time"/>
    <s v="May"/>
    <s v="Q2"/>
  </r>
  <r>
    <s v="ORD-01001"/>
    <x v="321"/>
    <d v="2025-06-12T00:00:00"/>
    <s v="CUST-0022"/>
    <s v="Sam Allen"/>
    <x v="2"/>
    <x v="2"/>
    <s v="TX"/>
    <s v="Austin"/>
    <x v="3"/>
    <x v="0"/>
    <s v="TEC-LAP-101"/>
    <s v="ApexBook 14 Laptop"/>
    <x v="3"/>
    <x v="7"/>
    <n v="2"/>
    <n v="929.35"/>
    <n v="0.12"/>
    <n v="5.64"/>
    <s v="Medium"/>
    <s v="No"/>
    <m/>
    <s v="Valid"/>
    <x v="3"/>
    <d v="2024-03-21T00:00:00"/>
    <n v="585"/>
    <n v="1858.7"/>
    <n v="111.52200000000001"/>
    <n v="1747.1780000000001"/>
    <n v="1170"/>
    <n v="577.17800000000011"/>
    <n v="0.33034871089265094"/>
    <n v="10"/>
    <s v="on time"/>
    <s v="June"/>
    <s v="Q2"/>
  </r>
  <r>
    <s v="ORD-01618"/>
    <x v="322"/>
    <d v="2025-06-13T00:00:00"/>
    <s v="CUST-0085"/>
    <s v="Avery Chen"/>
    <x v="2"/>
    <x v="2"/>
    <s v="OH"/>
    <s v="Columbus"/>
    <x v="1"/>
    <x v="5"/>
    <s v="OFF-BIN-202"/>
    <s v="Presentation Folder Box"/>
    <x v="2"/>
    <x v="6"/>
    <n v="6"/>
    <n v="28.13"/>
    <n v="0.03"/>
    <n v="7.35"/>
    <s v="Critical"/>
    <s v="No"/>
    <n v="1"/>
    <s v="Valid"/>
    <x v="1"/>
    <d v="2025-07-20T00:00:00"/>
    <n v="14"/>
    <n v="168.78"/>
    <n v="0.84389999999999998"/>
    <n v="167.93610000000001"/>
    <n v="84"/>
    <n v="83.93610000000001"/>
    <n v="0.49980974906526948"/>
    <n v="10"/>
    <s v="on time"/>
    <s v="June"/>
    <s v="Q2"/>
  </r>
  <r>
    <s v="ORD-01544"/>
    <x v="323"/>
    <d v="2025-06-07T00:00:00"/>
    <s v="CUST-0123"/>
    <s v="Taylor Wright"/>
    <x v="1"/>
    <x v="1"/>
    <s v="CA"/>
    <s v="San Diego"/>
    <x v="3"/>
    <x v="1"/>
    <s v="OFF-WRT-302"/>
    <s v="Mechanical Pencil Set"/>
    <x v="2"/>
    <x v="8"/>
    <n v="6"/>
    <n v="12.01"/>
    <n v="0.11"/>
    <n v="16.84"/>
    <s v="Low"/>
    <s v="No"/>
    <n v="3"/>
    <s v="Valid"/>
    <x v="0"/>
    <d v="2024-07-22T00:00:00"/>
    <n v="5"/>
    <n v="72.06"/>
    <n v="1.3210999999999999"/>
    <n v="70.738900000000001"/>
    <n v="30"/>
    <n v="40.738900000000001"/>
    <n v="0.57590519501999604"/>
    <n v="2"/>
    <s v="on time"/>
    <s v="June"/>
    <s v="Q2"/>
  </r>
  <r>
    <s v="ORD-01698"/>
    <x v="323"/>
    <d v="2025-06-11T00:00:00"/>
    <s v="CUST-0099"/>
    <s v="Jamie Clark"/>
    <x v="0"/>
    <x v="3"/>
    <s v="FL"/>
    <s v="Miami"/>
    <x v="1"/>
    <x v="5"/>
    <s v="TEC-LAP-102"/>
    <s v="ApexBook Pro 16 Laptop"/>
    <x v="3"/>
    <x v="7"/>
    <n v="4"/>
    <n v="1355.58"/>
    <n v="0.11"/>
    <n v="14.09"/>
    <s v="Medium"/>
    <s v="No"/>
    <n v="2"/>
    <s v="Valid"/>
    <x v="3"/>
    <d v="2025-04-09T00:00:00"/>
    <n v="885"/>
    <n v="5422.32"/>
    <n v="149.1138"/>
    <n v="5273.2061999999996"/>
    <n v="3540"/>
    <n v="1733.2061999999996"/>
    <n v="0.32868166619389921"/>
    <n v="6"/>
    <s v="on time"/>
    <s v="June"/>
    <s v="Q2"/>
  </r>
  <r>
    <s v="ORD-01352"/>
    <x v="324"/>
    <d v="2025-06-13T00:00:00"/>
    <s v="CUST-0118"/>
    <s v="Maya Garcia"/>
    <x v="0"/>
    <x v="1"/>
    <s v="CA"/>
    <s v="San Diego"/>
    <x v="2"/>
    <x v="2"/>
    <s v="OFF-WRT-301"/>
    <s v="Gel Pen Variety Pack"/>
    <x v="2"/>
    <x v="8"/>
    <n v="9"/>
    <n v="14.28"/>
    <n v="0.25"/>
    <n v="13.93"/>
    <s v="Low"/>
    <s v="No"/>
    <n v="4"/>
    <s v="Valid"/>
    <x v="3"/>
    <d v="2021-02-09T00:00:00"/>
    <n v="6"/>
    <n v="128.51999999999998"/>
    <n v="3.57"/>
    <n v="124.94999999999999"/>
    <n v="54"/>
    <n v="70.949999999999989"/>
    <n v="0.56782713085234093"/>
    <n v="6"/>
    <s v="on time"/>
    <s v="June"/>
    <s v="Q2"/>
  </r>
  <r>
    <s v="ORD-01261"/>
    <x v="325"/>
    <d v="2025-06-12T00:00:00"/>
    <s v="CUST-0155"/>
    <s v="Priya Young"/>
    <x v="2"/>
    <x v="2"/>
    <s v="OH"/>
    <s v="Columbus"/>
    <x v="2"/>
    <x v="0"/>
    <s v="APP-KIT-102"/>
    <s v="Mini Refrigerator"/>
    <x v="0"/>
    <x v="0"/>
    <n v="1"/>
    <n v="243.18"/>
    <n v="0.08"/>
    <n v="11.45"/>
    <s v="Critical"/>
    <s v="No"/>
    <n v="1"/>
    <s v="Valid"/>
    <x v="3"/>
    <d v="2024-08-23T00:00:00"/>
    <n v="125"/>
    <n v="243.18"/>
    <n v="19.4544"/>
    <n v="223.72560000000001"/>
    <n v="125"/>
    <n v="98.725600000000014"/>
    <n v="0.44127985353486598"/>
    <n v="3"/>
    <s v="on time"/>
    <s v="June"/>
    <s v="Q2"/>
  </r>
  <r>
    <s v="ORD-01536"/>
    <x v="326"/>
    <d v="2025-06-15T00:00:00"/>
    <s v="CUST-0087"/>
    <s v="Owen Wilson"/>
    <x v="0"/>
    <x v="1"/>
    <s v="OR"/>
    <s v="Portland"/>
    <x v="0"/>
    <x v="0"/>
    <s v="TEC-LAP-101"/>
    <s v="ApexBook 14 Laptop"/>
    <x v="3"/>
    <x v="7"/>
    <n v="4"/>
    <n v="867.54"/>
    <n v="0.03"/>
    <n v="15.95"/>
    <s v="Critical"/>
    <s v="No"/>
    <n v="3"/>
    <s v="Valid"/>
    <x v="0"/>
    <d v="2023-04-17T00:00:00"/>
    <n v="585"/>
    <n v="3470.16"/>
    <n v="26.026199999999999"/>
    <n v="3444.1338000000001"/>
    <n v="2340"/>
    <n v="1104.1338000000001"/>
    <n v="0.32058388672356458"/>
    <n v="3"/>
    <s v="on time"/>
    <s v="June"/>
    <s v="Q2"/>
  </r>
  <r>
    <s v="ORD-01670"/>
    <x v="326"/>
    <d v="2025-06-13T00:00:00"/>
    <s v="CUST-0059"/>
    <s v="Avery Young"/>
    <x v="1"/>
    <x v="1"/>
    <s v="CA"/>
    <s v="San Diego"/>
    <x v="0"/>
    <x v="5"/>
    <s v="APP-CLN-202"/>
    <s v="Robot Vacuum"/>
    <x v="0"/>
    <x v="3"/>
    <n v="2"/>
    <n v="301.66000000000003"/>
    <n v="0.05"/>
    <n v="16.16"/>
    <s v="Critical"/>
    <s v="No"/>
    <m/>
    <s v="Valid"/>
    <x v="0"/>
    <d v="2021-10-07T00:00:00"/>
    <n v="165"/>
    <n v="603.32000000000005"/>
    <n v="15.083000000000002"/>
    <n v="588.23700000000008"/>
    <n v="330"/>
    <n v="258.23700000000008"/>
    <n v="0.4390016268952821"/>
    <n v="1"/>
    <s v="on time"/>
    <s v="June"/>
    <s v="Q2"/>
  </r>
  <r>
    <s v="ORD-01249"/>
    <x v="327"/>
    <d v="2025-06-14T00:00:00"/>
    <s v="CUST-0002"/>
    <s v="Lena Martinez"/>
    <x v="1"/>
    <x v="3"/>
    <s v="TN"/>
    <s v="Nashville"/>
    <x v="2"/>
    <x v="4"/>
    <s v="APP-KIT-102"/>
    <s v="Mini Refrigerator"/>
    <x v="0"/>
    <x v="0"/>
    <n v="10"/>
    <n v="239.37"/>
    <n v="0.04"/>
    <n v="11.34"/>
    <s v="Low"/>
    <s v="No"/>
    <n v="4"/>
    <s v="Valid"/>
    <x v="1"/>
    <d v="2024-11-20T00:00:00"/>
    <n v="125"/>
    <n v="2393.6999999999998"/>
    <n v="9.5747999999999998"/>
    <n v="2384.1251999999999"/>
    <n v="1250"/>
    <n v="1134.1251999999999"/>
    <n v="0.47569867555613271"/>
    <n v="1"/>
    <s v="on time"/>
    <s v="June"/>
    <s v="Q2"/>
  </r>
  <r>
    <s v="ORD-01657"/>
    <x v="327"/>
    <d v="2025-06-21T00:00:00"/>
    <s v="CUST-0048"/>
    <s v="Drew Clark"/>
    <x v="1"/>
    <x v="0"/>
    <s v="NY"/>
    <s v="New York"/>
    <x v="3"/>
    <x v="2"/>
    <s v="TEC-LAP-102"/>
    <s v="ApexBook Pro 16 Laptop"/>
    <x v="3"/>
    <x v="7"/>
    <n v="3"/>
    <n v="1409.7"/>
    <n v="0.03"/>
    <n v="17.920000000000002"/>
    <s v="Low"/>
    <s v="No"/>
    <m/>
    <s v="Valid"/>
    <x v="2"/>
    <d v="2025-08-10T00:00:00"/>
    <n v="885"/>
    <n v="4229.1000000000004"/>
    <n v="42.290999999999997"/>
    <n v="4186.8090000000002"/>
    <n v="2655"/>
    <n v="1531.8090000000002"/>
    <n v="0.36586550759779107"/>
    <n v="8"/>
    <s v="on time"/>
    <s v="June"/>
    <s v="Q2"/>
  </r>
  <r>
    <s v="ORD-01691"/>
    <x v="327"/>
    <d v="2025-06-18T00:00:00"/>
    <s v="CUST-0030"/>
    <s v="Lena Martinez"/>
    <x v="0"/>
    <x v="1"/>
    <s v="OR"/>
    <s v="Portland"/>
    <x v="0"/>
    <x v="1"/>
    <s v="TEC-ACC-302"/>
    <s v="USB-C Docking Station"/>
    <x v="3"/>
    <x v="10"/>
    <n v="1"/>
    <n v="137.78"/>
    <n v="0.06"/>
    <n v="19.46"/>
    <s v="Low"/>
    <s v="No"/>
    <m/>
    <s v="Valid"/>
    <x v="0"/>
    <d v="2024-03-22T00:00:00"/>
    <n v="72"/>
    <n v="137.78"/>
    <n v="8.2667999999999999"/>
    <n v="129.51320000000001"/>
    <n v="72"/>
    <n v="57.513200000000012"/>
    <n v="0.44407211002430647"/>
    <n v="5"/>
    <s v="on time"/>
    <s v="June"/>
    <s v="Q2"/>
  </r>
  <r>
    <s v="ORD-01005"/>
    <x v="328"/>
    <d v="2025-06-16T00:00:00"/>
    <s v="CUST-0104"/>
    <s v="Drew Walker"/>
    <x v="0"/>
    <x v="2"/>
    <s v="MN"/>
    <s v="Minneapolis"/>
    <x v="2"/>
    <x v="3"/>
    <s v="OFF-WRT-302"/>
    <s v="Mechanical Pencil Set"/>
    <x v="2"/>
    <x v="8"/>
    <n v="10"/>
    <n v="12.14"/>
    <n v="7.0000000000000007E-2"/>
    <n v="16.21"/>
    <s v="Critical"/>
    <s v="No"/>
    <n v="2"/>
    <s v="Valid"/>
    <x v="0"/>
    <d v="2023-11-06T00:00:00"/>
    <n v="5"/>
    <n v="121.4"/>
    <n v="0.84980000000000011"/>
    <n v="120.5502"/>
    <n v="50"/>
    <n v="70.550200000000004"/>
    <n v="0.58523503071749361"/>
    <n v="2"/>
    <s v="on time"/>
    <s v="June"/>
    <s v="Q2"/>
  </r>
  <r>
    <s v="ORD-01427"/>
    <x v="329"/>
    <d v="2025-06-22T00:00:00"/>
    <s v="CUST-0138"/>
    <s v="Morgan Johnson"/>
    <x v="1"/>
    <x v="2"/>
    <s v="CO"/>
    <s v="Denver"/>
    <x v="0"/>
    <x v="2"/>
    <s v="OFF-WRT-302"/>
    <s v="Mechanical Pencil Set"/>
    <x v="2"/>
    <x v="8"/>
    <n v="5"/>
    <n v="11.71"/>
    <n v="0.04"/>
    <n v="15.79"/>
    <s v="High"/>
    <s v="No"/>
    <n v="3"/>
    <s v="Valid"/>
    <x v="3"/>
    <d v="2025-12-06T00:00:00"/>
    <n v="5"/>
    <n v="58.550000000000004"/>
    <n v="0.46840000000000004"/>
    <n v="58.081600000000002"/>
    <n v="25"/>
    <n v="33.081600000000002"/>
    <n v="0.56957108619597252"/>
    <n v="5"/>
    <s v="on time"/>
    <s v="June"/>
    <s v="Q2"/>
  </r>
  <r>
    <s v="ORD-01563"/>
    <x v="330"/>
    <d v="2025-07-05T00:00:00"/>
    <s v="CUST-0013"/>
    <s v="Drew Allen"/>
    <x v="2"/>
    <x v="3"/>
    <s v="FL"/>
    <s v="Miami"/>
    <x v="2"/>
    <x v="0"/>
    <s v="FUR-CHR-201"/>
    <s v="ErgoFlex Office Chair"/>
    <x v="1"/>
    <x v="11"/>
    <n v="3"/>
    <n v="253.89"/>
    <n v="0.04"/>
    <n v="29.69"/>
    <s v="Critical"/>
    <s v="No"/>
    <n v="4"/>
    <s v="Valid"/>
    <x v="3"/>
    <d v="2025-08-16T00:00:00"/>
    <n v="146"/>
    <n v="761.67"/>
    <n v="10.1556"/>
    <n v="751.51439999999991"/>
    <n v="438"/>
    <n v="313.51439999999991"/>
    <n v="0.41717683653167514"/>
    <n v="17"/>
    <s v="late"/>
    <s v="June"/>
    <s v="Q2"/>
  </r>
  <r>
    <s v="ORD-01156"/>
    <x v="331"/>
    <d v="2025-06-25T00:00:00"/>
    <s v="CUST-0084"/>
    <s v="Iris Patel"/>
    <x v="2"/>
    <x v="3"/>
    <s v="NC"/>
    <s v="Charlotte"/>
    <x v="2"/>
    <x v="0"/>
    <s v="TEC-LAP-102"/>
    <s v="ApexBook Pro 16 Laptop"/>
    <x v="3"/>
    <x v="7"/>
    <n v="2"/>
    <n v="1408.32"/>
    <n v="0.09"/>
    <n v="10.62"/>
    <s v="High"/>
    <s v="No"/>
    <n v="1"/>
    <s v="Valid"/>
    <x v="3"/>
    <d v="2022-12-02T00:00:00"/>
    <n v="885"/>
    <n v="2816.64"/>
    <n v="126.74879999999999"/>
    <n v="2689.8912"/>
    <n v="1770"/>
    <n v="919.89120000000003"/>
    <n v="0.34198082063690904"/>
    <n v="6"/>
    <s v="on time"/>
    <s v="June"/>
    <s v="Q2"/>
  </r>
  <r>
    <s v="ORD-01218"/>
    <x v="331"/>
    <d v="2025-06-24T00:00:00"/>
    <s v="CUST-0129"/>
    <s v="Lena Walker"/>
    <x v="0"/>
    <x v="2"/>
    <s v="OH"/>
    <s v="Columbus"/>
    <x v="2"/>
    <x v="2"/>
    <s v="TEC-LAP-102"/>
    <s v="ApexBook Pro 16 Laptop"/>
    <x v="3"/>
    <x v="7"/>
    <n v="2"/>
    <n v="1378.7"/>
    <n v="0.09"/>
    <n v="22.51"/>
    <s v="Critical"/>
    <s v="No"/>
    <n v="4"/>
    <s v="Valid"/>
    <x v="3"/>
    <d v="2023-10-18T00:00:00"/>
    <n v="885"/>
    <n v="2757.4"/>
    <n v="124.083"/>
    <n v="2633.317"/>
    <n v="1770"/>
    <n v="863.31700000000001"/>
    <n v="0.32784393219654145"/>
    <n v="5"/>
    <s v="on time"/>
    <s v="June"/>
    <s v="Q2"/>
  </r>
  <r>
    <s v="ORD-01490"/>
    <x v="331"/>
    <d v="2025-06-23T00:00:00"/>
    <s v="CUST-0060"/>
    <s v="Owen Johnson"/>
    <x v="2"/>
    <x v="1"/>
    <s v="OR"/>
    <s v="Portland"/>
    <x v="2"/>
    <x v="1"/>
    <s v="OFF-PAP-102"/>
    <s v="Recycled Notebook Pack"/>
    <x v="2"/>
    <x v="12"/>
    <n v="7"/>
    <n v="21.96"/>
    <n v="0.04"/>
    <n v="12.15"/>
    <s v="Critical"/>
    <s v="No"/>
    <n v="4"/>
    <s v="Valid"/>
    <x v="1"/>
    <d v="2022-12-08T00:00:00"/>
    <n v="10"/>
    <n v="153.72"/>
    <n v="0.87840000000000007"/>
    <n v="152.8416"/>
    <n v="70"/>
    <n v="82.8416"/>
    <n v="0.54200950526558211"/>
    <n v="4"/>
    <s v="on time"/>
    <s v="June"/>
    <s v="Q2"/>
  </r>
  <r>
    <s v="ORD-01327"/>
    <x v="332"/>
    <d v="2025-07-04T00:00:00"/>
    <s v="CUST-0022"/>
    <s v="Sam Allen"/>
    <x v="2"/>
    <x v="2"/>
    <s v="TX"/>
    <s v="Austin"/>
    <x v="0"/>
    <x v="0"/>
    <s v="TEC-NET-401"/>
    <s v="Mesh Wi-Fi Router"/>
    <x v="3"/>
    <x v="5"/>
    <n v="3"/>
    <n v="197.56"/>
    <n v="0.11"/>
    <n v="9.4"/>
    <s v="High"/>
    <s v="No"/>
    <n v="5"/>
    <s v="Valid"/>
    <x v="3"/>
    <d v="2024-03-21T00:00:00"/>
    <n v="96"/>
    <n v="592.68000000000006"/>
    <n v="21.7316"/>
    <n v="570.94840000000011"/>
    <n v="288"/>
    <n v="282.94840000000011"/>
    <n v="0.49557613262424427"/>
    <n v="14"/>
    <s v="late"/>
    <s v="June"/>
    <s v="Q2"/>
  </r>
  <r>
    <s v="ORD-01367"/>
    <x v="332"/>
    <d v="2025-06-24T00:00:00"/>
    <s v="CUST-0016"/>
    <s v="Rowan Nguyen"/>
    <x v="2"/>
    <x v="3"/>
    <s v="GA"/>
    <s v="Atlanta"/>
    <x v="2"/>
    <x v="5"/>
    <s v="FUR-CHR-202"/>
    <s v="Mesh Conference Chair"/>
    <x v="1"/>
    <x v="11"/>
    <n v="1"/>
    <n v="144.05000000000001"/>
    <n v="0.08"/>
    <n v="23.99"/>
    <s v="Critical"/>
    <s v="No"/>
    <n v="2"/>
    <s v="Valid"/>
    <x v="2"/>
    <d v="2023-08-11T00:00:00"/>
    <n v="82"/>
    <n v="144.05000000000001"/>
    <n v="11.524000000000001"/>
    <n v="132.52600000000001"/>
    <n v="82"/>
    <n v="50.52600000000001"/>
    <n v="0.38125348988123092"/>
    <n v="4"/>
    <s v="on time"/>
    <s v="June"/>
    <s v="Q2"/>
  </r>
  <r>
    <s v="ORD-01049"/>
    <x v="333"/>
    <d v="2025-06-26T00:00:00"/>
    <s v="CUST-0087"/>
    <s v="Owen Wilson"/>
    <x v="0"/>
    <x v="1"/>
    <s v="OR"/>
    <s v="Portland"/>
    <x v="0"/>
    <x v="4"/>
    <s v="OFF-WRT-301"/>
    <s v="Gel Pen Variety Pack"/>
    <x v="2"/>
    <x v="8"/>
    <n v="6"/>
    <n v="15.16"/>
    <n v="0.1"/>
    <n v="13.17"/>
    <s v="High"/>
    <s v="No"/>
    <n v="5"/>
    <s v="Valid"/>
    <x v="0"/>
    <d v="2023-04-17T00:00:00"/>
    <n v="6"/>
    <n v="90.960000000000008"/>
    <n v="1.516"/>
    <n v="89.444000000000003"/>
    <n v="36"/>
    <n v="53.444000000000003"/>
    <n v="0.59751352801753055"/>
    <n v="4"/>
    <s v="on time"/>
    <s v="June"/>
    <s v="Q2"/>
  </r>
  <r>
    <s v="ORD-01131"/>
    <x v="333"/>
    <d v="2025-07-02T00:00:00"/>
    <s v="CUST-0105"/>
    <s v="Skyler Miller"/>
    <x v="2"/>
    <x v="3"/>
    <s v="FL"/>
    <s v="Miami"/>
    <x v="0"/>
    <x v="4"/>
    <s v="APP-CLN-201"/>
    <s v="Air Purifier"/>
    <x v="0"/>
    <x v="3"/>
    <n v="10"/>
    <n v="178.03"/>
    <n v="0.1"/>
    <n v="14.45"/>
    <s v="High"/>
    <s v="No"/>
    <n v="3"/>
    <s v="Valid"/>
    <x v="3"/>
    <d v="2022-02-18T00:00:00"/>
    <n v="82"/>
    <n v="1780.3"/>
    <n v="17.803000000000001"/>
    <n v="1762.4969999999998"/>
    <n v="820"/>
    <n v="942.49699999999984"/>
    <n v="0.53475098113642172"/>
    <n v="10"/>
    <s v="on time"/>
    <s v="June"/>
    <s v="Q2"/>
  </r>
  <r>
    <s v="ORD-01305"/>
    <x v="334"/>
    <d v="2025-06-26T00:00:00"/>
    <s v="CUST-0118"/>
    <s v="Maya Garcia"/>
    <x v="0"/>
    <x v="1"/>
    <s v="CA"/>
    <s v="San Diego"/>
    <x v="3"/>
    <x v="3"/>
    <s v="TEC-NET-402"/>
    <s v="8-Port Network Switch"/>
    <x v="3"/>
    <x v="5"/>
    <n v="1"/>
    <n v="85.37"/>
    <n v="0.06"/>
    <n v="9.27"/>
    <s v="Critical"/>
    <s v="No"/>
    <n v="2"/>
    <s v="Valid"/>
    <x v="3"/>
    <d v="2021-02-09T00:00:00"/>
    <n v="44"/>
    <n v="85.37"/>
    <n v="5.1222000000000003"/>
    <n v="80.247799999999998"/>
    <n v="44"/>
    <n v="36.247799999999998"/>
    <n v="0.45169836431652954"/>
    <n v="2"/>
    <s v="on time"/>
    <s v="June"/>
    <s v="Q2"/>
  </r>
  <r>
    <s v="ORD-01554"/>
    <x v="334"/>
    <d v="2025-06-26T00:00:00"/>
    <s v="CUST-0103"/>
    <s v="Kai Clark"/>
    <x v="0"/>
    <x v="0"/>
    <s v="NJ"/>
    <s v="Newark"/>
    <x v="3"/>
    <x v="1"/>
    <s v="APP-KIT-101"/>
    <s v="Compact Coffee Brewer"/>
    <x v="0"/>
    <x v="0"/>
    <n v="3"/>
    <n v="94.99"/>
    <n v="7.0000000000000007E-2"/>
    <n v="6.21"/>
    <s v="Medium"/>
    <s v="No"/>
    <n v="3"/>
    <s v="Valid"/>
    <x v="2"/>
    <d v="2021-10-11T00:00:00"/>
    <n v="48"/>
    <n v="284.96999999999997"/>
    <n v="6.6493000000000002"/>
    <n v="278.32069999999999"/>
    <n v="144"/>
    <n v="134.32069999999999"/>
    <n v="0.482611246666166"/>
    <n v="2"/>
    <s v="on time"/>
    <s v="June"/>
    <s v="Q2"/>
  </r>
  <r>
    <s v="ORD-01502"/>
    <x v="335"/>
    <d v="2025-06-30T00:00:00"/>
    <s v="CUST-0150"/>
    <s v="Rowan Scott"/>
    <x v="2"/>
    <x v="0"/>
    <s v="VA"/>
    <s v="Richmond"/>
    <x v="3"/>
    <x v="4"/>
    <s v="FUR-CHR-202"/>
    <s v="Mesh Conference Chair"/>
    <x v="1"/>
    <x v="11"/>
    <n v="3"/>
    <n v="153.19"/>
    <n v="0.03"/>
    <n v="22.06"/>
    <s v="Medium"/>
    <s v="No"/>
    <m/>
    <s v="Valid"/>
    <x v="0"/>
    <d v="2022-05-17T00:00:00"/>
    <n v="82"/>
    <n v="459.57"/>
    <n v="4.5956999999999999"/>
    <n v="454.97429999999997"/>
    <n v="246"/>
    <n v="208.97429999999997"/>
    <n v="0.45931011927486892"/>
    <n v="4"/>
    <s v="on time"/>
    <s v="June"/>
    <s v="Q2"/>
  </r>
  <r>
    <s v="ORD-01486"/>
    <x v="336"/>
    <d v="2025-06-30T00:00:00"/>
    <s v="CUST-0082"/>
    <s v="Alex Wright"/>
    <x v="1"/>
    <x v="2"/>
    <s v="TX"/>
    <s v="Austin"/>
    <x v="1"/>
    <x v="5"/>
    <s v="APP-KIT-101"/>
    <s v="Compact Coffee Brewer"/>
    <x v="0"/>
    <x v="0"/>
    <n v="8"/>
    <n v="99.25"/>
    <n v="0.01"/>
    <n v="16.32"/>
    <s v="Low"/>
    <s v="No"/>
    <n v="2"/>
    <s v="Valid"/>
    <x v="2"/>
    <d v="2022-06-23T00:00:00"/>
    <n v="48"/>
    <n v="794"/>
    <n v="0.99250000000000005"/>
    <n v="793.00750000000005"/>
    <n v="384"/>
    <n v="409.00750000000005"/>
    <n v="0.51576750535146265"/>
    <n v="3"/>
    <s v="on time"/>
    <s v="June"/>
    <s v="Q2"/>
  </r>
  <r>
    <s v="ORD-01573"/>
    <x v="336"/>
    <d v="2025-07-02T00:00:00"/>
    <s v="CUST-0030"/>
    <s v="Lena Martinez"/>
    <x v="0"/>
    <x v="1"/>
    <s v="OR"/>
    <s v="Portland"/>
    <x v="1"/>
    <x v="5"/>
    <s v="FUR-STO-301"/>
    <s v="Two-Drawer File Cabinet"/>
    <x v="1"/>
    <x v="9"/>
    <n v="1"/>
    <n v="168.38"/>
    <n v="0.12"/>
    <n v="24.03"/>
    <s v="Critical"/>
    <s v="Yes"/>
    <n v="5"/>
    <s v="Valid"/>
    <x v="0"/>
    <d v="2024-03-22T00:00:00"/>
    <n v="88"/>
    <n v="168.38"/>
    <n v="20.2056"/>
    <n v="148.17439999999999"/>
    <n v="88"/>
    <n v="60.174399999999991"/>
    <n v="0.40610523815179944"/>
    <n v="5"/>
    <s v="on time"/>
    <s v="June"/>
    <s v="Q2"/>
  </r>
  <r>
    <s v="ORD-01354"/>
    <x v="337"/>
    <d v="2025-07-05T00:00:00"/>
    <s v="CUST-0066"/>
    <s v="Kai Robinson"/>
    <x v="2"/>
    <x v="2"/>
    <s v="IL"/>
    <s v="Chicago"/>
    <x v="0"/>
    <x v="4"/>
    <s v="APP-KIT-101"/>
    <s v="Compact Coffee Brewer"/>
    <x v="0"/>
    <x v="0"/>
    <n v="1"/>
    <n v="90.61"/>
    <n v="0.06"/>
    <n v="6.62"/>
    <s v="High"/>
    <s v="No"/>
    <n v="2"/>
    <s v="Valid"/>
    <x v="3"/>
    <d v="2024-02-11T00:00:00"/>
    <n v="48"/>
    <n v="90.61"/>
    <n v="5.4365999999999994"/>
    <n v="85.173400000000001"/>
    <n v="48"/>
    <n v="37.173400000000001"/>
    <n v="0.43644377235146187"/>
    <n v="7"/>
    <s v="on time"/>
    <s v="June"/>
    <s v="Q2"/>
  </r>
  <r>
    <s v="ORD-01157"/>
    <x v="338"/>
    <d v="2025-07-07T00:00:00"/>
    <s v="CUST-0038"/>
    <s v="Jordan Walker"/>
    <x v="0"/>
    <x v="0"/>
    <s v="PA"/>
    <s v="Philadelphia"/>
    <x v="2"/>
    <x v="0"/>
    <s v="TEC-LAP-102"/>
    <s v="ApexBook Pro 16 Laptop"/>
    <x v="3"/>
    <x v="7"/>
    <n v="2"/>
    <n v="1394.97"/>
    <n v="0.23"/>
    <n v="8.85"/>
    <s v="High"/>
    <s v="No"/>
    <n v="4"/>
    <s v="Valid"/>
    <x v="1"/>
    <d v="2021-09-22T00:00:00"/>
    <n v="885"/>
    <n v="2789.94"/>
    <n v="320.84309999999999"/>
    <n v="2469.0969"/>
    <n v="1770"/>
    <n v="699.09690000000001"/>
    <n v="0.28313870549187437"/>
    <n v="6"/>
    <s v="on time"/>
    <s v="July"/>
    <s v="Q3"/>
  </r>
  <r>
    <s v="ORD-01040"/>
    <x v="339"/>
    <d v="2025-07-10T00:00:00"/>
    <s v="CUST-0141"/>
    <s v="Morgan Nguyen"/>
    <x v="0"/>
    <x v="2"/>
    <s v="TX"/>
    <s v="Austin"/>
    <x v="3"/>
    <x v="0"/>
    <s v="OFF-SUP-402"/>
    <s v="Label Maker"/>
    <x v="2"/>
    <x v="2"/>
    <n v="10"/>
    <n v="72.849999999999994"/>
    <n v="0"/>
    <n v="9.6"/>
    <s v="Low"/>
    <s v="No"/>
    <n v="2"/>
    <s v="Valid"/>
    <x v="1"/>
    <d v="2023-12-09T00:00:00"/>
    <n v="36"/>
    <n v="728.5"/>
    <n v="0"/>
    <n v="728.5"/>
    <n v="360"/>
    <n v="368.5"/>
    <n v="0.50583390528483185"/>
    <n v="8"/>
    <s v="on time"/>
    <s v="July"/>
    <s v="Q3"/>
  </r>
  <r>
    <s v="ORD-01627"/>
    <x v="339"/>
    <d v="2025-07-04T00:00:00"/>
    <s v="CUST-0160"/>
    <s v="Jordan Wright"/>
    <x v="0"/>
    <x v="1"/>
    <s v="OR"/>
    <s v="Portland"/>
    <x v="0"/>
    <x v="1"/>
    <s v="FUR-DSK-102"/>
    <s v="Executive Desk 60"/>
    <x v="1"/>
    <x v="1"/>
    <n v="2"/>
    <n v="446.93"/>
    <n v="0.06"/>
    <n v="20.97"/>
    <s v="High"/>
    <s v="No"/>
    <n v="3"/>
    <s v="Valid"/>
    <x v="2"/>
    <d v="2025-08-22T00:00:00"/>
    <n v="265"/>
    <n v="893.86"/>
    <n v="26.815799999999999"/>
    <n v="867.04420000000005"/>
    <n v="530"/>
    <n v="337.04420000000005"/>
    <n v="0.38872781802819284"/>
    <n v="2"/>
    <s v="on time"/>
    <s v="July"/>
    <s v="Q3"/>
  </r>
  <r>
    <s v="ORD-01683"/>
    <x v="340"/>
    <d v="2025-07-16T00:00:00"/>
    <s v="CUST-0043"/>
    <s v="Noah Wilson"/>
    <x v="2"/>
    <x v="3"/>
    <s v="FL"/>
    <s v="Miami"/>
    <x v="1"/>
    <x v="5"/>
    <s v="OFF-BIN-202"/>
    <s v="Presentation Folder Box"/>
    <x v="2"/>
    <x v="6"/>
    <n v="9"/>
    <n v="26.47"/>
    <n v="0.02"/>
    <n v="13.15"/>
    <s v="High"/>
    <s v="No"/>
    <n v="3"/>
    <s v="Valid"/>
    <x v="2"/>
    <d v="2024-04-03T00:00:00"/>
    <n v="14"/>
    <n v="238.23"/>
    <n v="0.52939999999999998"/>
    <n v="237.70059999999998"/>
    <n v="126"/>
    <n v="111.70059999999998"/>
    <n v="0.46992140533090782"/>
    <n v="10"/>
    <s v="on time"/>
    <s v="July"/>
    <s v="Q3"/>
  </r>
  <r>
    <s v="ORD-01374"/>
    <x v="341"/>
    <d v="2025-07-10T00:00:00"/>
    <s v="CUST-0088"/>
    <s v="Noah Chen"/>
    <x v="2"/>
    <x v="3"/>
    <s v="NC"/>
    <s v="Charlotte"/>
    <x v="0"/>
    <x v="2"/>
    <s v="TEC-ACC-301"/>
    <s v="Wireless Keyboard and Mouse"/>
    <x v="3"/>
    <x v="10"/>
    <n v="2"/>
    <n v="55.91"/>
    <n v="0.27"/>
    <n v="17.190000000000001"/>
    <s v="Critical"/>
    <s v="No"/>
    <n v="2"/>
    <s v="Valid"/>
    <x v="3"/>
    <d v="2021-08-06T00:00:00"/>
    <n v="28"/>
    <n v="111.82"/>
    <n v="15.095700000000001"/>
    <n v="96.724299999999999"/>
    <n v="56"/>
    <n v="40.724299999999999"/>
    <n v="0.42103483819474524"/>
    <n v="3"/>
    <s v="on time"/>
    <s v="July"/>
    <s v="Q3"/>
  </r>
  <r>
    <s v="ORD-01572"/>
    <x v="342"/>
    <d v="2025-07-12T00:00:00"/>
    <s v="CUST-0101"/>
    <s v="Drew Walker"/>
    <x v="2"/>
    <x v="1"/>
    <s v="CA"/>
    <s v="San Diego"/>
    <x v="3"/>
    <x v="2"/>
    <s v="OFF-BIN-201"/>
    <s v="Heavy-Duty Binder 12-Pack"/>
    <x v="2"/>
    <x v="6"/>
    <n v="9"/>
    <n v="35.14"/>
    <n v="0.09"/>
    <n v="11.74"/>
    <s v="Critical"/>
    <s v="No"/>
    <n v="5"/>
    <s v="Valid"/>
    <x v="3"/>
    <d v="2025-01-20T00:00:00"/>
    <n v="18"/>
    <n v="316.26"/>
    <n v="3.1625999999999999"/>
    <n v="313.09739999999999"/>
    <n v="162"/>
    <n v="151.09739999999999"/>
    <n v="0.48258912402338694"/>
    <n v="3"/>
    <s v="on time"/>
    <s v="July"/>
    <s v="Q3"/>
  </r>
  <r>
    <s v="ORD-01632"/>
    <x v="342"/>
    <d v="2025-07-14T00:00:00"/>
    <s v="CUST-0053"/>
    <s v="Kai Martinez"/>
    <x v="0"/>
    <x v="1"/>
    <s v="CA"/>
    <s v="Los Angeles"/>
    <x v="3"/>
    <x v="4"/>
    <s v="OFF-BIN-201"/>
    <s v="Heavy-Duty Binder 12-Pack"/>
    <x v="2"/>
    <x v="6"/>
    <n v="6"/>
    <n v="34.19"/>
    <n v="0.22"/>
    <n v="13.83"/>
    <s v="High"/>
    <s v="No"/>
    <n v="1"/>
    <s v="Valid"/>
    <x v="3"/>
    <d v="2025-10-01T00:00:00"/>
    <n v="18"/>
    <n v="205.14"/>
    <n v="7.5217999999999998"/>
    <n v="197.61819999999997"/>
    <n v="108"/>
    <n v="89.618199999999973"/>
    <n v="0.45349163184362568"/>
    <n v="5"/>
    <s v="on time"/>
    <s v="July"/>
    <s v="Q3"/>
  </r>
  <r>
    <s v="ORD-01153"/>
    <x v="343"/>
    <d v="2025-07-18T00:00:00"/>
    <s v="CUST-0084"/>
    <s v="Iris Patel"/>
    <x v="2"/>
    <x v="3"/>
    <s v="NC"/>
    <s v="Charlotte"/>
    <x v="1"/>
    <x v="0"/>
    <s v="TEC-LAP-101"/>
    <s v="ApexBook 14 Laptop"/>
    <x v="3"/>
    <x v="7"/>
    <n v="4"/>
    <n v="924.03"/>
    <n v="0"/>
    <n v="7.91"/>
    <s v="Low"/>
    <s v="No"/>
    <n v="5"/>
    <s v="Valid"/>
    <x v="3"/>
    <d v="2022-12-02T00:00:00"/>
    <n v="585"/>
    <n v="3696.12"/>
    <n v="0"/>
    <n v="3696.12"/>
    <n v="2340"/>
    <n v="1356.12"/>
    <n v="0.3669036719587026"/>
    <n v="8"/>
    <s v="on time"/>
    <s v="July"/>
    <s v="Q3"/>
  </r>
  <r>
    <s v="ORD-01483"/>
    <x v="343"/>
    <d v="2025-07-11T00:00:00"/>
    <s v="CUST-0068"/>
    <s v="Quinn Robinson"/>
    <x v="1"/>
    <x v="3"/>
    <s v="LA"/>
    <s v="New Orleans"/>
    <x v="0"/>
    <x v="2"/>
    <s v="APP-CLN-201"/>
    <s v="Air Purifier"/>
    <x v="0"/>
    <x v="3"/>
    <n v="10"/>
    <n v="172.32"/>
    <n v="0"/>
    <n v="14.38"/>
    <s v="Low"/>
    <s v="No"/>
    <n v="2"/>
    <s v="Valid"/>
    <x v="0"/>
    <d v="2024-09-14T00:00:00"/>
    <n v="82"/>
    <n v="1723.1999999999998"/>
    <n v="0"/>
    <n v="1723.1999999999998"/>
    <n v="820"/>
    <n v="903.19999999999982"/>
    <n v="0.5241411327762302"/>
    <n v="1"/>
    <s v="on time"/>
    <s v="July"/>
    <s v="Q3"/>
  </r>
  <r>
    <s v="ORD-01050"/>
    <x v="344"/>
    <d v="2025-07-19T00:00:00"/>
    <s v="CUST-0039"/>
    <s v="Priya Miller"/>
    <x v="2"/>
    <x v="2"/>
    <s v="IL"/>
    <s v="Chicago"/>
    <x v="3"/>
    <x v="4"/>
    <s v="OFF-PAP-102"/>
    <s v="Recycled Notebook Pack"/>
    <x v="2"/>
    <x v="12"/>
    <n v="2"/>
    <n v="22.75"/>
    <n v="0.06"/>
    <n v="15.63"/>
    <s v="Critical"/>
    <s v="No"/>
    <n v="3"/>
    <s v="Valid"/>
    <x v="3"/>
    <d v="2022-09-14T00:00:00"/>
    <n v="10"/>
    <n v="45.5"/>
    <n v="1.365"/>
    <n v="44.134999999999998"/>
    <n v="20"/>
    <n v="24.134999999999998"/>
    <n v="0.54684490766964988"/>
    <n v="8"/>
    <s v="on time"/>
    <s v="July"/>
    <s v="Q3"/>
  </r>
  <r>
    <s v="ORD-01555"/>
    <x v="345"/>
    <d v="2025-07-21T00:00:00"/>
    <s v="CUST-0123"/>
    <s v="Taylor Wright"/>
    <x v="1"/>
    <x v="1"/>
    <s v="CA"/>
    <s v="San Diego"/>
    <x v="1"/>
    <x v="4"/>
    <s v="TEC-NET-401"/>
    <s v="Mesh Wi-Fi Router"/>
    <x v="3"/>
    <x v="5"/>
    <n v="1"/>
    <n v="179.88"/>
    <n v="0.06"/>
    <n v="13.47"/>
    <s v="Low"/>
    <s v="No"/>
    <n v="3"/>
    <s v="Valid"/>
    <x v="0"/>
    <d v="2024-07-22T00:00:00"/>
    <n v="96"/>
    <n v="179.88"/>
    <n v="10.7928"/>
    <n v="169.0872"/>
    <n v="96"/>
    <n v="73.087199999999996"/>
    <n v="0.43224561054887656"/>
    <n v="9"/>
    <s v="on time"/>
    <s v="July"/>
    <s v="Q3"/>
  </r>
  <r>
    <s v="ORD-01549"/>
    <x v="346"/>
    <d v="2025-07-17T00:00:00"/>
    <s v="CUST-0136"/>
    <s v="Taylor Robinson"/>
    <x v="0"/>
    <x v="1"/>
    <s v="WA"/>
    <s v="Seattle"/>
    <x v="3"/>
    <x v="0"/>
    <s v="FUR-STO-301"/>
    <s v="Two-Drawer File Cabinet"/>
    <x v="1"/>
    <x v="9"/>
    <n v="1"/>
    <n v="167.83"/>
    <n v="0.09"/>
    <n v="25.47"/>
    <s v="Low"/>
    <s v="No"/>
    <m/>
    <s v="Valid"/>
    <x v="2"/>
    <d v="2023-11-25T00:00:00"/>
    <n v="88"/>
    <n v="167.83"/>
    <n v="15.104700000000001"/>
    <n v="152.7253"/>
    <n v="88"/>
    <n v="64.725300000000004"/>
    <n v="0.42380208125307334"/>
    <n v="4"/>
    <s v="on time"/>
    <s v="July"/>
    <s v="Q3"/>
  </r>
  <r>
    <s v="ORD-01386"/>
    <x v="347"/>
    <d v="2025-07-25T00:00:00"/>
    <s v="CUST-0015"/>
    <s v="Taylor Brown"/>
    <x v="0"/>
    <x v="0"/>
    <s v="PA"/>
    <s v="Philadelphia"/>
    <x v="0"/>
    <x v="2"/>
    <s v="OFF-BIN-202"/>
    <s v="Presentation Folder Box"/>
    <x v="2"/>
    <x v="6"/>
    <n v="5"/>
    <n v="28.48"/>
    <n v="0.1"/>
    <n v="11.56"/>
    <s v="High"/>
    <s v="No"/>
    <n v="1"/>
    <s v="Valid"/>
    <x v="0"/>
    <d v="2024-05-23T00:00:00"/>
    <n v="14"/>
    <n v="142.4"/>
    <n v="2.8480000000000003"/>
    <n v="139.55199999999999"/>
    <n v="70"/>
    <n v="69.551999999999992"/>
    <n v="0.49839486356340285"/>
    <n v="10"/>
    <s v="on time"/>
    <s v="July"/>
    <s v="Q3"/>
  </r>
  <r>
    <s v="ORD-01496"/>
    <x v="347"/>
    <d v="2025-07-19T00:00:00"/>
    <s v="CUST-0158"/>
    <s v="Jamie Scott"/>
    <x v="1"/>
    <x v="1"/>
    <s v="CA"/>
    <s v="Los Angeles"/>
    <x v="1"/>
    <x v="3"/>
    <s v="TEC-MON-202"/>
    <s v="ClearView Ultrawide Monitor"/>
    <x v="3"/>
    <x v="4"/>
    <n v="2"/>
    <n v="528.41999999999996"/>
    <n v="0.05"/>
    <n v="18.68"/>
    <s v="High"/>
    <s v="No"/>
    <n v="3"/>
    <s v="Valid"/>
    <x v="2"/>
    <d v="2021-03-23T00:00:00"/>
    <n v="310"/>
    <n v="1056.8399999999999"/>
    <n v="26.420999999999999"/>
    <n v="1030.4189999999999"/>
    <n v="620"/>
    <n v="410.41899999999987"/>
    <n v="0.3983030204217895"/>
    <n v="4"/>
    <s v="on time"/>
    <s v="July"/>
    <s v="Q3"/>
  </r>
  <r>
    <s v="ORD-01557"/>
    <x v="348"/>
    <d v="2025-07-27T00:00:00"/>
    <s v="CUST-0057"/>
    <s v="Morgan Lopez"/>
    <x v="2"/>
    <x v="1"/>
    <s v="CA"/>
    <s v="Los Angeles"/>
    <x v="2"/>
    <x v="3"/>
    <s v="FUR-DSK-101"/>
    <s v="Standing Desk 48"/>
    <x v="1"/>
    <x v="1"/>
    <n v="3"/>
    <n v="315.64999999999998"/>
    <n v="0.2"/>
    <n v="28.18"/>
    <s v="Critical"/>
    <s v="No"/>
    <n v="2"/>
    <s v="Valid"/>
    <x v="2"/>
    <d v="2025-02-02T00:00:00"/>
    <n v="184"/>
    <n v="946.94999999999993"/>
    <n v="63.129999999999995"/>
    <n v="883.81999999999994"/>
    <n v="552"/>
    <n v="331.81999999999994"/>
    <n v="0.37543843769093249"/>
    <n v="10"/>
    <s v="on time"/>
    <s v="July"/>
    <s v="Q3"/>
  </r>
  <r>
    <s v="ORD-01238"/>
    <x v="349"/>
    <d v="2025-07-25T00:00:00"/>
    <s v="CUST-0007"/>
    <s v="Iris Walker"/>
    <x v="0"/>
    <x v="3"/>
    <s v="LA"/>
    <s v="New Orleans"/>
    <x v="1"/>
    <x v="2"/>
    <s v="OFF-BIN-202"/>
    <s v="Presentation Folder Box"/>
    <x v="2"/>
    <x v="6"/>
    <n v="6"/>
    <n v="27.14"/>
    <n v="0.08"/>
    <n v="5.24"/>
    <s v="High"/>
    <s v="No"/>
    <n v="1"/>
    <s v="Valid"/>
    <x v="3"/>
    <d v="2022-08-23T00:00:00"/>
    <n v="14"/>
    <n v="162.84"/>
    <n v="2.1712000000000002"/>
    <n v="160.6688"/>
    <n v="84"/>
    <n v="76.668800000000005"/>
    <n v="0.47718536517357446"/>
    <n v="7"/>
    <s v="on time"/>
    <s v="July"/>
    <s v="Q3"/>
  </r>
  <r>
    <s v="ORD-01244"/>
    <x v="349"/>
    <d v="2025-07-30T00:00:00"/>
    <s v="CUST-0100"/>
    <s v="Jamie Robinson"/>
    <x v="0"/>
    <x v="1"/>
    <s v="WA"/>
    <s v="Seattle"/>
    <x v="0"/>
    <x v="3"/>
    <s v="OFF-BIN-202"/>
    <s v="Presentation Folder Box"/>
    <x v="2"/>
    <x v="6"/>
    <n v="8"/>
    <n v="26.91"/>
    <n v="0.05"/>
    <n v="14.4"/>
    <s v="Critical"/>
    <s v="No"/>
    <n v="3"/>
    <s v="Valid"/>
    <x v="0"/>
    <d v="2022-06-22T00:00:00"/>
    <n v="14"/>
    <n v="215.28"/>
    <n v="1.3455000000000001"/>
    <n v="213.93450000000001"/>
    <n v="112"/>
    <n v="101.93450000000001"/>
    <n v="0.47647527631120745"/>
    <n v="12"/>
    <s v="late"/>
    <s v="July"/>
    <s v="Q3"/>
  </r>
  <r>
    <s v="ORD-01720"/>
    <x v="349"/>
    <d v="2025-07-24T00:00:00"/>
    <s v="CUST-0135"/>
    <s v="Nia Miller"/>
    <x v="0"/>
    <x v="1"/>
    <s v="CA"/>
    <s v="San Diego"/>
    <x v="0"/>
    <x v="2"/>
    <s v="APP-CLN-201"/>
    <s v="Air Purifier"/>
    <x v="0"/>
    <x v="3"/>
    <n v="1"/>
    <n v="169.35"/>
    <n v="0.05"/>
    <n v="5.49"/>
    <s v="Medium"/>
    <s v="No"/>
    <n v="3"/>
    <s v="Valid"/>
    <x v="2"/>
    <d v="2022-05-18T00:00:00"/>
    <n v="82"/>
    <n v="169.35"/>
    <n v="8.4674999999999994"/>
    <n v="160.88249999999999"/>
    <n v="82"/>
    <n v="78.882499999999993"/>
    <n v="0.49031125200068371"/>
    <n v="6"/>
    <s v="on time"/>
    <s v="July"/>
    <s v="Q3"/>
  </r>
  <r>
    <s v="ORD-01637"/>
    <x v="350"/>
    <d v="2025-07-28T00:00:00"/>
    <s v="CUST-0048"/>
    <s v="Drew Clark"/>
    <x v="1"/>
    <x v="0"/>
    <s v="NY"/>
    <s v="New York"/>
    <x v="3"/>
    <x v="5"/>
    <s v="OFF-BIN-202"/>
    <s v="Presentation Folder Box"/>
    <x v="2"/>
    <x v="6"/>
    <n v="6"/>
    <n v="26.88"/>
    <n v="7.0000000000000007E-2"/>
    <n v="11.48"/>
    <s v="High"/>
    <s v="No"/>
    <n v="5"/>
    <s v="Valid"/>
    <x v="2"/>
    <d v="2025-08-10T00:00:00"/>
    <n v="14"/>
    <n v="161.28"/>
    <n v="1.8816000000000002"/>
    <n v="159.39840000000001"/>
    <n v="84"/>
    <n v="75.398400000000009"/>
    <n v="0.47301854974704893"/>
    <n v="9"/>
    <s v="on time"/>
    <s v="July"/>
    <s v="Q3"/>
  </r>
  <r>
    <s v="ORD-01184"/>
    <x v="351"/>
    <d v="2025-07-28T00:00:00"/>
    <s v="CUST-0036"/>
    <s v="Avery Davis"/>
    <x v="1"/>
    <x v="0"/>
    <s v="NY"/>
    <s v="New York"/>
    <x v="0"/>
    <x v="3"/>
    <s v="OFF-WRT-302"/>
    <s v="Mechanical Pencil Set"/>
    <x v="2"/>
    <x v="8"/>
    <n v="9"/>
    <n v="11.73"/>
    <n v="0.12"/>
    <n v="8.6"/>
    <s v="Critical"/>
    <s v="No"/>
    <n v="4"/>
    <s v="Valid"/>
    <x v="2"/>
    <d v="2022-02-02T00:00:00"/>
    <n v="5"/>
    <n v="105.57000000000001"/>
    <n v="1.4076"/>
    <n v="104.16240000000001"/>
    <n v="45"/>
    <n v="59.162400000000005"/>
    <n v="0.56798230455519461"/>
    <n v="8"/>
    <s v="on time"/>
    <s v="July"/>
    <s v="Q3"/>
  </r>
  <r>
    <s v="ORD-01608"/>
    <x v="351"/>
    <d v="2025-07-25T00:00:00"/>
    <s v="CUST-0145"/>
    <s v="Morgan Kim"/>
    <x v="1"/>
    <x v="3"/>
    <s v="LA"/>
    <s v="New Orleans"/>
    <x v="2"/>
    <x v="5"/>
    <s v="TEC-ACC-301"/>
    <s v="Wireless Keyboard and Mouse"/>
    <x v="3"/>
    <x v="10"/>
    <n v="2"/>
    <n v="61.8"/>
    <n v="0.06"/>
    <n v="19.05"/>
    <s v="Medium"/>
    <s v="No"/>
    <n v="2"/>
    <s v="Valid"/>
    <x v="1"/>
    <d v="2024-09-20T00:00:00"/>
    <n v="28"/>
    <n v="123.6"/>
    <n v="3.7079999999999997"/>
    <n v="119.892"/>
    <n v="56"/>
    <n v="63.891999999999996"/>
    <n v="0.53291295499282687"/>
    <n v="5"/>
    <s v="on time"/>
    <s v="July"/>
    <s v="Q3"/>
  </r>
  <r>
    <s v="ORD-01370"/>
    <x v="352"/>
    <d v="2025-07-28T00:00:00"/>
    <s v="CUST-0130"/>
    <s v="Iris Allen"/>
    <x v="1"/>
    <x v="1"/>
    <s v="OR"/>
    <s v="Portland"/>
    <x v="2"/>
    <x v="4"/>
    <s v="OFF-SUP-402"/>
    <s v="Label Maker"/>
    <x v="2"/>
    <x v="2"/>
    <n v="5"/>
    <n v="77.47"/>
    <n v="0.01"/>
    <n v="10.85"/>
    <s v="Critical"/>
    <s v="No"/>
    <n v="4"/>
    <s v="Valid"/>
    <x v="3"/>
    <d v="2021-12-13T00:00:00"/>
    <n v="36"/>
    <n v="387.35"/>
    <n v="0.77470000000000006"/>
    <n v="386.57530000000003"/>
    <n v="180"/>
    <n v="206.57530000000003"/>
    <n v="0.53437273410898212"/>
    <n v="7"/>
    <s v="on time"/>
    <s v="July"/>
    <s v="Q3"/>
  </r>
  <r>
    <s v="ORD-01523"/>
    <x v="353"/>
    <d v="2025-08-01T00:00:00"/>
    <s v="CUST-0154"/>
    <s v="Rowan Nguyen"/>
    <x v="0"/>
    <x v="0"/>
    <s v="NY"/>
    <s v="New York"/>
    <x v="1"/>
    <x v="5"/>
    <s v="OFF-BIN-201"/>
    <s v="Heavy-Duty Binder 12-Pack"/>
    <x v="2"/>
    <x v="6"/>
    <n v="5"/>
    <n v="35.79"/>
    <n v="0.11"/>
    <n v="7.09"/>
    <s v="Critical"/>
    <s v="No"/>
    <n v="3"/>
    <s v="Valid"/>
    <x v="1"/>
    <d v="2022-04-17T00:00:00"/>
    <n v="18"/>
    <n v="178.95"/>
    <n v="3.9369000000000001"/>
    <n v="175.01309999999998"/>
    <n v="90"/>
    <n v="85.01309999999998"/>
    <n v="0.48575278079183781"/>
    <n v="9"/>
    <s v="on time"/>
    <s v="July"/>
    <s v="Q3"/>
  </r>
  <r>
    <s v="ORD-01643"/>
    <x v="354"/>
    <d v="2025-07-30T00:00:00"/>
    <s v="CUST-0013"/>
    <s v="Drew Allen"/>
    <x v="2"/>
    <x v="3"/>
    <s v="FL"/>
    <s v="Miami"/>
    <x v="0"/>
    <x v="1"/>
    <s v="OFF-PAP-101"/>
    <s v="Premium Copy Paper Case"/>
    <x v="2"/>
    <x v="12"/>
    <n v="6"/>
    <n v="37.32"/>
    <n v="0.1"/>
    <n v="9.19"/>
    <s v="Critical"/>
    <s v="No"/>
    <m/>
    <s v="Valid"/>
    <x v="3"/>
    <d v="2025-08-16T00:00:00"/>
    <n v="20"/>
    <n v="223.92000000000002"/>
    <n v="3.7320000000000002"/>
    <n v="220.18800000000002"/>
    <n v="120"/>
    <n v="100.18800000000002"/>
    <n v="0.45501117227096849"/>
    <n v="6"/>
    <s v="on time"/>
    <s v="July"/>
    <s v="Q3"/>
  </r>
  <r>
    <s v="ORD-01159"/>
    <x v="355"/>
    <d v="2025-08-18T00:00:00"/>
    <s v="CUST-0014"/>
    <s v="Maya Hall"/>
    <x v="1"/>
    <x v="0"/>
    <s v="NJ"/>
    <s v="Newark"/>
    <x v="1"/>
    <x v="5"/>
    <s v="OFF-WRT-302"/>
    <s v="Mechanical Pencil Set"/>
    <x v="2"/>
    <x v="8"/>
    <n v="2"/>
    <n v="11.74"/>
    <n v="0.11"/>
    <n v="10.47"/>
    <s v="High"/>
    <s v="No"/>
    <n v="2"/>
    <s v="Valid"/>
    <x v="3"/>
    <d v="2024-09-03T00:00:00"/>
    <n v="5"/>
    <n v="23.48"/>
    <n v="1.2914000000000001"/>
    <n v="22.188600000000001"/>
    <n v="10"/>
    <n v="12.188600000000001"/>
    <n v="0.54931811831300759"/>
    <n v="17"/>
    <s v="late"/>
    <s v="August"/>
    <s v="Q3"/>
  </r>
  <r>
    <s v="ORD-01655"/>
    <x v="355"/>
    <d v="2025-08-06T00:00:00"/>
    <s v="CUST-0038"/>
    <s v="Jordan Walker"/>
    <x v="0"/>
    <x v="0"/>
    <s v="PA"/>
    <s v="Philadelphia"/>
    <x v="1"/>
    <x v="5"/>
    <s v="OFF-PAP-101"/>
    <s v="Premium Copy Paper Case"/>
    <x v="2"/>
    <x v="12"/>
    <n v="1"/>
    <n v="39.39"/>
    <n v="0.28000000000000003"/>
    <n v="15.56"/>
    <s v="Critical"/>
    <s v="No"/>
    <n v="3"/>
    <s v="Valid"/>
    <x v="1"/>
    <d v="2021-09-22T00:00:00"/>
    <n v="20"/>
    <n v="39.39"/>
    <n v="11.029200000000001"/>
    <n v="28.360799999999998"/>
    <n v="20"/>
    <n v="8.3607999999999976"/>
    <n v="0.29480127499929476"/>
    <n v="5"/>
    <s v="on time"/>
    <s v="August"/>
    <s v="Q3"/>
  </r>
  <r>
    <s v="ORD-01321"/>
    <x v="356"/>
    <d v="2025-08-15T00:00:00"/>
    <s v="CUST-0054"/>
    <s v="Maya Brown"/>
    <x v="2"/>
    <x v="0"/>
    <s v="NJ"/>
    <s v="Newark"/>
    <x v="1"/>
    <x v="1"/>
    <s v="OFF-WRT-301"/>
    <s v="Gel Pen Variety Pack"/>
    <x v="2"/>
    <x v="8"/>
    <n v="8"/>
    <n v="15.43"/>
    <n v="0.01"/>
    <n v="10.59"/>
    <s v="High"/>
    <s v="No"/>
    <n v="1"/>
    <s v="Valid"/>
    <x v="0"/>
    <d v="2021-04-05T00:00:00"/>
    <n v="6"/>
    <n v="123.44"/>
    <n v="0.15429999999999999"/>
    <n v="123.28569999999999"/>
    <n v="48"/>
    <n v="75.285699999999991"/>
    <n v="0.61066044155972665"/>
    <n v="13"/>
    <s v="late"/>
    <s v="August"/>
    <s v="Q3"/>
  </r>
  <r>
    <s v="ORD-01251"/>
    <x v="357"/>
    <d v="2025-08-07T00:00:00"/>
    <s v="CUST-0141"/>
    <s v="Morgan Nguyen"/>
    <x v="0"/>
    <x v="2"/>
    <s v="TX"/>
    <s v="Austin"/>
    <x v="1"/>
    <x v="4"/>
    <s v="TEC-NET-401"/>
    <s v="Mesh Wi-Fi Router"/>
    <x v="3"/>
    <x v="5"/>
    <n v="3"/>
    <n v="187.77"/>
    <n v="0.26"/>
    <n v="13.45"/>
    <s v="High"/>
    <s v="No"/>
    <n v="1"/>
    <s v="Valid"/>
    <x v="1"/>
    <d v="2023-12-09T00:00:00"/>
    <n v="96"/>
    <n v="563.31000000000006"/>
    <n v="48.820200000000007"/>
    <n v="514.48980000000006"/>
    <n v="288"/>
    <n v="226.48980000000006"/>
    <n v="0.44022213851469949"/>
    <n v="2"/>
    <s v="on time"/>
    <s v="August"/>
    <s v="Q3"/>
  </r>
  <r>
    <s v="ORD-01329"/>
    <x v="358"/>
    <d v="2025-08-15T00:00:00"/>
    <s v="CUST-0089"/>
    <s v="Jamie Garcia"/>
    <x v="1"/>
    <x v="3"/>
    <s v="NC"/>
    <s v="Charlotte"/>
    <x v="1"/>
    <x v="4"/>
    <s v="TEC-NET-402"/>
    <s v="8-Port Network Switch"/>
    <x v="3"/>
    <x v="5"/>
    <n v="3"/>
    <n v="85.09"/>
    <n v="0.01"/>
    <n v="11"/>
    <s v="Low"/>
    <s v="No"/>
    <n v="2"/>
    <s v="Valid"/>
    <x v="0"/>
    <d v="2023-08-04T00:00:00"/>
    <n v="44"/>
    <n v="255.27"/>
    <n v="0.8509000000000001"/>
    <n v="254.41910000000001"/>
    <n v="132"/>
    <n v="122.41910000000001"/>
    <n v="0.48117102843300685"/>
    <n v="6"/>
    <s v="on time"/>
    <s v="August"/>
    <s v="Q3"/>
  </r>
  <r>
    <s v="ORD-01709"/>
    <x v="359"/>
    <d v="2025-08-18T00:00:00"/>
    <s v="CUST-0018"/>
    <s v="Owen Nguyen"/>
    <x v="2"/>
    <x v="3"/>
    <s v="NC"/>
    <s v="Charlotte"/>
    <x v="2"/>
    <x v="1"/>
    <s v="APP-KIT-101"/>
    <s v="Compact Coffee Brewer"/>
    <x v="0"/>
    <x v="0"/>
    <n v="8"/>
    <n v="89.69"/>
    <n v="0.06"/>
    <n v="14.91"/>
    <s v="Medium"/>
    <s v="No"/>
    <n v="1"/>
    <s v="Valid"/>
    <x v="0"/>
    <d v="2025-07-24T00:00:00"/>
    <n v="48"/>
    <n v="717.52"/>
    <n v="5.3813999999999993"/>
    <n v="712.1386"/>
    <n v="384"/>
    <n v="328.1386"/>
    <n v="0.46077912361441997"/>
    <n v="6"/>
    <s v="on time"/>
    <s v="August"/>
    <s v="Q3"/>
  </r>
  <r>
    <s v="ORD-01150"/>
    <x v="360"/>
    <d v="2025-08-21T00:00:00"/>
    <s v="CUST-0065"/>
    <s v="Drew Nguyen"/>
    <x v="0"/>
    <x v="0"/>
    <s v="NJ"/>
    <s v="Newark"/>
    <x v="2"/>
    <x v="0"/>
    <s v="FUR-CHR-201"/>
    <s v="ErgoFlex Office Chair"/>
    <x v="1"/>
    <x v="11"/>
    <n v="4"/>
    <n v="279.74"/>
    <n v="0.08"/>
    <n v="25.65"/>
    <s v="High"/>
    <s v="Yes"/>
    <n v="1"/>
    <s v="Valid"/>
    <x v="2"/>
    <d v="2025-01-01T00:00:00"/>
    <n v="146"/>
    <n v="1118.96"/>
    <n v="22.379200000000001"/>
    <n v="1096.5808"/>
    <n v="584"/>
    <n v="512.58079999999995"/>
    <n v="0.46743550498057229"/>
    <n v="7"/>
    <s v="on time"/>
    <s v="August"/>
    <s v="Q3"/>
  </r>
  <r>
    <s v="ORD-01373"/>
    <x v="361"/>
    <d v="2025-08-25T00:00:00"/>
    <s v="CUST-0161"/>
    <s v="Drew Walker"/>
    <x v="0"/>
    <x v="0"/>
    <s v="PA"/>
    <s v="Philadelphia"/>
    <x v="0"/>
    <x v="4"/>
    <s v="TEC-LAP-101"/>
    <s v="ApexBook 14 Laptop"/>
    <x v="3"/>
    <x v="7"/>
    <n v="4"/>
    <n v="891.87"/>
    <n v="0.02"/>
    <n v="21.56"/>
    <s v="High"/>
    <s v="No"/>
    <n v="1"/>
    <s v="Valid"/>
    <x v="3"/>
    <d v="2023-10-05T00:00:00"/>
    <n v="585"/>
    <n v="3567.48"/>
    <n v="17.837399999999999"/>
    <n v="3549.6426000000001"/>
    <n v="2340"/>
    <n v="1209.6426000000001"/>
    <n v="0.34077870262206117"/>
    <n v="10"/>
    <s v="on time"/>
    <s v="August"/>
    <s v="Q3"/>
  </r>
  <r>
    <s v="ORD-01438"/>
    <x v="361"/>
    <d v="2025-08-20T00:00:00"/>
    <s v="CUST-0112"/>
    <s v="Priya Walker"/>
    <x v="0"/>
    <x v="0"/>
    <s v="VA"/>
    <s v="Richmond"/>
    <x v="0"/>
    <x v="3"/>
    <s v="APP-KIT-102"/>
    <s v="Mini Refrigerator"/>
    <x v="0"/>
    <x v="0"/>
    <n v="1"/>
    <n v="0"/>
    <n v="0"/>
    <n v="14.8"/>
    <s v="High"/>
    <s v="No"/>
    <n v="1"/>
    <s v="Invalid Price"/>
    <x v="1"/>
    <d v="2022-09-16T00:00:00"/>
    <n v="125"/>
    <n v="0"/>
    <n v="0"/>
    <n v="0"/>
    <n v="125"/>
    <n v="-125"/>
    <e v="#DIV/0!"/>
    <n v="5"/>
    <s v="on time"/>
    <s v="August"/>
    <s v="Q3"/>
  </r>
  <r>
    <s v="ORD-01664"/>
    <x v="361"/>
    <d v="2025-08-18T00:00:00"/>
    <s v="CUST-0078"/>
    <s v="Reese Nguyen"/>
    <x v="0"/>
    <x v="1"/>
    <s v="WA"/>
    <s v="Seattle"/>
    <x v="3"/>
    <x v="1"/>
    <s v="OFF-BIN-201"/>
    <s v="Heavy-Duty Binder 12-Pack"/>
    <x v="2"/>
    <x v="6"/>
    <n v="9"/>
    <n v="37.06"/>
    <n v="0.02"/>
    <n v="13.82"/>
    <s v="High"/>
    <s v="No"/>
    <n v="2"/>
    <s v="Valid"/>
    <x v="2"/>
    <d v="2022-12-16T00:00:00"/>
    <n v="18"/>
    <n v="333.54"/>
    <n v="0.74120000000000008"/>
    <n v="332.79880000000003"/>
    <n v="162"/>
    <n v="170.79880000000003"/>
    <n v="0.51321939862763932"/>
    <n v="3"/>
    <s v="on time"/>
    <s v="August"/>
    <s v="Q3"/>
  </r>
  <r>
    <s v="ORD-01702"/>
    <x v="362"/>
    <d v="2025-08-17T00:00:00"/>
    <s v="CUST-0074"/>
    <s v="Alex Clark"/>
    <x v="2"/>
    <x v="0"/>
    <s v="MA"/>
    <s v="Boston"/>
    <x v="2"/>
    <x v="0"/>
    <s v="FUR-DSK-102"/>
    <s v="Executive Desk 60"/>
    <x v="1"/>
    <x v="1"/>
    <n v="4"/>
    <n v="471.24"/>
    <n v="0.12"/>
    <n v="20.95"/>
    <s v="High"/>
    <s v="No"/>
    <n v="1"/>
    <s v="Valid"/>
    <x v="1"/>
    <d v="2025-06-20T00:00:00"/>
    <n v="265"/>
    <n v="1884.96"/>
    <n v="56.5488"/>
    <n v="1828.4112"/>
    <n v="1060"/>
    <n v="768.41120000000001"/>
    <n v="0.4202617004315003"/>
    <n v="1"/>
    <s v="on time"/>
    <s v="August"/>
    <s v="Q3"/>
  </r>
  <r>
    <s v="ORD-01003"/>
    <x v="363"/>
    <d v="2025-08-26T00:00:00"/>
    <s v="CUST-0046"/>
    <s v="Skyler Miller"/>
    <x v="1"/>
    <x v="2"/>
    <s v="MN"/>
    <s v="Minneapolis"/>
    <x v="3"/>
    <x v="1"/>
    <s v="FUR-STO-302"/>
    <s v="Modular Bookcase"/>
    <x v="1"/>
    <x v="9"/>
    <n v="2"/>
    <n v="224.36"/>
    <n v="0.1"/>
    <n v="19.16"/>
    <s v="Medium"/>
    <s v="No"/>
    <n v="5"/>
    <s v="Valid"/>
    <x v="0"/>
    <d v="2025-01-17T00:00:00"/>
    <n v="118"/>
    <n v="448.72"/>
    <n v="22.436000000000003"/>
    <n v="426.28400000000005"/>
    <n v="236"/>
    <n v="190.28400000000005"/>
    <n v="0.44637847069090097"/>
    <n v="9"/>
    <s v="on time"/>
    <s v="August"/>
    <s v="Q3"/>
  </r>
  <r>
    <s v="ORD-01250"/>
    <x v="364"/>
    <d v="2025-08-25T00:00:00"/>
    <s v="CUST-0020"/>
    <s v="Taylor Robinson"/>
    <x v="2"/>
    <x v="3"/>
    <s v="Missing state"/>
    <s v="Charlotte"/>
    <x v="1"/>
    <x v="5"/>
    <s v="FUR-DSK-101"/>
    <s v="Standing Desk 48"/>
    <x v="1"/>
    <x v="1"/>
    <n v="2"/>
    <n v="332.77"/>
    <n v="0.06"/>
    <n v="26.49"/>
    <s v="High"/>
    <s v="No"/>
    <n v="3"/>
    <s v="Invalid state"/>
    <x v="3"/>
    <d v="2021-11-24T00:00:00"/>
    <n v="184"/>
    <n v="665.54"/>
    <n v="19.966199999999997"/>
    <n v="645.57380000000001"/>
    <n v="368"/>
    <n v="277.57380000000001"/>
    <n v="0.42996447501432061"/>
    <n v="7"/>
    <s v="on time"/>
    <s v="August"/>
    <s v="Q3"/>
  </r>
  <r>
    <s v="ORD-01290"/>
    <x v="364"/>
    <d v="2025-08-23T00:00:00"/>
    <s v="CUST-0056"/>
    <s v="Rowan Nguyen"/>
    <x v="1"/>
    <x v="3"/>
    <s v="TN"/>
    <s v="Nashville"/>
    <x v="1"/>
    <x v="1"/>
    <s v="OFF-SUP-401"/>
    <s v="Desk Organizer Kit"/>
    <x v="2"/>
    <x v="2"/>
    <n v="1"/>
    <n v="28.01"/>
    <n v="0.1"/>
    <n v="11.01"/>
    <s v="High"/>
    <s v="No"/>
    <n v="1"/>
    <s v="Valid"/>
    <x v="3"/>
    <d v="2025-07-10T00:00:00"/>
    <n v="12"/>
    <n v="28.01"/>
    <n v="2.8010000000000002"/>
    <n v="25.209000000000003"/>
    <n v="12"/>
    <n v="13.209000000000003"/>
    <n v="0.52397953111983819"/>
    <n v="5"/>
    <s v="on time"/>
    <s v="August"/>
    <s v="Q3"/>
  </r>
  <r>
    <s v="ORD-01538"/>
    <x v="365"/>
    <d v="2025-08-27T00:00:00"/>
    <s v="CUST-0063"/>
    <s v="Avery Brown"/>
    <x v="1"/>
    <x v="1"/>
    <s v="CA"/>
    <s v="Los Angeles"/>
    <x v="2"/>
    <x v="5"/>
    <s v="APP-KIT-102"/>
    <s v="Mini Refrigerator"/>
    <x v="0"/>
    <x v="0"/>
    <n v="10"/>
    <n v="242.38"/>
    <n v="0.01"/>
    <n v="6.04"/>
    <s v="High"/>
    <s v="No"/>
    <n v="5"/>
    <s v="Valid"/>
    <x v="2"/>
    <d v="2025-04-25T00:00:00"/>
    <n v="125"/>
    <n v="2423.8000000000002"/>
    <n v="2.4238"/>
    <n v="2421.3762000000002"/>
    <n v="1250"/>
    <n v="1171.3762000000002"/>
    <n v="0.48376464590673685"/>
    <n v="8"/>
    <s v="on time"/>
    <s v="August"/>
    <s v="Q3"/>
  </r>
  <r>
    <s v="ORD-01611"/>
    <x v="366"/>
    <d v="2025-08-28T00:00:00"/>
    <s v="CUST-0023"/>
    <s v="Jordan Smith"/>
    <x v="1"/>
    <x v="0"/>
    <s v="NJ"/>
    <s v="Newark"/>
    <x v="0"/>
    <x v="1"/>
    <s v="APP-KIT-102"/>
    <s v="Mini Refrigerator"/>
    <x v="0"/>
    <x v="0"/>
    <n v="4"/>
    <n v="252.56"/>
    <n v="0.11"/>
    <n v="16.559999999999999"/>
    <s v="Critical"/>
    <s v="No"/>
    <n v="4"/>
    <s v="Valid"/>
    <x v="1"/>
    <d v="2023-05-13T00:00:00"/>
    <n v="125"/>
    <n v="1010.24"/>
    <n v="27.781600000000001"/>
    <n v="982.45839999999998"/>
    <n v="500"/>
    <n v="482.45839999999998"/>
    <n v="0.49107259910445061"/>
    <n v="7"/>
    <s v="on time"/>
    <s v="August"/>
    <s v="Q3"/>
  </r>
  <r>
    <s v="ORD-01124"/>
    <x v="367"/>
    <d v="2025-09-01T00:00:00"/>
    <s v="CUST-0128"/>
    <s v="Iris King"/>
    <x v="1"/>
    <x v="2"/>
    <s v="TX"/>
    <s v="Austin"/>
    <x v="1"/>
    <x v="0"/>
    <s v="TEC-LAP-101"/>
    <s v="ApexBook 14 Laptop"/>
    <x v="3"/>
    <x v="7"/>
    <n v="1"/>
    <n v="847.78"/>
    <n v="0.01"/>
    <n v="17.86"/>
    <s v="Low"/>
    <s v="No"/>
    <n v="1"/>
    <s v="Valid"/>
    <x v="1"/>
    <d v="2025-09-08T00:00:00"/>
    <n v="585"/>
    <n v="847.78"/>
    <n v="8.4778000000000002"/>
    <n v="839.30219999999997"/>
    <n v="585"/>
    <n v="254.30219999999997"/>
    <n v="0.30299241441283004"/>
    <n v="9"/>
    <s v="on time"/>
    <s v="August"/>
    <s v="Q3"/>
  </r>
  <r>
    <s v="ORD-01126"/>
    <x v="367"/>
    <d v="2025-08-31T00:00:00"/>
    <s v="CUST-0058"/>
    <s v="Avery Chen"/>
    <x v="2"/>
    <x v="0"/>
    <s v="PA"/>
    <s v="Philadelphia"/>
    <x v="2"/>
    <x v="4"/>
    <s v="TEC-ACC-302"/>
    <s v="USB-C Docking Station"/>
    <x v="3"/>
    <x v="10"/>
    <n v="3"/>
    <n v="135.80000000000001"/>
    <n v="0.11"/>
    <n v="14.94"/>
    <s v="Low"/>
    <s v="No"/>
    <n v="3"/>
    <s v="Valid"/>
    <x v="3"/>
    <d v="2023-03-10T00:00:00"/>
    <n v="72"/>
    <n v="407.40000000000003"/>
    <n v="14.938000000000001"/>
    <n v="392.46200000000005"/>
    <n v="216"/>
    <n v="176.46200000000005"/>
    <n v="0.44962824426313891"/>
    <n v="8"/>
    <s v="on time"/>
    <s v="August"/>
    <s v="Q3"/>
  </r>
  <r>
    <s v="ORD-01651"/>
    <x v="367"/>
    <d v="2025-09-07T00:00:00"/>
    <s v="CUST-0022"/>
    <s v="Sam Allen"/>
    <x v="2"/>
    <x v="2"/>
    <s v="TX"/>
    <s v="Austin"/>
    <x v="2"/>
    <x v="3"/>
    <s v="FUR-CHR-202"/>
    <s v="Mesh Conference Chair"/>
    <x v="1"/>
    <x v="11"/>
    <n v="3"/>
    <n v="150.78"/>
    <n v="7.0000000000000007E-2"/>
    <n v="22.68"/>
    <s v="Medium"/>
    <s v="No"/>
    <n v="5"/>
    <s v="Valid"/>
    <x v="3"/>
    <d v="2024-03-21T00:00:00"/>
    <n v="82"/>
    <n v="452.34000000000003"/>
    <n v="10.554600000000001"/>
    <n v="441.78540000000004"/>
    <n v="246"/>
    <n v="195.78540000000004"/>
    <n v="0.44316856102533042"/>
    <n v="15"/>
    <s v="late"/>
    <s v="August"/>
    <s v="Q3"/>
  </r>
  <r>
    <s v="ORD-01682"/>
    <x v="368"/>
    <d v="2025-09-02T00:00:00"/>
    <s v="CUST-0024"/>
    <s v="Morgan Scott"/>
    <x v="1"/>
    <x v="2"/>
    <s v="IL"/>
    <s v="Chicago"/>
    <x v="3"/>
    <x v="3"/>
    <s v="TEC-MON-201"/>
    <s v="ClearView 27 Monitor"/>
    <x v="3"/>
    <x v="4"/>
    <n v="2"/>
    <n v="301.83999999999997"/>
    <n v="0.08"/>
    <n v="19.309999999999999"/>
    <s v="Low"/>
    <s v="No"/>
    <n v="4"/>
    <s v="Valid"/>
    <x v="0"/>
    <d v="2024-04-21T00:00:00"/>
    <n v="168"/>
    <n v="603.67999999999995"/>
    <n v="24.147199999999998"/>
    <n v="579.53279999999995"/>
    <n v="336"/>
    <n v="243.53279999999995"/>
    <n v="0.42022263450834874"/>
    <n v="9"/>
    <s v="on time"/>
    <s v="August"/>
    <s v="Q3"/>
  </r>
  <r>
    <s v="ORD-01266"/>
    <x v="369"/>
    <d v="2025-08-28T00:00:00"/>
    <s v="CUST-0165"/>
    <s v="Maya Wilson"/>
    <x v="1"/>
    <x v="0"/>
    <s v="MA"/>
    <s v="Boston"/>
    <x v="0"/>
    <x v="5"/>
    <s v="OFF-PAP-101"/>
    <s v="Premium Copy Paper Case"/>
    <x v="2"/>
    <x v="12"/>
    <n v="1"/>
    <n v="37.49"/>
    <n v="0"/>
    <n v="7.65"/>
    <s v="Low"/>
    <s v="No"/>
    <n v="4"/>
    <s v="Valid"/>
    <x v="0"/>
    <d v="2022-12-14T00:00:00"/>
    <n v="20"/>
    <n v="37.49"/>
    <n v="0"/>
    <n v="37.49"/>
    <n v="20"/>
    <n v="17.490000000000002"/>
    <n v="0.46652440650840227"/>
    <n v="3"/>
    <s v="on time"/>
    <s v="August"/>
    <s v="Q3"/>
  </r>
  <r>
    <s v="ORD-01026"/>
    <x v="370"/>
    <d v="2025-08-28T00:00:00"/>
    <s v="CUST-0154"/>
    <s v="Rowan Nguyen"/>
    <x v="0"/>
    <x v="0"/>
    <s v="NY"/>
    <s v="New York"/>
    <x v="3"/>
    <x v="3"/>
    <s v="OFF-BIN-202"/>
    <s v="Presentation Folder Box"/>
    <x v="2"/>
    <x v="6"/>
    <n v="2"/>
    <n v="27.65"/>
    <n v="7.0000000000000007E-2"/>
    <n v="13.01"/>
    <s v="Critical"/>
    <s v="No"/>
    <n v="4"/>
    <s v="Valid"/>
    <x v="1"/>
    <d v="2022-04-17T00:00:00"/>
    <n v="14"/>
    <n v="55.3"/>
    <n v="1.9355"/>
    <n v="53.3645"/>
    <n v="28"/>
    <n v="25.3645"/>
    <n v="0.47530661769528432"/>
    <n v="2"/>
    <s v="on time"/>
    <s v="August"/>
    <s v="Q3"/>
  </r>
  <r>
    <s v="ORD-01133"/>
    <x v="371"/>
    <d v="2025-09-06T00:00:00"/>
    <s v="CUST-0102"/>
    <s v="Kai Nguyen"/>
    <x v="2"/>
    <x v="0"/>
    <s v="PA"/>
    <s v="Philadelphia"/>
    <x v="2"/>
    <x v="3"/>
    <s v="OFF-SUP-401"/>
    <s v="Desk Organizer Kit"/>
    <x v="2"/>
    <x v="2"/>
    <n v="-7"/>
    <n v="25.52"/>
    <n v="0.06"/>
    <n v="7.03"/>
    <s v="Critical"/>
    <s v="No"/>
    <m/>
    <s v="Invalid Quantity"/>
    <x v="2"/>
    <d v="2021-01-06T00:00:00"/>
    <n v="12"/>
    <n v="-178.64"/>
    <n v="1.5311999999999999"/>
    <n v="-180.1712"/>
    <n v="-84"/>
    <n v="-96.171199999999999"/>
    <n v="0.53377676343388958"/>
    <n v="10"/>
    <s v="on time"/>
    <s v="August"/>
    <s v="Q3"/>
  </r>
  <r>
    <s v="ORD-01612"/>
    <x v="371"/>
    <d v="2025-08-28T00:00:00"/>
    <s v="CUST-0034"/>
    <s v="Drew Brown"/>
    <x v="2"/>
    <x v="2"/>
    <s v="MN"/>
    <s v="Minneapolis"/>
    <x v="3"/>
    <x v="0"/>
    <s v="OFF-BIN-201"/>
    <s v="Heavy-Duty Binder 12-Pack"/>
    <x v="2"/>
    <x v="6"/>
    <n v="4"/>
    <n v="36.020000000000003"/>
    <n v="0.26"/>
    <n v="10.119999999999999"/>
    <s v="Low"/>
    <s v="No"/>
    <n v="1"/>
    <s v="Valid"/>
    <x v="0"/>
    <d v="2022-03-20T00:00:00"/>
    <n v="18"/>
    <n v="144.08000000000001"/>
    <n v="9.3652000000000015"/>
    <n v="134.71480000000003"/>
    <n v="72"/>
    <n v="62.714800000000025"/>
    <n v="0.4655375652860711"/>
    <n v="1"/>
    <s v="on time"/>
    <s v="August"/>
    <s v="Q3"/>
  </r>
  <r>
    <s v="ORD-01208"/>
    <x v="372"/>
    <d v="2025-09-10T00:00:00"/>
    <s v="CUST-0052"/>
    <s v="Maya Scott"/>
    <x v="1"/>
    <x v="1"/>
    <s v="CA"/>
    <s v="San Diego"/>
    <x v="3"/>
    <x v="3"/>
    <s v="TEC-LAP-102"/>
    <s v="ApexBook Pro 16 Laptop"/>
    <x v="3"/>
    <x v="7"/>
    <n v="4"/>
    <n v="1426.2"/>
    <n v="0"/>
    <n v="22.6"/>
    <s v="Medium"/>
    <s v="No"/>
    <n v="3"/>
    <s v="Valid"/>
    <x v="2"/>
    <d v="2025-07-06T00:00:00"/>
    <n v="885"/>
    <n v="5704.8"/>
    <n v="0"/>
    <n v="5704.8"/>
    <n v="3540"/>
    <n v="2164.8000000000002"/>
    <n v="0.37946992006731178"/>
    <n v="13"/>
    <s v="late"/>
    <s v="August"/>
    <s v="Q3"/>
  </r>
  <r>
    <s v="ORD-01507"/>
    <x v="372"/>
    <d v="2025-09-04T00:00:00"/>
    <s v="CUST-0100"/>
    <s v="Jamie Robinson"/>
    <x v="0"/>
    <x v="1"/>
    <s v="WA"/>
    <s v="Seattle"/>
    <x v="3"/>
    <x v="3"/>
    <s v="FUR-STO-302"/>
    <s v="Modular Bookcase"/>
    <x v="1"/>
    <x v="9"/>
    <n v="1"/>
    <n v="236.84"/>
    <n v="7.0000000000000007E-2"/>
    <n v="18.18"/>
    <s v="High"/>
    <s v="No"/>
    <m/>
    <s v="Valid"/>
    <x v="0"/>
    <d v="2022-06-22T00:00:00"/>
    <n v="118"/>
    <n v="236.84"/>
    <n v="16.578800000000001"/>
    <n v="220.2612"/>
    <n v="118"/>
    <n v="102.2612"/>
    <n v="0.46427241838326494"/>
    <n v="7"/>
    <s v="on time"/>
    <s v="August"/>
    <s v="Q3"/>
  </r>
  <r>
    <s v="ORD-01610"/>
    <x v="373"/>
    <d v="2025-09-03T00:00:00"/>
    <s v="CUST-0072"/>
    <s v="Sam Wright"/>
    <x v="0"/>
    <x v="3"/>
    <s v="LA"/>
    <s v="New Orleans"/>
    <x v="2"/>
    <x v="0"/>
    <s v="APP-KIT-102"/>
    <s v="Mini Refrigerator"/>
    <x v="0"/>
    <x v="0"/>
    <n v="9"/>
    <n v="250"/>
    <n v="0.34"/>
    <n v="9.61"/>
    <s v="Low"/>
    <s v="No"/>
    <n v="2"/>
    <s v="Valid"/>
    <x v="0"/>
    <d v="2025-07-05T00:00:00"/>
    <n v="125"/>
    <n v="2250"/>
    <n v="85"/>
    <n v="2165"/>
    <n v="1125"/>
    <n v="1040"/>
    <n v="0.48036951501154734"/>
    <n v="5"/>
    <s v="on time"/>
    <s v="August"/>
    <s v="Q3"/>
  </r>
  <r>
    <s v="ORD-01099"/>
    <x v="374"/>
    <d v="2025-09-07T00:00:00"/>
    <s v="CUST-0001"/>
    <s v="Quinn Garcia"/>
    <x v="0"/>
    <x v="3"/>
    <s v="TN"/>
    <s v="Nashville"/>
    <x v="0"/>
    <x v="2"/>
    <s v="OFF-BIN-201"/>
    <s v="Heavy-Duty Binder 12-Pack"/>
    <x v="2"/>
    <x v="6"/>
    <n v="3"/>
    <n v="34.67"/>
    <n v="0.04"/>
    <n v="7.29"/>
    <s v="High"/>
    <s v="No"/>
    <n v="5"/>
    <s v="Valid"/>
    <x v="1"/>
    <d v="2021-09-15T00:00:00"/>
    <n v="18"/>
    <n v="104.01"/>
    <n v="1.3868"/>
    <n v="102.62320000000001"/>
    <n v="54"/>
    <n v="48.623200000000011"/>
    <n v="0.47380319459927195"/>
    <n v="8"/>
    <s v="on time"/>
    <s v="August"/>
    <s v="Q3"/>
  </r>
  <r>
    <s v="ORD-01348"/>
    <x v="374"/>
    <d v="2025-09-07T00:00:00"/>
    <s v="CUST-0105"/>
    <s v="Skyler Miller"/>
    <x v="2"/>
    <x v="3"/>
    <s v="FL"/>
    <s v="Miami"/>
    <x v="1"/>
    <x v="0"/>
    <s v="TEC-MON-202"/>
    <s v="ClearView Ultrawide Monitor"/>
    <x v="3"/>
    <x v="4"/>
    <n v="3"/>
    <n v="534.01"/>
    <n v="0"/>
    <n v="13.31"/>
    <s v="Low"/>
    <s v="No"/>
    <n v="4"/>
    <s v="Valid"/>
    <x v="3"/>
    <d v="2022-02-18T00:00:00"/>
    <n v="310"/>
    <n v="1602.03"/>
    <n v="0"/>
    <n v="1602.03"/>
    <n v="930"/>
    <n v="672.03"/>
    <n v="0.41948652646954177"/>
    <n v="8"/>
    <s v="on time"/>
    <s v="August"/>
    <s v="Q3"/>
  </r>
  <r>
    <s v="ORD-01291"/>
    <x v="375"/>
    <d v="2025-09-06T00:00:00"/>
    <s v="CUST-0104"/>
    <s v="Drew Walker"/>
    <x v="0"/>
    <x v="2"/>
    <s v="MN"/>
    <s v="Minneapolis"/>
    <x v="2"/>
    <x v="1"/>
    <s v="TEC-ACC-302"/>
    <s v="USB-C Docking Station"/>
    <x v="3"/>
    <x v="10"/>
    <n v="2"/>
    <n v="141.46"/>
    <n v="0.11"/>
    <n v="10.210000000000001"/>
    <s v="Low"/>
    <s v="No"/>
    <n v="2"/>
    <s v="Valid"/>
    <x v="0"/>
    <d v="2023-11-06T00:00:00"/>
    <n v="72"/>
    <n v="282.92"/>
    <n v="15.560600000000001"/>
    <n v="267.35939999999999"/>
    <n v="144"/>
    <n v="123.35939999999999"/>
    <n v="0.46139915035715967"/>
    <n v="6"/>
    <s v="on time"/>
    <s v="August"/>
    <s v="Q3"/>
  </r>
  <r>
    <s v="ORD-01004"/>
    <x v="376"/>
    <d v="2025-09-08T00:00:00"/>
    <s v="CUST-0070"/>
    <s v="Casey Miller"/>
    <x v="0"/>
    <x v="1"/>
    <s v="CA"/>
    <s v="San Diego"/>
    <x v="3"/>
    <x v="0"/>
    <s v="OFF-PAP-101"/>
    <s v="Premium Copy Paper Case"/>
    <x v="2"/>
    <x v="12"/>
    <n v="3"/>
    <n v="38.840000000000003"/>
    <n v="7.0000000000000007E-2"/>
    <n v="10.69"/>
    <s v="Critical"/>
    <s v="No"/>
    <n v="4"/>
    <s v="Valid"/>
    <x v="2"/>
    <d v="2021-02-23T00:00:00"/>
    <n v="20"/>
    <n v="116.52000000000001"/>
    <n v="2.7188000000000003"/>
    <n v="113.80120000000001"/>
    <n v="60"/>
    <n v="53.801200000000009"/>
    <n v="0.47276478631156793"/>
    <n v="7"/>
    <s v="on time"/>
    <s v="September"/>
    <s v="Q3"/>
  </r>
  <r>
    <s v="ORD-01345"/>
    <x v="376"/>
    <d v="2025-09-09T00:00:00"/>
    <s v="CUST-0029"/>
    <s v="Iris Miller"/>
    <x v="0"/>
    <x v="0"/>
    <s v="NY"/>
    <s v="New York"/>
    <x v="3"/>
    <x v="3"/>
    <s v="APP-KIT-101"/>
    <s v="Compact Coffee Brewer"/>
    <x v="0"/>
    <x v="0"/>
    <n v="6"/>
    <n v="96.21"/>
    <n v="7.0000000000000007E-2"/>
    <n v="15.63"/>
    <s v="High"/>
    <s v="No"/>
    <n v="4"/>
    <s v="Valid"/>
    <x v="1"/>
    <d v="2025-12-22T00:00:00"/>
    <n v="48"/>
    <n v="577.26"/>
    <n v="6.7347000000000001"/>
    <n v="570.52530000000002"/>
    <n v="288"/>
    <n v="282.52530000000002"/>
    <n v="0.49520205326564837"/>
    <n v="8"/>
    <s v="on time"/>
    <s v="September"/>
    <s v="Q3"/>
  </r>
  <r>
    <s v="ORD-01621"/>
    <x v="377"/>
    <d v="2025-09-06T00:00:00"/>
    <s v="CUST-0160"/>
    <s v="Jordan Wright"/>
    <x v="0"/>
    <x v="1"/>
    <s v="OR"/>
    <s v="Portland"/>
    <x v="3"/>
    <x v="0"/>
    <s v="APP-CLN-202"/>
    <s v="Robot Vacuum"/>
    <x v="0"/>
    <x v="3"/>
    <n v="3"/>
    <n v="316.93"/>
    <n v="0.1"/>
    <n v="5.0199999999999996"/>
    <s v="Critical"/>
    <s v="Unknown"/>
    <m/>
    <s v="Invalid return status"/>
    <x v="2"/>
    <d v="2025-08-22T00:00:00"/>
    <n v="165"/>
    <n v="950.79"/>
    <n v="31.693000000000001"/>
    <n v="919.09699999999998"/>
    <n v="495"/>
    <n v="424.09699999999998"/>
    <n v="0.46142790151637963"/>
    <n v="4"/>
    <s v="on time"/>
    <s v="September"/>
    <s v="Q3"/>
  </r>
  <r>
    <s v="ORD-01053"/>
    <x v="378"/>
    <d v="2025-09-06T00:00:00"/>
    <s v="CUST-0163"/>
    <s v="Taylor Patel"/>
    <x v="2"/>
    <x v="2"/>
    <s v="MN"/>
    <s v="Minneapolis"/>
    <x v="3"/>
    <x v="0"/>
    <s v="OFF-PAP-101"/>
    <s v="Premium Copy Paper Case"/>
    <x v="2"/>
    <x v="12"/>
    <n v="8"/>
    <n v="39.369999999999997"/>
    <n v="0"/>
    <n v="9.9"/>
    <s v="Medium"/>
    <s v="No"/>
    <n v="1"/>
    <s v="Valid"/>
    <x v="1"/>
    <d v="2024-08-06T00:00:00"/>
    <n v="20"/>
    <n v="314.95999999999998"/>
    <n v="0"/>
    <n v="314.95999999999998"/>
    <n v="160"/>
    <n v="154.95999999999998"/>
    <n v="0.49199898399796799"/>
    <n v="2"/>
    <s v="on time"/>
    <s v="September"/>
    <s v="Q3"/>
  </r>
  <r>
    <s v="ORD-01160"/>
    <x v="378"/>
    <d v="2025-09-17T00:00:00"/>
    <s v="CUST-0052"/>
    <s v="Maya Scott"/>
    <x v="1"/>
    <x v="1"/>
    <s v="CA"/>
    <s v="San Diego"/>
    <x v="0"/>
    <x v="3"/>
    <s v="FUR-CHR-202"/>
    <s v="Mesh Conference Chair"/>
    <x v="1"/>
    <x v="11"/>
    <n v="2"/>
    <n v="142.38999999999999"/>
    <n v="0.35"/>
    <n v="28.46"/>
    <s v="Low"/>
    <s v="No"/>
    <n v="4"/>
    <s v="Valid"/>
    <x v="2"/>
    <d v="2025-07-06T00:00:00"/>
    <n v="82"/>
    <n v="284.77999999999997"/>
    <n v="49.836499999999994"/>
    <n v="234.94349999999997"/>
    <n v="164"/>
    <n v="70.943499999999972"/>
    <n v="0.30195983289599404"/>
    <n v="13"/>
    <s v="late"/>
    <s v="September"/>
    <s v="Q3"/>
  </r>
  <r>
    <s v="ORD-01385"/>
    <x v="378"/>
    <d v="2025-09-06T00:00:00"/>
    <s v="CUST-0091"/>
    <s v="Morgan Garcia"/>
    <x v="1"/>
    <x v="1"/>
    <s v="WA"/>
    <s v="Seattle"/>
    <x v="1"/>
    <x v="5"/>
    <s v="APP-KIT-101"/>
    <s v="Compact Coffee Brewer"/>
    <x v="0"/>
    <x v="0"/>
    <n v="-1"/>
    <n v="100.11"/>
    <n v="0.06"/>
    <n v="7.21"/>
    <s v="Low"/>
    <s v="No"/>
    <n v="1"/>
    <s v="Invalid Quantity"/>
    <x v="2"/>
    <d v="2022-11-11T00:00:00"/>
    <n v="48"/>
    <n v="-100.11"/>
    <n v="6.0065999999999997"/>
    <n v="-106.11660000000001"/>
    <n v="-48"/>
    <n v="-58.116600000000005"/>
    <n v="0.54766737720582837"/>
    <n v="2"/>
    <s v="on time"/>
    <s v="September"/>
    <s v="Q3"/>
  </r>
  <r>
    <s v="ORD-01503"/>
    <x v="378"/>
    <d v="2025-09-21T00:00:00"/>
    <s v="CUST-0118"/>
    <s v="Maya Garcia"/>
    <x v="0"/>
    <x v="1"/>
    <s v="CA"/>
    <s v="San Diego"/>
    <x v="0"/>
    <x v="5"/>
    <s v="APP-CLN-202"/>
    <s v="Robot Vacuum"/>
    <x v="0"/>
    <x v="3"/>
    <n v="0"/>
    <n v="329.02"/>
    <n v="0.08"/>
    <n v="6.65"/>
    <s v="High"/>
    <s v="No"/>
    <n v="1"/>
    <s v="Invalid Quantity"/>
    <x v="3"/>
    <d v="2021-02-09T00:00:00"/>
    <n v="165"/>
    <n v="0"/>
    <n v="26.3216"/>
    <n v="-26.3216"/>
    <n v="0"/>
    <n v="-26.3216"/>
    <n v="1"/>
    <n v="17"/>
    <s v="late"/>
    <s v="September"/>
    <s v="Q3"/>
  </r>
  <r>
    <s v="ORD-01068"/>
    <x v="379"/>
    <d v="2025-09-19T00:00:00"/>
    <s v="CUST-0072"/>
    <s v="Sam Wright"/>
    <x v="0"/>
    <x v="3"/>
    <s v="LA"/>
    <s v="New Orleans"/>
    <x v="0"/>
    <x v="2"/>
    <s v="OFF-SUP-402"/>
    <s v="Label Maker"/>
    <x v="2"/>
    <x v="2"/>
    <n v="2"/>
    <n v="77.03"/>
    <n v="7.0000000000000007E-2"/>
    <n v="8.3800000000000008"/>
    <s v="High"/>
    <s v="No"/>
    <n v="4"/>
    <s v="Valid"/>
    <x v="0"/>
    <d v="2025-07-05T00:00:00"/>
    <n v="36"/>
    <n v="154.06"/>
    <n v="5.392100000000001"/>
    <n v="148.6679"/>
    <n v="72"/>
    <n v="76.667900000000003"/>
    <n v="0.51569908500759076"/>
    <n v="14"/>
    <s v="late"/>
    <s v="September"/>
    <s v="Q3"/>
  </r>
  <r>
    <s v="ORD-01430"/>
    <x v="379"/>
    <d v="2025-09-06T00:00:00"/>
    <s v="CUST-0102"/>
    <s v="Kai Nguyen"/>
    <x v="2"/>
    <x v="0"/>
    <s v="PA"/>
    <s v="Philadelphia"/>
    <x v="1"/>
    <x v="4"/>
    <s v="OFF-WRT-302"/>
    <s v="Mechanical Pencil Set"/>
    <x v="2"/>
    <x v="8"/>
    <n v="1"/>
    <n v="12.49"/>
    <n v="0"/>
    <n v="6.83"/>
    <s v="Low"/>
    <s v="No"/>
    <n v="3"/>
    <s v="Valid"/>
    <x v="2"/>
    <d v="2021-01-06T00:00:00"/>
    <n v="5"/>
    <n v="12.49"/>
    <n v="0"/>
    <n v="12.49"/>
    <n v="5"/>
    <n v="7.49"/>
    <n v="0.59967974379503608"/>
    <n v="1"/>
    <s v="on time"/>
    <s v="September"/>
    <s v="Q3"/>
  </r>
  <r>
    <s v="ORD-01045"/>
    <x v="380"/>
    <d v="2025-09-15T00:00:00"/>
    <s v="CUST-0151"/>
    <s v="Owen Johnson"/>
    <x v="1"/>
    <x v="0"/>
    <s v="PA"/>
    <s v="Philadelphia"/>
    <x v="3"/>
    <x v="3"/>
    <s v="TEC-ACC-301"/>
    <s v="Wireless Keyboard and Mouse"/>
    <x v="3"/>
    <x v="10"/>
    <n v="3"/>
    <n v="62.07"/>
    <n v="0.01"/>
    <n v="16.329999999999998"/>
    <s v="High"/>
    <s v="No"/>
    <m/>
    <s v="Valid"/>
    <x v="2"/>
    <d v="2024-05-07T00:00:00"/>
    <n v="28"/>
    <n v="186.21"/>
    <n v="0.62070000000000003"/>
    <n v="185.58930000000001"/>
    <n v="84"/>
    <n v="101.58930000000001"/>
    <n v="0.54738769961414802"/>
    <n v="9"/>
    <s v="on time"/>
    <s v="September"/>
    <s v="Q3"/>
  </r>
  <r>
    <s v="ORD-01275"/>
    <x v="380"/>
    <d v="2025-09-14T00:00:00"/>
    <s v="CUST-0010"/>
    <s v="Cameron Kim"/>
    <x v="0"/>
    <x v="1"/>
    <s v="CA"/>
    <s v="San Diego"/>
    <x v="3"/>
    <x v="4"/>
    <s v="APP-CLN-201"/>
    <s v="Air Purifier"/>
    <x v="0"/>
    <x v="3"/>
    <n v="9"/>
    <n v="173.46"/>
    <n v="0.02"/>
    <n v="7.16"/>
    <s v="Critical"/>
    <s v="No"/>
    <n v="1"/>
    <s v="Valid"/>
    <x v="0"/>
    <d v="2022-07-10T00:00:00"/>
    <n v="82"/>
    <n v="1561.14"/>
    <n v="3.4692000000000003"/>
    <n v="1557.6708000000001"/>
    <n v="738"/>
    <n v="819.6708000000001"/>
    <n v="0.5262156804890995"/>
    <n v="8"/>
    <s v="on time"/>
    <s v="September"/>
    <s v="Q3"/>
  </r>
  <r>
    <s v="ORD-01500"/>
    <x v="380"/>
    <d v="2025-09-07T00:00:00"/>
    <s v="CUST-0067"/>
    <s v="Priya Miller"/>
    <x v="1"/>
    <x v="3"/>
    <s v="FL"/>
    <s v="Miami"/>
    <x v="0"/>
    <x v="1"/>
    <s v="OFF-BIN-202"/>
    <s v="Presentation Folder Box"/>
    <x v="2"/>
    <x v="6"/>
    <n v="10"/>
    <n v="29.66"/>
    <n v="0.09"/>
    <n v="13.72"/>
    <s v="Medium"/>
    <s v="No"/>
    <n v="2"/>
    <s v="Valid"/>
    <x v="2"/>
    <d v="2023-12-14T00:00:00"/>
    <n v="14"/>
    <n v="296.60000000000002"/>
    <n v="2.6694"/>
    <n v="293.93060000000003"/>
    <n v="140"/>
    <n v="153.93060000000003"/>
    <n v="0.52369709040161183"/>
    <n v="1"/>
    <s v="on time"/>
    <s v="September"/>
    <s v="Q3"/>
  </r>
  <r>
    <s v="ORD-01187"/>
    <x v="381"/>
    <d v="2025-09-23T00:00:00"/>
    <s v="CUST-0076"/>
    <s v="Morgan Nguyen"/>
    <x v="2"/>
    <x v="3"/>
    <s v="LA"/>
    <s v="New Orleans"/>
    <x v="2"/>
    <x v="1"/>
    <s v="APP-KIT-102"/>
    <s v="Mini Refrigerator"/>
    <x v="0"/>
    <x v="0"/>
    <n v="5"/>
    <n v="247.02"/>
    <n v="0.09"/>
    <n v="8.4700000000000006"/>
    <s v="Critical"/>
    <s v="No"/>
    <n v="5"/>
    <s v="Valid"/>
    <x v="1"/>
    <d v="2022-10-01T00:00:00"/>
    <n v="125"/>
    <n v="1235.1000000000001"/>
    <n v="22.2318"/>
    <n v="1212.8682000000001"/>
    <n v="625"/>
    <n v="587.86820000000012"/>
    <n v="0.48469256593585358"/>
    <n v="16"/>
    <s v="late"/>
    <s v="September"/>
    <s v="Q3"/>
  </r>
  <r>
    <s v="ORD-01229"/>
    <x v="381"/>
    <d v="2025-09-11T00:00:00"/>
    <s v="CUST-0056"/>
    <s v="Rowan Nguyen"/>
    <x v="1"/>
    <x v="3"/>
    <s v="TN"/>
    <s v="Nashville"/>
    <x v="1"/>
    <x v="1"/>
    <s v="APP-KIT-102"/>
    <s v="Mini Refrigerator"/>
    <x v="0"/>
    <x v="0"/>
    <n v="8"/>
    <n v="243.96"/>
    <n v="0.08"/>
    <n v="12.27"/>
    <s v="Critical"/>
    <s v="No"/>
    <n v="1"/>
    <s v="Valid"/>
    <x v="3"/>
    <d v="2025-07-10T00:00:00"/>
    <n v="125"/>
    <n v="1951.68"/>
    <n v="19.5168"/>
    <n v="1932.1632"/>
    <n v="1000"/>
    <n v="932.16319999999996"/>
    <n v="0.48244537521468167"/>
    <n v="4"/>
    <s v="on time"/>
    <s v="September"/>
    <s v="Q3"/>
  </r>
  <r>
    <s v="ORD-01253"/>
    <x v="381"/>
    <d v="2025-09-12T00:00:00"/>
    <s v="CUST-0107"/>
    <s v="Jordan Clark"/>
    <x v="2"/>
    <x v="3"/>
    <s v="NC"/>
    <s v="Charlotte"/>
    <x v="0"/>
    <x v="1"/>
    <s v="TEC-ACC-302"/>
    <s v="USB-C Docking Station"/>
    <x v="3"/>
    <x v="10"/>
    <n v="4"/>
    <n v="138.16999999999999"/>
    <n v="0.1"/>
    <n v="8.49"/>
    <s v="High"/>
    <s v="No"/>
    <n v="2"/>
    <s v="Valid"/>
    <x v="3"/>
    <d v="2025-09-19T00:00:00"/>
    <n v="72"/>
    <n v="552.67999999999995"/>
    <n v="13.817"/>
    <n v="538.86299999999994"/>
    <n v="288"/>
    <n v="250.86299999999994"/>
    <n v="0.46554133425378985"/>
    <n v="5"/>
    <s v="on time"/>
    <s v="September"/>
    <s v="Q3"/>
  </r>
  <r>
    <s v="ORD-01395"/>
    <x v="382"/>
    <d v="2025-09-15T00:00:00"/>
    <s v="CUST-0111"/>
    <s v="Avery Wright"/>
    <x v="0"/>
    <x v="2"/>
    <s v="MN"/>
    <s v="Minneapolis"/>
    <x v="1"/>
    <x v="2"/>
    <s v="FUR-CHR-201"/>
    <s v="ErgoFlex Office Chair"/>
    <x v="1"/>
    <x v="11"/>
    <n v="3"/>
    <n v="283.14"/>
    <n v="0.02"/>
    <n v="26.31"/>
    <s v="Critical"/>
    <s v="No"/>
    <n v="4"/>
    <s v="Valid"/>
    <x v="3"/>
    <d v="2025-09-02T00:00:00"/>
    <n v="146"/>
    <n v="849.42"/>
    <n v="5.6627999999999998"/>
    <n v="843.75720000000001"/>
    <n v="438"/>
    <n v="405.75720000000001"/>
    <n v="0.48089331859923684"/>
    <n v="6"/>
    <s v="on time"/>
    <s v="September"/>
    <s v="Q3"/>
  </r>
  <r>
    <s v="ORD-01259"/>
    <x v="383"/>
    <d v="2025-09-24T00:00:00"/>
    <s v="CUST-0151"/>
    <s v="Owen Johnson"/>
    <x v="1"/>
    <x v="0"/>
    <s v="PA"/>
    <s v="Philadelphia"/>
    <x v="1"/>
    <x v="1"/>
    <s v="FUR-STO-301"/>
    <s v="Two-Drawer File Cabinet"/>
    <x v="1"/>
    <x v="9"/>
    <n v="2"/>
    <n v="177.05"/>
    <n v="0.11"/>
    <n v="27.76"/>
    <s v="Medium"/>
    <s v="No"/>
    <n v="5"/>
    <s v="Valid"/>
    <x v="2"/>
    <d v="2024-05-07T00:00:00"/>
    <n v="88"/>
    <n v="354.1"/>
    <n v="19.4755"/>
    <n v="334.62450000000001"/>
    <n v="176"/>
    <n v="158.62450000000001"/>
    <n v="0.4740373164547127"/>
    <n v="14"/>
    <s v="late"/>
    <s v="September"/>
    <s v="Q3"/>
  </r>
  <r>
    <s v="ORD-01314"/>
    <x v="383"/>
    <d v="2025-09-11T00:00:00"/>
    <s v="CUST-0081"/>
    <s v="Kai Garcia"/>
    <x v="2"/>
    <x v="1"/>
    <s v="AZ"/>
    <s v="Phoenix"/>
    <x v="0"/>
    <x v="5"/>
    <s v="TEC-LAP-102"/>
    <s v="ApexBook Pro 16 Laptop"/>
    <x v="3"/>
    <x v="7"/>
    <n v="4"/>
    <n v="1415.81"/>
    <n v="0.05"/>
    <n v="5.34"/>
    <s v="Critical"/>
    <s v="No"/>
    <n v="5"/>
    <s v="Valid"/>
    <x v="1"/>
    <d v="2024-09-14T00:00:00"/>
    <n v="885"/>
    <n v="5663.24"/>
    <n v="70.790499999999994"/>
    <n v="5592.4494999999997"/>
    <n v="3540"/>
    <n v="2052.4494999999997"/>
    <n v="0.36700367164692321"/>
    <n v="1"/>
    <s v="on time"/>
    <s v="September"/>
    <s v="Q3"/>
  </r>
  <r>
    <s v="ORD-01357"/>
    <x v="384"/>
    <d v="2025-09-20T00:00:00"/>
    <s v="CUST-0123"/>
    <s v="Taylor Wright"/>
    <x v="1"/>
    <x v="1"/>
    <s v="CA"/>
    <s v="San Diego"/>
    <x v="1"/>
    <x v="4"/>
    <s v="APP-CLN-201"/>
    <s v="Air Purifier"/>
    <x v="0"/>
    <x v="3"/>
    <n v="2"/>
    <n v="161.32"/>
    <n v="0.09"/>
    <n v="15.33"/>
    <s v="Low"/>
    <s v="No"/>
    <n v="2"/>
    <s v="Valid"/>
    <x v="0"/>
    <d v="2024-07-22T00:00:00"/>
    <n v="82"/>
    <n v="322.64"/>
    <n v="14.518799999999999"/>
    <n v="308.12119999999999"/>
    <n v="164"/>
    <n v="144.12119999999999"/>
    <n v="0.46774191454531527"/>
    <n v="9"/>
    <s v="on time"/>
    <s v="September"/>
    <s v="Q3"/>
  </r>
  <r>
    <s v="ORD-01380"/>
    <x v="385"/>
    <d v="2025-09-17T00:00:00"/>
    <s v="CUST-0030"/>
    <s v="Lena Martinez"/>
    <x v="0"/>
    <x v="1"/>
    <s v="OR"/>
    <s v="Portland"/>
    <x v="2"/>
    <x v="4"/>
    <s v="FUR-CHR-201"/>
    <s v="ErgoFlex Office Chair"/>
    <x v="1"/>
    <x v="11"/>
    <n v="1"/>
    <n v="268"/>
    <n v="0.01"/>
    <n v="25.2"/>
    <s v="Medium"/>
    <s v="No"/>
    <m/>
    <s v="Valid"/>
    <x v="0"/>
    <d v="2024-03-22T00:00:00"/>
    <n v="146"/>
    <n v="268"/>
    <n v="2.68"/>
    <n v="265.32"/>
    <n v="146"/>
    <n v="119.32"/>
    <n v="0.4497210915121363"/>
    <n v="5"/>
    <s v="on time"/>
    <s v="September"/>
    <s v="Q3"/>
  </r>
  <r>
    <s v="ORD-01541"/>
    <x v="385"/>
    <d v="2025-09-16T00:00:00"/>
    <s v="CUST-0025"/>
    <s v="Jamie Scott"/>
    <x v="2"/>
    <x v="0"/>
    <s v="NJ"/>
    <s v="Newark"/>
    <x v="1"/>
    <x v="4"/>
    <s v="OFF-WRT-302"/>
    <s v="Mechanical Pencil Set"/>
    <x v="2"/>
    <x v="8"/>
    <n v="8"/>
    <n v="11.36"/>
    <n v="0.02"/>
    <n v="5.39"/>
    <s v="High"/>
    <s v="No"/>
    <n v="3"/>
    <s v="Valid"/>
    <x v="0"/>
    <d v="2022-06-23T00:00:00"/>
    <n v="5"/>
    <n v="90.88"/>
    <n v="0.22719999999999999"/>
    <n v="90.652799999999999"/>
    <n v="40"/>
    <n v="50.652799999999999"/>
    <n v="0.5587560450421829"/>
    <n v="4"/>
    <s v="on time"/>
    <s v="September"/>
    <s v="Q3"/>
  </r>
  <r>
    <s v="ORD-01588"/>
    <x v="386"/>
    <d v="2025-09-27T00:00:00"/>
    <s v="CUST-0127"/>
    <s v="Riley Wilson"/>
    <x v="1"/>
    <x v="1"/>
    <s v="OR"/>
    <s v="Portland"/>
    <x v="2"/>
    <x v="3"/>
    <s v="TEC-MON-201"/>
    <s v="ClearView 27 Monitor"/>
    <x v="3"/>
    <x v="4"/>
    <n v="1"/>
    <n v="296.51"/>
    <n v="0.3"/>
    <n v="13.42"/>
    <s v="Critical"/>
    <s v="No"/>
    <n v="2"/>
    <s v="Valid"/>
    <x v="2"/>
    <d v="2021-01-05T00:00:00"/>
    <n v="168"/>
    <n v="296.51"/>
    <n v="88.952999999999989"/>
    <n v="207.55700000000002"/>
    <n v="168"/>
    <n v="39.557000000000016"/>
    <n v="0.19058379144042367"/>
    <n v="14"/>
    <s v="late"/>
    <s v="September"/>
    <s v="Q3"/>
  </r>
  <r>
    <s v="ORD-01186"/>
    <x v="387"/>
    <d v="2025-09-23T00:00:00"/>
    <s v="CUST-0056"/>
    <s v="Rowan Nguyen"/>
    <x v="1"/>
    <x v="3"/>
    <s v="TN"/>
    <s v="Nashville"/>
    <x v="1"/>
    <x v="5"/>
    <s v="TEC-NET-401"/>
    <s v="Mesh Wi-Fi Router"/>
    <x v="3"/>
    <x v="5"/>
    <n v="2"/>
    <n v="193.08"/>
    <n v="0.02"/>
    <n v="12.66"/>
    <s v="High"/>
    <s v="No"/>
    <n v="1"/>
    <s v="Valid"/>
    <x v="3"/>
    <d v="2025-07-10T00:00:00"/>
    <n v="96"/>
    <n v="386.16"/>
    <n v="3.8616000000000001"/>
    <n v="382.29840000000002"/>
    <n v="192"/>
    <n v="190.29840000000002"/>
    <n v="0.49777451331211431"/>
    <n v="9"/>
    <s v="on time"/>
    <s v="September"/>
    <s v="Q3"/>
  </r>
  <r>
    <s v="ORD-01553"/>
    <x v="388"/>
    <d v="2025-09-16T00:00:00"/>
    <s v="CUST-0081"/>
    <s v="Kai Garcia"/>
    <x v="2"/>
    <x v="1"/>
    <s v="AZ"/>
    <s v="Phoenix"/>
    <x v="2"/>
    <x v="3"/>
    <s v="APP-KIT-102"/>
    <s v="Mini Refrigerator"/>
    <x v="0"/>
    <x v="0"/>
    <n v="1"/>
    <n v="249.88"/>
    <n v="0.09"/>
    <n v="16.38"/>
    <s v="High"/>
    <s v="No"/>
    <m/>
    <s v="Valid"/>
    <x v="1"/>
    <d v="2024-09-14T00:00:00"/>
    <n v="125"/>
    <n v="249.88"/>
    <n v="22.4892"/>
    <n v="227.39079999999998"/>
    <n v="125"/>
    <n v="102.39079999999998"/>
    <n v="0.45028558763151366"/>
    <n v="1"/>
    <s v="on time"/>
    <s v="September"/>
    <s v="Q3"/>
  </r>
  <r>
    <s v="ORD-01525"/>
    <x v="389"/>
    <d v="2025-09-18T00:00:00"/>
    <s v="CUST-0090"/>
    <s v="Reese Davis"/>
    <x v="1"/>
    <x v="0"/>
    <s v="MA"/>
    <s v="Boston"/>
    <x v="2"/>
    <x v="4"/>
    <s v="OFF-SUP-402"/>
    <s v="Label Maker"/>
    <x v="2"/>
    <x v="2"/>
    <n v="7"/>
    <n v="78.37"/>
    <n v="0.3"/>
    <n v="16.32"/>
    <s v="Low"/>
    <s v="No"/>
    <n v="4"/>
    <s v="Valid"/>
    <x v="2"/>
    <d v="2025-05-10T00:00:00"/>
    <n v="36"/>
    <n v="548.59"/>
    <n v="23.510999999999999"/>
    <n v="525.07900000000006"/>
    <n v="252"/>
    <n v="273.07900000000006"/>
    <n v="0.52007221770438361"/>
    <n v="2"/>
    <s v="on time"/>
    <s v="September"/>
    <s v="Q3"/>
  </r>
  <r>
    <s v="ORD-01318"/>
    <x v="390"/>
    <d v="2025-09-27T00:00:00"/>
    <s v="CUST-0027"/>
    <s v="Cameron Lopez"/>
    <x v="2"/>
    <x v="1"/>
    <s v="CA"/>
    <s v="San Diego"/>
    <x v="0"/>
    <x v="3"/>
    <s v="OFF-PAP-101"/>
    <s v="Premium Copy Paper Case"/>
    <x v="2"/>
    <x v="12"/>
    <n v="2"/>
    <n v="39.72"/>
    <n v="0.02"/>
    <n v="13.59"/>
    <s v="Medium"/>
    <s v="No"/>
    <n v="3"/>
    <s v="Valid"/>
    <x v="3"/>
    <d v="2025-02-25T00:00:00"/>
    <n v="20"/>
    <n v="79.44"/>
    <n v="0.7944"/>
    <n v="78.645600000000002"/>
    <n v="40"/>
    <n v="38.645600000000002"/>
    <n v="0.49138921948589626"/>
    <n v="10"/>
    <s v="on time"/>
    <s v="September"/>
    <s v="Q3"/>
  </r>
  <r>
    <s v="ORD-01620"/>
    <x v="390"/>
    <d v="2025-09-18T00:00:00"/>
    <s v="CUST-0143"/>
    <s v="Reese Brown"/>
    <x v="0"/>
    <x v="1"/>
    <s v="CA"/>
    <s v="Los Angeles"/>
    <x v="1"/>
    <x v="0"/>
    <s v="OFF-PAP-102"/>
    <s v="Recycled Notebook Pack"/>
    <x v="2"/>
    <x v="12"/>
    <n v="8"/>
    <n v="21.41"/>
    <n v="0.01"/>
    <n v="5.29"/>
    <s v="Low"/>
    <s v="No"/>
    <n v="5"/>
    <s v="Valid"/>
    <x v="2"/>
    <d v="2021-02-14T00:00:00"/>
    <n v="10"/>
    <n v="171.28"/>
    <n v="0.21410000000000001"/>
    <n v="171.0659"/>
    <n v="80"/>
    <n v="91.065899999999999"/>
    <n v="0.53234396802635708"/>
    <n v="1"/>
    <s v="on time"/>
    <s v="September"/>
    <s v="Q3"/>
  </r>
  <r>
    <s v="ORD-01116"/>
    <x v="391"/>
    <d v="2025-09-22T00:00:00"/>
    <s v="CUST-0118"/>
    <s v="Maya Garcia"/>
    <x v="0"/>
    <x v="1"/>
    <s v="CA"/>
    <s v="San Diego"/>
    <x v="1"/>
    <x v="5"/>
    <s v="APP-KIT-101"/>
    <s v="Compact Coffee Brewer"/>
    <x v="0"/>
    <x v="0"/>
    <n v="3"/>
    <n v="94.57"/>
    <n v="0.03"/>
    <n v="5.73"/>
    <s v="Medium"/>
    <s v="No"/>
    <n v="2"/>
    <s v="Valid"/>
    <x v="3"/>
    <d v="2021-02-09T00:00:00"/>
    <n v="48"/>
    <n v="283.70999999999998"/>
    <n v="2.8370999999999995"/>
    <n v="280.87289999999996"/>
    <n v="144"/>
    <n v="136.87289999999996"/>
    <n v="0.48731258871895428"/>
    <n v="4"/>
    <s v="on time"/>
    <s v="September"/>
    <s v="Q3"/>
  </r>
  <r>
    <s v="ORD-01007"/>
    <x v="392"/>
    <d v="2025-09-23T00:00:00"/>
    <s v="CUST-0006"/>
    <s v="Priya Wilson"/>
    <x v="0"/>
    <x v="2"/>
    <s v="IL"/>
    <s v="Chicago"/>
    <x v="2"/>
    <x v="1"/>
    <s v="TEC-LAP-102"/>
    <s v="ApexBook Pro 16 Laptop"/>
    <x v="3"/>
    <x v="7"/>
    <n v="2"/>
    <n v="1377.4"/>
    <n v="0.1"/>
    <n v="18.399999999999999"/>
    <s v="Medium"/>
    <s v="Yes"/>
    <m/>
    <s v="Valid"/>
    <x v="1"/>
    <d v="2025-12-22T00:00:00"/>
    <n v="885"/>
    <n v="2754.8"/>
    <n v="137.74"/>
    <n v="2617.0600000000004"/>
    <n v="1770"/>
    <n v="847.0600000000004"/>
    <n v="0.32366854409146151"/>
    <n v="4"/>
    <s v="on time"/>
    <s v="September"/>
    <s v="Q3"/>
  </r>
  <r>
    <s v="ORD-01358"/>
    <x v="392"/>
    <d v="2025-10-07T00:00:00"/>
    <s v="CUST-0082"/>
    <s v="Alex Wright"/>
    <x v="1"/>
    <x v="2"/>
    <s v="TX"/>
    <s v="Austin"/>
    <x v="3"/>
    <x v="5"/>
    <s v="TEC-NET-401"/>
    <s v="Mesh Wi-Fi Router"/>
    <x v="3"/>
    <x v="5"/>
    <n v="3"/>
    <n v="197.95"/>
    <n v="0.03"/>
    <n v="21.75"/>
    <s v="Critical"/>
    <s v="No"/>
    <n v="1"/>
    <s v="Valid"/>
    <x v="2"/>
    <d v="2022-06-23T00:00:00"/>
    <n v="96"/>
    <n v="593.84999999999991"/>
    <n v="5.9384999999999994"/>
    <n v="587.91149999999993"/>
    <n v="288"/>
    <n v="299.91149999999993"/>
    <n v="0.51013035125184647"/>
    <n v="18"/>
    <s v="late"/>
    <s v="September"/>
    <s v="Q3"/>
  </r>
  <r>
    <s v="ORD-01528"/>
    <x v="392"/>
    <d v="2025-09-24T00:00:00"/>
    <s v="CUST-0002"/>
    <s v="Lena Martinez"/>
    <x v="1"/>
    <x v="3"/>
    <s v="TN"/>
    <s v="Nashville"/>
    <x v="3"/>
    <x v="4"/>
    <s v="FUR-DSK-101"/>
    <s v="Standing Desk 48"/>
    <x v="1"/>
    <x v="1"/>
    <n v="3"/>
    <n v="341.61"/>
    <n v="7.0000000000000007E-2"/>
    <n v="24.27"/>
    <s v="Critical"/>
    <s v="No"/>
    <m/>
    <s v="Valid"/>
    <x v="1"/>
    <d v="2024-11-20T00:00:00"/>
    <n v="184"/>
    <n v="1024.83"/>
    <n v="23.912700000000005"/>
    <n v="1000.9173"/>
    <n v="552"/>
    <n v="448.91729999999995"/>
    <n v="0.44850588555118387"/>
    <n v="5"/>
    <s v="on time"/>
    <s v="September"/>
    <s v="Q3"/>
  </r>
  <r>
    <s v="ORD-01192"/>
    <x v="393"/>
    <d v="2025-09-29T00:00:00"/>
    <s v="CUST-0108"/>
    <s v="Rowan Young"/>
    <x v="0"/>
    <x v="0"/>
    <s v="NJ"/>
    <s v="Newark"/>
    <x v="1"/>
    <x v="4"/>
    <s v="OFF-SUP-401"/>
    <s v="Desk Organizer Kit"/>
    <x v="2"/>
    <x v="2"/>
    <n v="7"/>
    <n v="26.46"/>
    <n v="0.25"/>
    <n v="8.27"/>
    <s v="Critical"/>
    <s v="No"/>
    <n v="1"/>
    <s v="Valid"/>
    <x v="0"/>
    <d v="2025-06-03T00:00:00"/>
    <n v="12"/>
    <n v="185.22"/>
    <n v="6.6150000000000002"/>
    <n v="178.60499999999999"/>
    <n v="84"/>
    <n v="94.60499999999999"/>
    <n v="0.52968841857730742"/>
    <n v="9"/>
    <s v="on time"/>
    <s v="September"/>
    <s v="Q3"/>
  </r>
  <r>
    <s v="ORD-01301"/>
    <x v="394"/>
    <d v="2025-10-01T00:00:00"/>
    <s v="CUST-0130"/>
    <s v="Iris Allen"/>
    <x v="1"/>
    <x v="1"/>
    <s v="OR"/>
    <s v="Portland"/>
    <x v="3"/>
    <x v="3"/>
    <s v="APP-KIT-101"/>
    <s v="Compact Coffee Brewer"/>
    <x v="0"/>
    <x v="0"/>
    <n v="7"/>
    <n v="95.38"/>
    <n v="0.11"/>
    <n v="11.47"/>
    <s v="Medium"/>
    <s v="No"/>
    <n v="2"/>
    <s v="Valid"/>
    <x v="3"/>
    <d v="2021-12-13T00:00:00"/>
    <n v="48"/>
    <n v="667.66"/>
    <n v="10.4918"/>
    <n v="657.16819999999996"/>
    <n v="336"/>
    <n v="321.16819999999996"/>
    <n v="0.48871536997681869"/>
    <n v="10"/>
    <s v="on time"/>
    <s v="September"/>
    <s v="Q3"/>
  </r>
  <r>
    <s v="ORD-01365"/>
    <x v="394"/>
    <d v="2025-09-23T00:00:00"/>
    <s v="CUST-0067"/>
    <s v="Priya Miller"/>
    <x v="1"/>
    <x v="3"/>
    <s v="FL"/>
    <s v="Miami"/>
    <x v="0"/>
    <x v="5"/>
    <s v="OFF-BIN-202"/>
    <s v="Presentation Folder Box"/>
    <x v="2"/>
    <x v="6"/>
    <n v="3"/>
    <n v="27.3"/>
    <n v="0.1"/>
    <n v="13.07"/>
    <s v="High"/>
    <s v="No"/>
    <n v="3"/>
    <s v="Valid"/>
    <x v="2"/>
    <d v="2023-12-14T00:00:00"/>
    <n v="14"/>
    <n v="81.900000000000006"/>
    <n v="2.7300000000000004"/>
    <n v="79.17"/>
    <n v="42"/>
    <n v="37.17"/>
    <n v="0.46949602122015915"/>
    <n v="2"/>
    <s v="on time"/>
    <s v="September"/>
    <s v="Q3"/>
  </r>
  <r>
    <s v="ORD-01221"/>
    <x v="395"/>
    <d v="2025-09-27T00:00:00"/>
    <s v="CUST-0048"/>
    <s v="Drew Clark"/>
    <x v="1"/>
    <x v="0"/>
    <s v="NY"/>
    <s v="New York"/>
    <x v="0"/>
    <x v="3"/>
    <s v="OFF-SUP-401"/>
    <s v="Desk Organizer Kit"/>
    <x v="2"/>
    <x v="2"/>
    <n v="9"/>
    <n v="26.17"/>
    <n v="0.08"/>
    <n v="16.3"/>
    <s v="Critical"/>
    <s v="No"/>
    <n v="5"/>
    <s v="Valid"/>
    <x v="2"/>
    <d v="2025-08-10T00:00:00"/>
    <n v="12"/>
    <n v="235.53000000000003"/>
    <n v="2.0936000000000003"/>
    <n v="233.43640000000002"/>
    <n v="108"/>
    <n v="125.43640000000002"/>
    <n v="0.53734721748621894"/>
    <n v="5"/>
    <s v="on time"/>
    <s v="September"/>
    <s v="Q3"/>
  </r>
  <r>
    <s v="ORD-01171"/>
    <x v="396"/>
    <d v="2025-09-24T00:00:00"/>
    <s v="CUST-0034"/>
    <s v="Drew Brown"/>
    <x v="2"/>
    <x v="2"/>
    <s v="MN"/>
    <s v="Minneapolis"/>
    <x v="3"/>
    <x v="2"/>
    <s v="OFF-WRT-302"/>
    <s v="Mechanical Pencil Set"/>
    <x v="2"/>
    <x v="8"/>
    <n v="1"/>
    <n v="11.75"/>
    <n v="0.04"/>
    <n v="8.26"/>
    <s v="Low"/>
    <s v="No"/>
    <n v="1"/>
    <s v="Valid"/>
    <x v="0"/>
    <d v="2022-03-20T00:00:00"/>
    <n v="5"/>
    <n v="11.75"/>
    <n v="0.47000000000000003"/>
    <n v="11.28"/>
    <n v="5"/>
    <n v="6.2799999999999994"/>
    <n v="0.55673758865248224"/>
    <n v="1"/>
    <s v="on time"/>
    <s v="September"/>
    <s v="Q3"/>
  </r>
  <r>
    <s v="ORD-01255"/>
    <x v="396"/>
    <d v="2025-09-24T00:00:00"/>
    <s v="CUST-0051"/>
    <s v="Drew Wright"/>
    <x v="1"/>
    <x v="3"/>
    <s v="TN"/>
    <s v="Nashville"/>
    <x v="2"/>
    <x v="2"/>
    <s v="TEC-ACC-302"/>
    <s v="USB-C Docking Station"/>
    <x v="3"/>
    <x v="10"/>
    <n v="2"/>
    <n v="134.88999999999999"/>
    <n v="0.1"/>
    <n v="22.66"/>
    <s v="Medium"/>
    <s v="No"/>
    <n v="3"/>
    <s v="Valid"/>
    <x v="0"/>
    <d v="2022-11-16T00:00:00"/>
    <n v="72"/>
    <n v="269.77999999999997"/>
    <n v="13.488999999999999"/>
    <n v="256.291"/>
    <n v="144"/>
    <n v="112.291"/>
    <n v="0.438138678299277"/>
    <n v="1"/>
    <s v="on time"/>
    <s v="September"/>
    <s v="Q3"/>
  </r>
  <r>
    <s v="ORD-01368"/>
    <x v="397"/>
    <d v="2025-09-28T00:00:00"/>
    <s v="CUST-0071"/>
    <s v="Avery Scott"/>
    <x v="1"/>
    <x v="3"/>
    <s v="LA"/>
    <s v="New Orleans"/>
    <x v="1"/>
    <x v="2"/>
    <s v="TEC-NET-402"/>
    <s v="8-Port Network Switch"/>
    <x v="3"/>
    <x v="5"/>
    <n v="1"/>
    <n v="91.73"/>
    <n v="0.03"/>
    <n v="5.43"/>
    <s v="High"/>
    <s v="No"/>
    <n v="1"/>
    <s v="Valid"/>
    <x v="2"/>
    <d v="2023-02-18T00:00:00"/>
    <n v="44"/>
    <n v="91.73"/>
    <n v="2.7519"/>
    <n v="88.978099999999998"/>
    <n v="44"/>
    <n v="44.978099999999998"/>
    <n v="0.50549629627964632"/>
    <n v="4"/>
    <s v="on time"/>
    <s v="September"/>
    <s v="Q3"/>
  </r>
  <r>
    <s v="ORD-01656"/>
    <x v="398"/>
    <d v="2025-09-30T00:00:00"/>
    <s v="CUST-0118"/>
    <s v="Maya Garcia"/>
    <x v="0"/>
    <x v="1"/>
    <s v="CA"/>
    <s v="San Diego"/>
    <x v="3"/>
    <x v="3"/>
    <s v="TEC-MON-202"/>
    <s v="ClearView Ultrawide Monitor"/>
    <x v="3"/>
    <x v="4"/>
    <n v="1"/>
    <n v="512.12"/>
    <n v="0.04"/>
    <n v="20.95"/>
    <s v="Low"/>
    <s v="Yes"/>
    <n v="4"/>
    <s v="Valid"/>
    <x v="3"/>
    <d v="2021-02-09T00:00:00"/>
    <n v="310"/>
    <n v="512.12"/>
    <n v="20.4848"/>
    <n v="491.6352"/>
    <n v="310"/>
    <n v="181.6352"/>
    <n v="0.3694511702986279"/>
    <n v="4"/>
    <s v="on time"/>
    <s v="September"/>
    <s v="Q3"/>
  </r>
  <r>
    <s v="ORD-01399"/>
    <x v="399"/>
    <d v="2025-10-06T00:00:00"/>
    <s v="CUST-0155"/>
    <s v="Priya Young"/>
    <x v="2"/>
    <x v="2"/>
    <s v="OH"/>
    <s v="Columbus"/>
    <x v="2"/>
    <x v="3"/>
    <s v="FUR-DSK-101"/>
    <s v="Standing Desk 48"/>
    <x v="1"/>
    <x v="1"/>
    <n v="3"/>
    <n v="338.01"/>
    <n v="0.06"/>
    <n v="23.11"/>
    <s v="Critical"/>
    <s v="No"/>
    <n v="1"/>
    <s v="Valid"/>
    <x v="3"/>
    <d v="2024-08-23T00:00:00"/>
    <n v="184"/>
    <n v="1014.03"/>
    <n v="20.2806"/>
    <n v="993.74939999999992"/>
    <n v="552"/>
    <n v="441.74939999999992"/>
    <n v="0.44452796650745141"/>
    <n v="9"/>
    <s v="on time"/>
    <s v="September"/>
    <s v="Q3"/>
  </r>
  <r>
    <s v="ORD-01665"/>
    <x v="399"/>
    <d v="2025-10-01T00:00:00"/>
    <s v="CUST-0114"/>
    <s v="Riley Patel"/>
    <x v="1"/>
    <x v="0"/>
    <s v="NJ"/>
    <s v="Newark"/>
    <x v="1"/>
    <x v="1"/>
    <s v="OFF-SUP-401"/>
    <s v="Desk Organizer Kit"/>
    <x v="2"/>
    <x v="2"/>
    <n v="10"/>
    <n v="27.36"/>
    <n v="7.0000000000000007E-2"/>
    <n v="7.84"/>
    <s v="Critical"/>
    <s v="No"/>
    <n v="2"/>
    <s v="Valid"/>
    <x v="3"/>
    <d v="2021-12-08T00:00:00"/>
    <n v="12"/>
    <n v="273.60000000000002"/>
    <n v="1.9152000000000002"/>
    <n v="271.6848"/>
    <n v="120"/>
    <n v="151.6848"/>
    <n v="0.55831169060617303"/>
    <n v="4"/>
    <s v="on time"/>
    <s v="September"/>
    <s v="Q3"/>
  </r>
  <r>
    <s v="ORD-01118"/>
    <x v="400"/>
    <d v="2025-10-06T00:00:00"/>
    <s v="CUST-0054"/>
    <s v="Maya Brown"/>
    <x v="2"/>
    <x v="0"/>
    <s v="NJ"/>
    <s v="Newark"/>
    <x v="3"/>
    <x v="3"/>
    <s v="OFF-PAP-101"/>
    <s v="Premium Copy Paper Case"/>
    <x v="2"/>
    <x v="12"/>
    <n v="2"/>
    <n v="39.4"/>
    <n v="0.11"/>
    <n v="9.42"/>
    <s v="Critical"/>
    <s v="No"/>
    <n v="3"/>
    <s v="Valid"/>
    <x v="0"/>
    <d v="2021-04-05T00:00:00"/>
    <n v="20"/>
    <n v="78.8"/>
    <n v="4.3339999999999996"/>
    <n v="74.465999999999994"/>
    <n v="40"/>
    <n v="34.465999999999994"/>
    <n v="0.46284210243601104"/>
    <n v="8"/>
    <s v="on time"/>
    <s v="September"/>
    <s v="Q3"/>
  </r>
  <r>
    <s v="ORD-01333"/>
    <x v="400"/>
    <d v="2025-10-04T00:00:00"/>
    <s v="CUST-0079"/>
    <s v="Taylor Scott"/>
    <x v="1"/>
    <x v="2"/>
    <s v="OH"/>
    <s v="Columbus"/>
    <x v="3"/>
    <x v="3"/>
    <s v="APP-KIT-102"/>
    <s v="Mini Refrigerator"/>
    <x v="0"/>
    <x v="0"/>
    <n v="5"/>
    <n v="233"/>
    <n v="0.06"/>
    <n v="8.64"/>
    <s v="Medium"/>
    <s v="No"/>
    <n v="5"/>
    <s v="Valid"/>
    <x v="0"/>
    <d v="2024-04-12T00:00:00"/>
    <n v="125"/>
    <n v="1165"/>
    <n v="13.979999999999999"/>
    <n v="1151.02"/>
    <n v="625"/>
    <n v="526.02"/>
    <n v="0.45700335354728849"/>
    <n v="6"/>
    <s v="on time"/>
    <s v="September"/>
    <s v="Q3"/>
  </r>
  <r>
    <s v="ORD-01467"/>
    <x v="401"/>
    <d v="2025-10-08T00:00:00"/>
    <s v="CUST-0110"/>
    <s v="Mila Martinez"/>
    <x v="0"/>
    <x v="2"/>
    <s v="OH"/>
    <s v="Columbus"/>
    <x v="2"/>
    <x v="1"/>
    <s v="OFF-BIN-202"/>
    <s v="Presentation Folder Box"/>
    <x v="2"/>
    <x v="6"/>
    <n v="1"/>
    <n v="29.59"/>
    <n v="0"/>
    <n v="11.6"/>
    <s v="Medium"/>
    <s v="No"/>
    <n v="5"/>
    <s v="Valid"/>
    <x v="0"/>
    <d v="2025-02-16T00:00:00"/>
    <n v="14"/>
    <n v="29.59"/>
    <n v="0"/>
    <n v="29.59"/>
    <n v="14"/>
    <n v="15.59"/>
    <n v="0.52686718485974993"/>
    <n v="9"/>
    <s v="on time"/>
    <s v="September"/>
    <s v="Q3"/>
  </r>
  <r>
    <s v="ORD-01336"/>
    <x v="402"/>
    <d v="2025-10-06T00:00:00"/>
    <s v="CUST-0104"/>
    <s v="Drew Walker"/>
    <x v="0"/>
    <x v="2"/>
    <s v="MN"/>
    <s v="Minneapolis"/>
    <x v="0"/>
    <x v="1"/>
    <s v="FUR-DSK-101"/>
    <s v="Standing Desk 48"/>
    <x v="1"/>
    <x v="1"/>
    <n v="2"/>
    <n v="334.84"/>
    <n v="0.1"/>
    <n v="18.8"/>
    <s v="Medium"/>
    <s v="No"/>
    <n v="2"/>
    <s v="Valid"/>
    <x v="0"/>
    <d v="2023-11-06T00:00:00"/>
    <n v="184"/>
    <n v="669.68"/>
    <n v="33.484000000000002"/>
    <n v="636.19599999999991"/>
    <n v="368"/>
    <n v="268.19599999999991"/>
    <n v="0.42156190859420672"/>
    <n v="6"/>
    <s v="on time"/>
    <s v="September"/>
    <s v="Q3"/>
  </r>
  <r>
    <s v="ORD-01269"/>
    <x v="403"/>
    <d v="2025-10-04T00:00:00"/>
    <s v="CUST-0108"/>
    <s v="Rowan Young"/>
    <x v="0"/>
    <x v="0"/>
    <s v="NJ"/>
    <s v="Newark"/>
    <x v="3"/>
    <x v="3"/>
    <s v="OFF-WRT-301"/>
    <s v="Gel Pen Variety Pack"/>
    <x v="2"/>
    <x v="8"/>
    <n v="3"/>
    <n v="15.31"/>
    <n v="0.1"/>
    <n v="16.28"/>
    <s v="Critical"/>
    <s v="No"/>
    <n v="4"/>
    <s v="Valid"/>
    <x v="0"/>
    <d v="2025-06-03T00:00:00"/>
    <n v="6"/>
    <n v="45.93"/>
    <n v="1.5310000000000001"/>
    <n v="44.399000000000001"/>
    <n v="18"/>
    <n v="26.399000000000001"/>
    <n v="0.59458546363656839"/>
    <n v="3"/>
    <s v="on time"/>
    <s v="October"/>
    <s v="Q4"/>
  </r>
  <r>
    <s v="ORD-01073"/>
    <x v="404"/>
    <d v="2025-10-09T00:00:00"/>
    <s v="CUST-0086"/>
    <s v="Rowan Hall"/>
    <x v="0"/>
    <x v="0"/>
    <s v="VA"/>
    <s v="Richmond"/>
    <x v="0"/>
    <x v="2"/>
    <s v="OFF-PAP-101"/>
    <s v="Premium Copy Paper Case"/>
    <x v="2"/>
    <x v="12"/>
    <n v="8"/>
    <n v="37.35"/>
    <n v="0.87"/>
    <n v="16.32"/>
    <s v="Low"/>
    <s v="No"/>
    <n v="2"/>
    <s v="Valid"/>
    <x v="3"/>
    <d v="2022-09-14T00:00:00"/>
    <n v="20"/>
    <n v="298.8"/>
    <n v="32.494500000000002"/>
    <n v="266.30549999999999"/>
    <n v="160"/>
    <n v="106.30549999999999"/>
    <n v="0.39918627290837028"/>
    <n v="7"/>
    <s v="on time"/>
    <s v="October"/>
    <s v="Q4"/>
  </r>
  <r>
    <s v="ORD-01019"/>
    <x v="405"/>
    <d v="2025-10-05T00:00:00"/>
    <s v="CUST-0074"/>
    <s v="Alex Clark"/>
    <x v="2"/>
    <x v="0"/>
    <s v="MA"/>
    <s v="Boston"/>
    <x v="3"/>
    <x v="5"/>
    <s v="OFF-PAP-102"/>
    <s v="Recycled Notebook Pack"/>
    <x v="2"/>
    <x v="12"/>
    <n v="9"/>
    <n v="22.31"/>
    <n v="0.01"/>
    <n v="7.6"/>
    <s v="Medium"/>
    <s v="No"/>
    <n v="5"/>
    <s v="Valid"/>
    <x v="1"/>
    <d v="2025-06-20T00:00:00"/>
    <n v="10"/>
    <n v="200.79"/>
    <n v="0.22309999999999999"/>
    <n v="200.5669"/>
    <n v="90"/>
    <n v="110.5669"/>
    <n v="0.5512719197434871"/>
    <n v="2"/>
    <s v="on time"/>
    <s v="October"/>
    <s v="Q4"/>
  </r>
  <r>
    <s v="ORD-01382"/>
    <x v="405"/>
    <d v="2025-10-09T00:00:00"/>
    <s v="CUST-0024"/>
    <s v="Morgan Scott"/>
    <x v="1"/>
    <x v="2"/>
    <s v="IL"/>
    <s v="Chicago"/>
    <x v="1"/>
    <x v="2"/>
    <s v="TEC-NET-401"/>
    <s v="Mesh Wi-Fi Router"/>
    <x v="3"/>
    <x v="5"/>
    <n v="2"/>
    <n v="199.42"/>
    <n v="0.09"/>
    <n v="7.8"/>
    <s v="High"/>
    <s v="No"/>
    <n v="5"/>
    <s v="Valid"/>
    <x v="0"/>
    <d v="2024-04-21T00:00:00"/>
    <n v="96"/>
    <n v="398.84"/>
    <n v="17.947799999999997"/>
    <n v="380.8922"/>
    <n v="192"/>
    <n v="188.8922"/>
    <n v="0.495920368020138"/>
    <n v="6"/>
    <s v="on time"/>
    <s v="October"/>
    <s v="Q4"/>
  </r>
  <r>
    <s v="ORD-01569"/>
    <x v="405"/>
    <d v="2025-10-12T00:00:00"/>
    <s v="CUST-0018"/>
    <s v="Owen Nguyen"/>
    <x v="2"/>
    <x v="3"/>
    <s v="NC"/>
    <s v="Charlotte"/>
    <x v="0"/>
    <x v="0"/>
    <s v="FUR-DSK-102"/>
    <s v="Executive Desk 60"/>
    <x v="1"/>
    <x v="1"/>
    <n v="3"/>
    <n v="437.89"/>
    <n v="0.09"/>
    <n v="26.27"/>
    <s v="Medium"/>
    <s v="No"/>
    <n v="1"/>
    <s v="Valid"/>
    <x v="0"/>
    <d v="2025-07-24T00:00:00"/>
    <n v="265"/>
    <n v="1313.67"/>
    <n v="39.4101"/>
    <n v="1274.2599"/>
    <n v="795"/>
    <n v="479.25990000000002"/>
    <n v="0.37610843753303391"/>
    <n v="9"/>
    <s v="on time"/>
    <s v="October"/>
    <s v="Q4"/>
  </r>
  <r>
    <s v="ORD-01047"/>
    <x v="406"/>
    <d v="2025-10-15T00:00:00"/>
    <s v="CUST-0047"/>
    <s v="Reese Miller"/>
    <x v="0"/>
    <x v="3"/>
    <s v="FL"/>
    <s v="Miami"/>
    <x v="3"/>
    <x v="4"/>
    <s v="FUR-DSK-101"/>
    <s v="Standing Desk 48"/>
    <x v="1"/>
    <x v="1"/>
    <n v="2"/>
    <n v="310"/>
    <n v="0.04"/>
    <n v="18.79"/>
    <s v="Medium"/>
    <s v="No"/>
    <n v="2"/>
    <s v="Valid"/>
    <x v="1"/>
    <d v="2021-07-19T00:00:00"/>
    <n v="184"/>
    <n v="620"/>
    <n v="12.4"/>
    <n v="607.6"/>
    <n v="368"/>
    <n v="239.60000000000002"/>
    <n v="0.39433838051349573"/>
    <n v="10"/>
    <s v="on time"/>
    <s v="October"/>
    <s v="Q4"/>
  </r>
  <r>
    <s v="ORD-01112"/>
    <x v="406"/>
    <d v="2025-10-21T00:00:00"/>
    <s v="CUST-0042"/>
    <s v="Iris Johnson"/>
    <x v="0"/>
    <x v="2"/>
    <s v="OH"/>
    <s v="Columbus"/>
    <x v="0"/>
    <x v="3"/>
    <s v="OFF-SUP-402"/>
    <s v="Label Maker"/>
    <x v="2"/>
    <x v="2"/>
    <n v="5"/>
    <n v="71.48"/>
    <n v="0.03"/>
    <n v="10.53"/>
    <s v="Low"/>
    <s v="No"/>
    <n v="5"/>
    <s v="Valid"/>
    <x v="1"/>
    <d v="2021-09-11T00:00:00"/>
    <n v="36"/>
    <n v="357.40000000000003"/>
    <n v="2.1444000000000001"/>
    <n v="355.25560000000002"/>
    <n v="180"/>
    <n v="175.25560000000002"/>
    <n v="0.49332255423982058"/>
    <n v="16"/>
    <s v="late"/>
    <s v="October"/>
    <s v="Q4"/>
  </r>
  <r>
    <s v="ORD-01225"/>
    <x v="407"/>
    <d v="2025-10-10T00:00:00"/>
    <s v="CUST-0106"/>
    <s v="Morgan Martinez"/>
    <x v="0"/>
    <x v="2"/>
    <s v="OH"/>
    <s v="Columbus"/>
    <x v="0"/>
    <x v="4"/>
    <s v="OFF-PAP-102"/>
    <s v="Recycled Notebook Pack"/>
    <x v="2"/>
    <x v="12"/>
    <n v="2"/>
    <n v="21.26"/>
    <n v="0.06"/>
    <n v="10.35"/>
    <s v="Critical"/>
    <s v="No"/>
    <n v="1"/>
    <s v="Valid"/>
    <x v="1"/>
    <d v="2023-04-04T00:00:00"/>
    <n v="10"/>
    <n v="42.52"/>
    <n v="1.2756000000000001"/>
    <n v="41.244400000000006"/>
    <n v="20"/>
    <n v="21.244400000000006"/>
    <n v="0.51508568435957369"/>
    <n v="4"/>
    <s v="on time"/>
    <s v="October"/>
    <s v="Q4"/>
  </r>
  <r>
    <s v="ORD-01550"/>
    <x v="408"/>
    <d v="2025-10-17T00:00:00"/>
    <s v="CUST-0110"/>
    <s v="Mila Martinez"/>
    <x v="0"/>
    <x v="2"/>
    <s v="OH"/>
    <s v="Columbus"/>
    <x v="0"/>
    <x v="3"/>
    <s v="FUR-DSK-101"/>
    <s v="Standing Desk 48"/>
    <x v="1"/>
    <x v="1"/>
    <n v="2"/>
    <n v="348.06"/>
    <n v="0.34"/>
    <n v="22.75"/>
    <s v="Medium"/>
    <s v="No"/>
    <n v="2"/>
    <s v="Valid"/>
    <x v="0"/>
    <d v="2025-02-16T00:00:00"/>
    <n v="184"/>
    <n v="696.12"/>
    <n v="118.3404"/>
    <n v="577.77959999999996"/>
    <n v="368"/>
    <n v="209.77959999999996"/>
    <n v="0.36307893182798417"/>
    <n v="10"/>
    <s v="on time"/>
    <s v="October"/>
    <s v="Q4"/>
  </r>
  <r>
    <s v="ORD-01158"/>
    <x v="409"/>
    <d v="2025-10-17T00:00:00"/>
    <s v="CUST-0038"/>
    <s v="Jordan Walker"/>
    <x v="0"/>
    <x v="0"/>
    <s v="PA"/>
    <s v="Philadelphia"/>
    <x v="2"/>
    <x v="4"/>
    <s v="FUR-DSK-102"/>
    <s v="Executive Desk 60"/>
    <x v="1"/>
    <x v="1"/>
    <n v="1"/>
    <n v="461.04"/>
    <n v="0.06"/>
    <n v="23.38"/>
    <s v="Medium"/>
    <s v="No"/>
    <n v="3"/>
    <s v="Valid"/>
    <x v="1"/>
    <d v="2021-09-22T00:00:00"/>
    <n v="265"/>
    <n v="461.04"/>
    <n v="27.662400000000002"/>
    <n v="433.37760000000003"/>
    <n v="265"/>
    <n v="168.37760000000003"/>
    <n v="0.38852400308645396"/>
    <n v="9"/>
    <s v="on time"/>
    <s v="October"/>
    <s v="Q4"/>
  </r>
  <r>
    <s v="ORD-01510"/>
    <x v="409"/>
    <d v="2025-10-17T00:00:00"/>
    <s v="CUST-0120"/>
    <s v="Sam Wilson"/>
    <x v="1"/>
    <x v="1"/>
    <s v="WA"/>
    <s v="Seattle"/>
    <x v="1"/>
    <x v="1"/>
    <s v="FUR-STO-301"/>
    <s v="Two-Drawer File Cabinet"/>
    <x v="1"/>
    <x v="9"/>
    <n v="2"/>
    <n v="176.11"/>
    <n v="0.01"/>
    <n v="18.2"/>
    <s v="High"/>
    <s v="No"/>
    <n v="4"/>
    <s v="Valid"/>
    <x v="2"/>
    <d v="2024-04-02T00:00:00"/>
    <n v="88"/>
    <n v="352.22"/>
    <n v="1.7611000000000001"/>
    <n v="350.45890000000003"/>
    <n v="176"/>
    <n v="174.45890000000003"/>
    <n v="0.49780131136632572"/>
    <n v="9"/>
    <s v="on time"/>
    <s v="October"/>
    <s v="Q4"/>
  </r>
  <r>
    <s v="ORD-01650"/>
    <x v="409"/>
    <d v="2025-10-14T00:00:00"/>
    <s v="CUST-0057"/>
    <s v="Morgan Lopez"/>
    <x v="2"/>
    <x v="1"/>
    <s v="CA"/>
    <s v="Los Angeles"/>
    <x v="2"/>
    <x v="1"/>
    <s v="APP-CLN-202"/>
    <s v="Robot Vacuum"/>
    <x v="0"/>
    <x v="3"/>
    <n v="4"/>
    <n v="331.86"/>
    <n v="0.09"/>
    <n v="16.34"/>
    <s v="High"/>
    <s v="No"/>
    <n v="4"/>
    <s v="Valid"/>
    <x v="2"/>
    <d v="2025-02-02T00:00:00"/>
    <n v="165"/>
    <n v="1327.44"/>
    <n v="29.8674"/>
    <n v="1297.5726"/>
    <n v="660"/>
    <n v="637.57259999999997"/>
    <n v="0.49135794020311463"/>
    <n v="6"/>
    <s v="on time"/>
    <s v="October"/>
    <s v="Q4"/>
  </r>
  <r>
    <s v="ORD-01104"/>
    <x v="410"/>
    <d v="2025-10-13T00:00:00"/>
    <s v="CUST-0152"/>
    <s v="Cameron Robinson"/>
    <x v="0"/>
    <x v="0"/>
    <s v="MA"/>
    <s v="Boston"/>
    <x v="0"/>
    <x v="3"/>
    <s v="TEC-MON-201"/>
    <s v="ClearView 27 Monitor"/>
    <x v="3"/>
    <x v="4"/>
    <n v="2"/>
    <n v="290.77999999999997"/>
    <n v="0.05"/>
    <n v="17.649999999999999"/>
    <s v="Critical"/>
    <s v="No"/>
    <n v="2"/>
    <s v="Valid"/>
    <x v="2"/>
    <d v="2022-08-22T00:00:00"/>
    <n v="168"/>
    <n v="581.55999999999995"/>
    <n v="14.539"/>
    <n v="567.02099999999996"/>
    <n v="336"/>
    <n v="231.02099999999996"/>
    <n v="0.40742935446835299"/>
    <n v="4"/>
    <s v="on time"/>
    <s v="October"/>
    <s v="Q4"/>
  </r>
  <r>
    <s v="ORD-01575"/>
    <x v="411"/>
    <d v="2025-10-20T00:00:00"/>
    <s v="CUST-0077"/>
    <s v="Casey Nguyen"/>
    <x v="0"/>
    <x v="1"/>
    <s v="CA"/>
    <s v="Los Angeles"/>
    <x v="0"/>
    <x v="1"/>
    <s v="APP-KIT-101"/>
    <s v="Compact Coffee Brewer"/>
    <x v="0"/>
    <x v="0"/>
    <n v="10"/>
    <n v="95.81"/>
    <n v="0.1"/>
    <n v="9.1999999999999993"/>
    <s v="Low"/>
    <s v="No"/>
    <n v="3"/>
    <s v="Valid"/>
    <x v="3"/>
    <d v="2023-07-25T00:00:00"/>
    <n v="48"/>
    <n v="958.1"/>
    <n v="9.5810000000000013"/>
    <n v="948.51900000000001"/>
    <n v="480"/>
    <n v="468.51900000000001"/>
    <n v="0.49394793356801497"/>
    <n v="10"/>
    <s v="on time"/>
    <s v="October"/>
    <s v="Q4"/>
  </r>
  <r>
    <s v="ORD-01108"/>
    <x v="412"/>
    <d v="2025-10-22T00:00:00"/>
    <s v="CUST-0044"/>
    <s v="Noah Wilson"/>
    <x v="2"/>
    <x v="1"/>
    <s v="CA"/>
    <s v="Los Angeles"/>
    <x v="1"/>
    <x v="5"/>
    <s v="OFF-PAP-101"/>
    <s v="Premium Copy Paper Case"/>
    <x v="2"/>
    <x v="12"/>
    <n v="9"/>
    <n v="39.450000000000003"/>
    <n v="0.03"/>
    <n v="6.14"/>
    <s v="Medium"/>
    <s v="No"/>
    <n v="2"/>
    <s v="Valid"/>
    <x v="0"/>
    <d v="2021-10-12T00:00:00"/>
    <n v="20"/>
    <n v="355.05"/>
    <n v="1.1835"/>
    <n v="353.86650000000003"/>
    <n v="180"/>
    <n v="173.86650000000003"/>
    <n v="0.49133359614430872"/>
    <n v="9"/>
    <s v="on time"/>
    <s v="October"/>
    <s v="Q4"/>
  </r>
  <r>
    <s v="ORD-01223"/>
    <x v="413"/>
    <d v="2025-10-20T00:00:00"/>
    <s v="CUST-0145"/>
    <s v="Morgan Kim"/>
    <x v="1"/>
    <x v="3"/>
    <s v="LA"/>
    <s v="New Orleans"/>
    <x v="2"/>
    <x v="2"/>
    <s v="APP-CLN-202"/>
    <s v="Robot Vacuum"/>
    <x v="0"/>
    <x v="3"/>
    <n v="4"/>
    <n v="313.93"/>
    <n v="0.04"/>
    <n v="9.4"/>
    <s v="Medium"/>
    <s v="No"/>
    <n v="5"/>
    <s v="Valid"/>
    <x v="1"/>
    <d v="2024-09-20T00:00:00"/>
    <n v="165"/>
    <n v="1255.72"/>
    <n v="12.5572"/>
    <n v="1243.1628000000001"/>
    <n v="660"/>
    <n v="583.16280000000006"/>
    <n v="0.46909608299090033"/>
    <n v="6"/>
    <s v="on time"/>
    <s v="October"/>
    <s v="Q4"/>
  </r>
  <r>
    <s v="ORD-01456"/>
    <x v="414"/>
    <d v="2025-10-17T00:00:00"/>
    <s v="CUST-0106"/>
    <s v="Morgan Martinez"/>
    <x v="0"/>
    <x v="2"/>
    <s v="OH"/>
    <s v="Columbus"/>
    <x v="3"/>
    <x v="0"/>
    <s v="APP-KIT-101"/>
    <s v="Compact Coffee Brewer"/>
    <x v="0"/>
    <x v="0"/>
    <n v="6"/>
    <n v="93.25"/>
    <n v="0.09"/>
    <n v="8.57"/>
    <s v="Medium"/>
    <s v="No"/>
    <n v="2"/>
    <s v="Valid"/>
    <x v="1"/>
    <d v="2023-04-04T00:00:00"/>
    <n v="48"/>
    <n v="559.5"/>
    <n v="8.3925000000000001"/>
    <n v="551.10749999999996"/>
    <n v="288"/>
    <n v="263.10749999999996"/>
    <n v="0.47741593064873911"/>
    <n v="2"/>
    <s v="on time"/>
    <s v="October"/>
    <s v="Q4"/>
  </r>
  <r>
    <s v="ORD-01444"/>
    <x v="415"/>
    <d v="2025-10-25T00:00:00"/>
    <s v="CUST-0156"/>
    <s v="Alex Young"/>
    <x v="2"/>
    <x v="3"/>
    <s v="GA"/>
    <s v="Atlanta"/>
    <x v="1"/>
    <x v="1"/>
    <s v="OFF-PAP-102"/>
    <s v="Recycled Notebook Pack"/>
    <x v="2"/>
    <x v="12"/>
    <n v="1"/>
    <n v="22.43"/>
    <n v="0.02"/>
    <n v="7.55"/>
    <s v="Critical"/>
    <s v="No"/>
    <n v="2"/>
    <s v="Valid"/>
    <x v="3"/>
    <d v="2024-08-10T00:00:00"/>
    <n v="10"/>
    <n v="22.43"/>
    <n v="0.4486"/>
    <n v="21.981400000000001"/>
    <n v="10"/>
    <n v="11.981400000000001"/>
    <n v="0.54506992275287292"/>
    <n v="8"/>
    <s v="on time"/>
    <s v="October"/>
    <s v="Q4"/>
  </r>
  <r>
    <s v="ORD-01445"/>
    <x v="416"/>
    <d v="2025-10-26T00:00:00"/>
    <s v="CUST-0096"/>
    <s v="Mila Wilson"/>
    <x v="0"/>
    <x v="0"/>
    <s v="VA"/>
    <s v="Richmond"/>
    <x v="3"/>
    <x v="1"/>
    <s v="FUR-STO-301"/>
    <s v="Two-Drawer File Cabinet"/>
    <x v="1"/>
    <x v="9"/>
    <n v="4"/>
    <n v="161.22"/>
    <n v="0.02"/>
    <n v="21.58"/>
    <s v="High"/>
    <s v="Yes"/>
    <n v="5"/>
    <s v="Valid"/>
    <x v="0"/>
    <d v="2025-12-08T00:00:00"/>
    <n v="88"/>
    <n v="644.88"/>
    <n v="3.2244000000000002"/>
    <n v="641.65560000000005"/>
    <n v="352"/>
    <n v="289.65560000000005"/>
    <n v="0.45141911018932901"/>
    <n v="8"/>
    <s v="on time"/>
    <s v="October"/>
    <s v="Q4"/>
  </r>
  <r>
    <s v="ORD-01678"/>
    <x v="416"/>
    <d v="2025-10-22T00:00:00"/>
    <s v="CUST-0109"/>
    <s v="Iris Clark"/>
    <x v="0"/>
    <x v="3"/>
    <s v="NC"/>
    <s v="Charlotte"/>
    <x v="3"/>
    <x v="5"/>
    <s v="APP-KIT-101"/>
    <s v="Compact Coffee Brewer"/>
    <x v="0"/>
    <x v="0"/>
    <n v="10"/>
    <n v="92.98"/>
    <n v="0.01"/>
    <n v="10.42"/>
    <s v="Low"/>
    <s v="No"/>
    <n v="4"/>
    <s v="Valid"/>
    <x v="2"/>
    <d v="2024-08-12T00:00:00"/>
    <n v="48"/>
    <n v="929.80000000000007"/>
    <n v="0.92980000000000007"/>
    <n v="928.87020000000007"/>
    <n v="480"/>
    <n v="448.87020000000007"/>
    <n v="0.48324319156756246"/>
    <n v="4"/>
    <s v="on time"/>
    <s v="October"/>
    <s v="Q4"/>
  </r>
  <r>
    <s v="ORD-01419"/>
    <x v="417"/>
    <d v="2025-10-21T00:00:00"/>
    <s v="CUST-0091"/>
    <s v="Morgan Garcia"/>
    <x v="1"/>
    <x v="1"/>
    <s v="WA"/>
    <s v="Seattle"/>
    <x v="2"/>
    <x v="5"/>
    <s v="OFF-PAP-102"/>
    <s v="Recycled Notebook Pack"/>
    <x v="2"/>
    <x v="12"/>
    <n v="1"/>
    <n v="20.86"/>
    <n v="7.0000000000000007E-2"/>
    <n v="16.22"/>
    <s v="High"/>
    <s v="No"/>
    <n v="3"/>
    <s v="Valid"/>
    <x v="2"/>
    <d v="2022-11-11T00:00:00"/>
    <n v="10"/>
    <n v="20.86"/>
    <n v="1.4602000000000002"/>
    <n v="19.399799999999999"/>
    <n v="10"/>
    <n v="9.399799999999999"/>
    <n v="0.48453076835843667"/>
    <n v="2"/>
    <s v="on time"/>
    <s v="October"/>
    <s v="Q4"/>
  </r>
  <r>
    <s v="ORD-01426"/>
    <x v="417"/>
    <d v="2025-10-27T00:00:00"/>
    <s v="CUST-0104"/>
    <s v="Drew Walker"/>
    <x v="0"/>
    <x v="2"/>
    <s v="MN"/>
    <s v="Minneapolis"/>
    <x v="1"/>
    <x v="1"/>
    <s v="OFF-PAP-101"/>
    <s v="Premium Copy Paper Case"/>
    <x v="2"/>
    <x v="12"/>
    <n v="5"/>
    <n v="41.17"/>
    <n v="0.03"/>
    <n v="6.83"/>
    <s v="High"/>
    <s v="No"/>
    <n v="3"/>
    <s v="Valid"/>
    <x v="0"/>
    <d v="2023-11-06T00:00:00"/>
    <n v="20"/>
    <n v="205.85000000000002"/>
    <n v="1.2351000000000001"/>
    <n v="204.61490000000003"/>
    <n v="100"/>
    <n v="104.61490000000003"/>
    <n v="0.51127703798696977"/>
    <n v="8"/>
    <s v="on time"/>
    <s v="October"/>
    <s v="Q4"/>
  </r>
  <r>
    <s v="ORD-01603"/>
    <x v="417"/>
    <d v="2025-10-25T00:00:00"/>
    <s v="CUST-0064"/>
    <s v="Quinn Wright"/>
    <x v="2"/>
    <x v="3"/>
    <s v="FL"/>
    <s v="Miami"/>
    <x v="3"/>
    <x v="4"/>
    <s v="OFF-WRT-302"/>
    <s v="Mechanical Pencil Set"/>
    <x v="2"/>
    <x v="8"/>
    <n v="2"/>
    <n v="11.63"/>
    <n v="0.08"/>
    <n v="5.73"/>
    <s v="Medium"/>
    <s v="No"/>
    <n v="5"/>
    <s v="Valid"/>
    <x v="2"/>
    <d v="2021-10-04T00:00:00"/>
    <n v="5"/>
    <n v="23.26"/>
    <n v="0.93040000000000012"/>
    <n v="22.329600000000003"/>
    <n v="10"/>
    <n v="12.329600000000003"/>
    <n v="0.55216394382344514"/>
    <n v="6"/>
    <s v="on time"/>
    <s v="October"/>
    <s v="Q4"/>
  </r>
  <r>
    <s v="ORD-01020"/>
    <x v="418"/>
    <d v="2025-10-29T00:00:00"/>
    <s v="CUST-0051"/>
    <s v="Drew Wright"/>
    <x v="1"/>
    <x v="3"/>
    <s v="TN"/>
    <s v="Nashville"/>
    <x v="0"/>
    <x v="0"/>
    <s v="TEC-ACC-302"/>
    <s v="USB-C Docking Station"/>
    <x v="2"/>
    <x v="10"/>
    <n v="2"/>
    <n v="133.97999999999999"/>
    <n v="0.11"/>
    <n v="17.21"/>
    <s v="Critical"/>
    <s v="No"/>
    <n v="3"/>
    <s v="Valid"/>
    <x v="0"/>
    <d v="2022-11-16T00:00:00"/>
    <n v="72"/>
    <n v="267.95999999999998"/>
    <n v="14.737799999999998"/>
    <n v="253.22219999999999"/>
    <n v="144"/>
    <n v="109.22219999999999"/>
    <n v="0.43132948059056431"/>
    <n v="9"/>
    <s v="on time"/>
    <s v="October"/>
    <s v="Q4"/>
  </r>
  <r>
    <s v="ORD-01114"/>
    <x v="418"/>
    <d v="2025-10-25T00:00:00"/>
    <s v="CUST-0160"/>
    <s v="Jordan Wright"/>
    <x v="0"/>
    <x v="1"/>
    <s v="OR"/>
    <s v="Portland"/>
    <x v="3"/>
    <x v="1"/>
    <s v="TEC-NET-402"/>
    <s v="8-Port Network Switch"/>
    <x v="3"/>
    <x v="5"/>
    <n v="3"/>
    <n v="92.58"/>
    <n v="0.06"/>
    <n v="20.47"/>
    <s v="High"/>
    <s v="No"/>
    <m/>
    <s v="Valid"/>
    <x v="2"/>
    <d v="2025-08-22T00:00:00"/>
    <n v="44"/>
    <n v="277.74"/>
    <n v="5.5547999999999993"/>
    <n v="272.18520000000001"/>
    <n v="132"/>
    <n v="140.18520000000001"/>
    <n v="0.51503608572398496"/>
    <n v="5"/>
    <s v="on time"/>
    <s v="October"/>
    <s v="Q4"/>
  </r>
  <r>
    <s v="ORD-01596"/>
    <x v="418"/>
    <d v="2025-10-29T00:00:00"/>
    <s v="CUST-0007"/>
    <s v="Iris Walker"/>
    <x v="0"/>
    <x v="3"/>
    <s v="LA"/>
    <s v="New Orleans"/>
    <x v="2"/>
    <x v="3"/>
    <s v="TEC-MON-201"/>
    <s v="ClearView 27 Monitor"/>
    <x v="3"/>
    <x v="4"/>
    <n v="3"/>
    <n v="283.95999999999998"/>
    <n v="0.11"/>
    <n v="12.42"/>
    <s v="High"/>
    <s v="No"/>
    <n v="1"/>
    <s v="Valid"/>
    <x v="3"/>
    <d v="2022-08-23T00:00:00"/>
    <n v="168"/>
    <n v="851.87999999999988"/>
    <n v="31.235599999999998"/>
    <n v="820.64439999999991"/>
    <n v="504"/>
    <n v="316.64439999999991"/>
    <n v="0.38584848687202389"/>
    <n v="9"/>
    <s v="on time"/>
    <s v="October"/>
    <s v="Q4"/>
  </r>
  <r>
    <s v="ORD-01226"/>
    <x v="419"/>
    <d v="2025-10-31T00:00:00"/>
    <s v="CUST-0103"/>
    <s v="Kai Clark"/>
    <x v="0"/>
    <x v="0"/>
    <s v="NJ"/>
    <s v="Newark"/>
    <x v="1"/>
    <x v="3"/>
    <s v="OFF-WRT-301"/>
    <s v="Gel Pen Variety Pack"/>
    <x v="2"/>
    <x v="8"/>
    <n v="3"/>
    <n v="14.13"/>
    <n v="0.08"/>
    <n v="14.18"/>
    <s v="Medium"/>
    <s v="No"/>
    <m/>
    <s v="Valid"/>
    <x v="2"/>
    <d v="2021-10-11T00:00:00"/>
    <n v="6"/>
    <n v="42.39"/>
    <n v="1.1304000000000001"/>
    <n v="41.259599999999999"/>
    <n v="18"/>
    <n v="23.259599999999999"/>
    <n v="0.56373789372655092"/>
    <n v="10"/>
    <s v="on time"/>
    <s v="October"/>
    <s v="Q4"/>
  </r>
  <r>
    <s v="ORD-01658"/>
    <x v="419"/>
    <d v="2025-10-30T00:00:00"/>
    <s v="CUST-0007"/>
    <s v="Iris Walker"/>
    <x v="0"/>
    <x v="3"/>
    <s v="LA"/>
    <s v="New Orleans"/>
    <x v="1"/>
    <x v="1"/>
    <s v="TEC-LAP-102"/>
    <s v="ApexBook Pro 16 Laptop"/>
    <x v="3"/>
    <x v="7"/>
    <n v="4"/>
    <n v="1349.86"/>
    <n v="0.11"/>
    <n v="17.62"/>
    <s v="Medium"/>
    <s v="No"/>
    <m/>
    <s v="Valid"/>
    <x v="3"/>
    <d v="2022-08-23T00:00:00"/>
    <n v="885"/>
    <n v="5399.44"/>
    <n v="148.4846"/>
    <n v="5250.9553999999998"/>
    <n v="3540"/>
    <n v="1710.9553999999998"/>
    <n v="0.32583697054444605"/>
    <n v="9"/>
    <s v="on time"/>
    <s v="October"/>
    <s v="Q4"/>
  </r>
  <r>
    <s v="ORD-01214"/>
    <x v="420"/>
    <d v="2025-10-28T00:00:00"/>
    <s v="CUST-0142"/>
    <s v="Priya Hall"/>
    <x v="0"/>
    <x v="0"/>
    <s v="MA"/>
    <s v="Boston"/>
    <x v="2"/>
    <x v="5"/>
    <s v="APP-CLN-202"/>
    <s v="Robot Vacuum"/>
    <x v="0"/>
    <x v="3"/>
    <n v="3"/>
    <n v="302.47000000000003"/>
    <n v="0.06"/>
    <n v="10.41"/>
    <s v="High"/>
    <s v="No"/>
    <m/>
    <s v="Valid"/>
    <x v="1"/>
    <d v="2024-06-11T00:00:00"/>
    <n v="165"/>
    <n v="907.41000000000008"/>
    <n v="18.148199999999999"/>
    <n v="889.26180000000011"/>
    <n v="495"/>
    <n v="394.26180000000011"/>
    <n v="0.44335852501479323"/>
    <n v="4"/>
    <s v="on time"/>
    <s v="October"/>
    <s v="Q4"/>
  </r>
  <r>
    <s v="ORD-01625"/>
    <x v="421"/>
    <d v="2025-10-26T00:00:00"/>
    <s v="CUST-0100"/>
    <s v="Jamie Robinson"/>
    <x v="0"/>
    <x v="1"/>
    <s v="WA"/>
    <s v="Seattle"/>
    <x v="1"/>
    <x v="1"/>
    <s v="OFF-BIN-201"/>
    <s v="Heavy-Duty Binder 12-Pack"/>
    <x v="2"/>
    <x v="6"/>
    <n v="9"/>
    <n v="35.04"/>
    <n v="0.33"/>
    <n v="8.92"/>
    <s v="Medium"/>
    <s v="No"/>
    <n v="1"/>
    <s v="Valid"/>
    <x v="0"/>
    <d v="2022-06-22T00:00:00"/>
    <n v="18"/>
    <n v="315.36"/>
    <n v="11.5632"/>
    <n v="303.79680000000002"/>
    <n v="162"/>
    <n v="141.79680000000002"/>
    <n v="0.46674882684741908"/>
    <n v="1"/>
    <s v="on time"/>
    <s v="October"/>
    <s v="Q4"/>
  </r>
  <r>
    <s v="ORD-01662"/>
    <x v="421"/>
    <d v="2025-10-29T00:00:00"/>
    <s v="CUST-0037"/>
    <s v="Drew Martinez"/>
    <x v="0"/>
    <x v="3"/>
    <s v="FL"/>
    <s v="Miami"/>
    <x v="1"/>
    <x v="1"/>
    <s v="FUR-CHR-201"/>
    <s v="ErgoFlex Office Chair"/>
    <x v="1"/>
    <x v="11"/>
    <n v="4"/>
    <n v="275.33999999999997"/>
    <n v="0.03"/>
    <n v="21.52"/>
    <s v="Critical"/>
    <s v="No"/>
    <n v="5"/>
    <s v="Valid"/>
    <x v="1"/>
    <d v="2024-10-02T00:00:00"/>
    <n v="146"/>
    <n v="1101.3599999999999"/>
    <n v="8.2601999999999993"/>
    <n v="1093.0998"/>
    <n v="584"/>
    <n v="509.09979999999996"/>
    <n v="0.46573954180578936"/>
    <n v="4"/>
    <s v="on time"/>
    <s v="October"/>
    <s v="Q4"/>
  </r>
  <r>
    <s v="ORD-01421"/>
    <x v="422"/>
    <d v="2025-10-29T00:00:00"/>
    <s v="CUST-0077"/>
    <s v="Casey Nguyen"/>
    <x v="0"/>
    <x v="1"/>
    <s v="CA"/>
    <s v="Los Angeles"/>
    <x v="1"/>
    <x v="3"/>
    <s v="TEC-LAP-102"/>
    <s v="ApexBook Pro 16 Laptop"/>
    <x v="3"/>
    <x v="7"/>
    <n v="4"/>
    <n v="1416.93"/>
    <n v="0.1"/>
    <n v="21.82"/>
    <s v="High"/>
    <s v="No"/>
    <n v="3"/>
    <s v="Valid"/>
    <x v="3"/>
    <d v="2023-07-25T00:00:00"/>
    <n v="885"/>
    <n v="5667.72"/>
    <n v="141.69300000000001"/>
    <n v="5526.027"/>
    <n v="3540"/>
    <n v="1986.027"/>
    <n v="0.35939509524654872"/>
    <n v="1"/>
    <s v="on time"/>
    <s v="October"/>
    <s v="Q4"/>
  </r>
  <r>
    <s v="ORD-01545"/>
    <x v="422"/>
    <d v="2025-11-07T00:00:00"/>
    <s v="CUST-0119"/>
    <s v="Quinn Scott"/>
    <x v="2"/>
    <x v="0"/>
    <s v="VA"/>
    <s v="Richmond"/>
    <x v="0"/>
    <x v="2"/>
    <s v="FUR-CHR-202"/>
    <s v="Mesh Conference Chair"/>
    <x v="1"/>
    <x v="11"/>
    <n v="2"/>
    <n v="143.68"/>
    <n v="0.01"/>
    <n v="18.27"/>
    <s v="Low"/>
    <s v="No"/>
    <n v="1"/>
    <s v="Valid"/>
    <x v="3"/>
    <d v="2025-01-23T00:00:00"/>
    <n v="82"/>
    <n v="287.36"/>
    <n v="1.4368000000000001"/>
    <n v="285.92320000000001"/>
    <n v="164"/>
    <n v="121.92320000000001"/>
    <n v="0.42641940213316026"/>
    <n v="10"/>
    <s v="on time"/>
    <s v="October"/>
    <s v="Q4"/>
  </r>
  <r>
    <s v="ORD-01512"/>
    <x v="423"/>
    <d v="2025-11-05T00:00:00"/>
    <s v="CUST-0156"/>
    <s v="Alex Young"/>
    <x v="2"/>
    <x v="3"/>
    <s v="GA"/>
    <s v="Atlanta"/>
    <x v="1"/>
    <x v="4"/>
    <s v="FUR-DSK-102"/>
    <s v="Executive Desk 60"/>
    <x v="1"/>
    <x v="1"/>
    <n v="4"/>
    <n v="463.5"/>
    <n v="0.1"/>
    <n v="27.24"/>
    <s v="Low"/>
    <s v="No"/>
    <n v="2"/>
    <s v="Valid"/>
    <x v="3"/>
    <d v="2024-08-10T00:00:00"/>
    <n v="265"/>
    <n v="1854"/>
    <n v="46.35"/>
    <n v="1807.65"/>
    <n v="1060"/>
    <n v="747.65000000000009"/>
    <n v="0.41360329709844273"/>
    <n v="7"/>
    <s v="on time"/>
    <s v="October"/>
    <s v="Q4"/>
  </r>
  <r>
    <s v="ORD-01256"/>
    <x v="424"/>
    <d v="2025-11-01T00:00:00"/>
    <s v="CUST-0142"/>
    <s v="Priya Hall"/>
    <x v="0"/>
    <x v="0"/>
    <s v="MA"/>
    <s v="Boston"/>
    <x v="3"/>
    <x v="5"/>
    <s v="FUR-DSK-102"/>
    <s v="Executive Desk 60"/>
    <x v="1"/>
    <x v="1"/>
    <n v="1"/>
    <n v="465.14"/>
    <n v="0.01"/>
    <n v="27.89"/>
    <s v="High"/>
    <s v="No"/>
    <m/>
    <s v="Valid"/>
    <x v="1"/>
    <d v="2024-06-11T00:00:00"/>
    <n v="265"/>
    <n v="465.14"/>
    <n v="4.6513999999999998"/>
    <n v="460.48859999999996"/>
    <n v="265"/>
    <n v="195.48859999999996"/>
    <n v="0.4245242987557129"/>
    <n v="1"/>
    <s v="on time"/>
    <s v="October"/>
    <s v="Q4"/>
  </r>
  <r>
    <s v="ORD-01332"/>
    <x v="425"/>
    <d v="2025-11-04T00:00:00"/>
    <s v="CUST-0125"/>
    <s v="Iris Lopez"/>
    <x v="1"/>
    <x v="2"/>
    <s v="MN"/>
    <s v="Minneapolis"/>
    <x v="3"/>
    <x v="4"/>
    <s v="OFF-SUP-401"/>
    <s v="Desk Organizer Kit"/>
    <x v="2"/>
    <x v="2"/>
    <n v="5"/>
    <n v="28.15"/>
    <n v="0.06"/>
    <n v="12.11"/>
    <s v="Medium"/>
    <s v="No"/>
    <n v="4"/>
    <s v="Valid"/>
    <x v="0"/>
    <d v="2023-10-02T00:00:00"/>
    <n v="12"/>
    <n v="140.75"/>
    <n v="1.6889999999999998"/>
    <n v="139.06100000000001"/>
    <n v="60"/>
    <n v="79.061000000000007"/>
    <n v="0.56853467183466255"/>
    <n v="2"/>
    <s v="on time"/>
    <s v="November"/>
    <s v="Q4"/>
  </r>
  <r>
    <s v="ORD-01547"/>
    <x v="425"/>
    <d v="2025-11-12T00:00:00"/>
    <s v="CUST-0137"/>
    <s v="Kai Davis"/>
    <x v="0"/>
    <x v="0"/>
    <s v="PA"/>
    <s v="Philadelphia"/>
    <x v="2"/>
    <x v="3"/>
    <s v="APP-CLN-202"/>
    <s v="Robot Vacuum"/>
    <x v="0"/>
    <x v="3"/>
    <n v="1"/>
    <n v="317.97000000000003"/>
    <n v="0.08"/>
    <n v="8.6999999999999993"/>
    <s v="High"/>
    <s v="No"/>
    <n v="1"/>
    <s v="Valid"/>
    <x v="2"/>
    <d v="2022-12-21T00:00:00"/>
    <n v="165"/>
    <n v="317.97000000000003"/>
    <n v="25.437600000000003"/>
    <n v="292.53240000000005"/>
    <n v="165"/>
    <n v="127.53240000000005"/>
    <n v="0.43595991418386487"/>
    <n v="10"/>
    <s v="on time"/>
    <s v="November"/>
    <s v="Q4"/>
  </r>
  <r>
    <s v="ORD-01394"/>
    <x v="426"/>
    <d v="2025-11-12T00:00:00"/>
    <s v="CUST-0042"/>
    <s v="Iris Johnson"/>
    <x v="0"/>
    <x v="2"/>
    <s v="OH"/>
    <s v="Columbus"/>
    <x v="0"/>
    <x v="3"/>
    <s v="OFF-WRT-302"/>
    <s v="Mechanical Pencil Set"/>
    <x v="2"/>
    <x v="8"/>
    <n v="9"/>
    <n v="11.9"/>
    <n v="0.04"/>
    <n v="5.9"/>
    <s v="Critical"/>
    <s v="No"/>
    <n v="1"/>
    <s v="Valid"/>
    <x v="1"/>
    <d v="2021-09-11T00:00:00"/>
    <n v="5"/>
    <n v="107.10000000000001"/>
    <n v="0.47600000000000003"/>
    <n v="106.62400000000001"/>
    <n v="45"/>
    <n v="61.624000000000009"/>
    <n v="0.57795618247298919"/>
    <n v="8"/>
    <s v="on time"/>
    <s v="November"/>
    <s v="Q4"/>
  </r>
  <r>
    <s v="ORD-01674"/>
    <x v="427"/>
    <d v="2025-11-08T00:00:00"/>
    <s v="CUST-0126"/>
    <s v="Iris Garcia"/>
    <x v="2"/>
    <x v="0"/>
    <s v="PA"/>
    <s v="Philadelphia"/>
    <x v="3"/>
    <x v="0"/>
    <s v="FUR-CHR-202"/>
    <s v="Mesh Conference Chair"/>
    <x v="1"/>
    <x v="11"/>
    <n v="2"/>
    <n v="144.93"/>
    <n v="0.1"/>
    <n v="19.579999999999998"/>
    <s v="Low"/>
    <s v="No"/>
    <n v="1"/>
    <s v="Valid"/>
    <x v="3"/>
    <d v="2021-01-03T00:00:00"/>
    <n v="82"/>
    <n v="289.86"/>
    <n v="14.493000000000002"/>
    <n v="275.36700000000002"/>
    <n v="164"/>
    <n v="111.36700000000002"/>
    <n v="0.40443117730156486"/>
    <n v="2"/>
    <s v="on time"/>
    <s v="November"/>
    <s v="Q4"/>
  </r>
  <r>
    <s v="ORD-01185"/>
    <x v="428"/>
    <d v="2025-11-26T00:00:00"/>
    <s v="CUST-0143"/>
    <s v="Reese Brown"/>
    <x v="0"/>
    <x v="1"/>
    <s v="CA"/>
    <s v="Los Angeles"/>
    <x v="2"/>
    <x v="5"/>
    <s v="OFF-PAP-101"/>
    <s v="Premium Copy Paper Case"/>
    <x v="2"/>
    <x v="12"/>
    <n v="8"/>
    <n v="37.36"/>
    <n v="0.09"/>
    <n v="15.14"/>
    <s v="High"/>
    <s v="No"/>
    <n v="3"/>
    <s v="Valid"/>
    <x v="2"/>
    <d v="2021-02-14T00:00:00"/>
    <n v="20"/>
    <n v="298.88"/>
    <n v="3.3623999999999996"/>
    <n v="295.51760000000002"/>
    <n v="160"/>
    <n v="135.51760000000002"/>
    <n v="0.4585770864408753"/>
    <n v="18"/>
    <s v="late"/>
    <s v="November"/>
    <s v="Q4"/>
  </r>
  <r>
    <s v="ORD-01615"/>
    <x v="428"/>
    <d v="2025-11-14T00:00:00"/>
    <s v="CUST-0078"/>
    <s v="Reese Nguyen"/>
    <x v="0"/>
    <x v="1"/>
    <s v="WA"/>
    <s v="Seattle"/>
    <x v="3"/>
    <x v="1"/>
    <s v="FUR-DSK-101"/>
    <s v="Standing Desk 48"/>
    <x v="1"/>
    <x v="1"/>
    <n v="2"/>
    <n v="318.92"/>
    <n v="0.08"/>
    <n v="24.32"/>
    <s v="Medium"/>
    <s v="No"/>
    <n v="5"/>
    <s v="Valid"/>
    <x v="2"/>
    <d v="2022-12-16T00:00:00"/>
    <n v="184"/>
    <n v="637.84"/>
    <n v="25.5136"/>
    <n v="612.32640000000004"/>
    <n v="368"/>
    <n v="244.32640000000004"/>
    <n v="0.3990133366779548"/>
    <n v="6"/>
    <s v="on time"/>
    <s v="November"/>
    <s v="Q4"/>
  </r>
  <r>
    <s v="ORD-01647"/>
    <x v="429"/>
    <d v="2025-11-18T00:00:00"/>
    <s v="CUST-0141"/>
    <s v="Morgan Nguyen"/>
    <x v="0"/>
    <x v="2"/>
    <s v="TX"/>
    <s v="Austin"/>
    <x v="0"/>
    <x v="4"/>
    <s v="OFF-SUP-401"/>
    <s v="Desk Organizer Kit"/>
    <x v="2"/>
    <x v="2"/>
    <n v="4"/>
    <n v="26.63"/>
    <n v="0.1"/>
    <n v="15.35"/>
    <s v="Medium"/>
    <s v="No"/>
    <n v="5"/>
    <s v="Valid"/>
    <x v="1"/>
    <d v="2023-12-09T00:00:00"/>
    <n v="12"/>
    <n v="106.52"/>
    <n v="2.6630000000000003"/>
    <n v="103.857"/>
    <n v="48"/>
    <n v="55.856999999999999"/>
    <n v="0.53782604927929745"/>
    <n v="9"/>
    <s v="on time"/>
    <s v="November"/>
    <s v="Q4"/>
  </r>
  <r>
    <s v="ORD-01096"/>
    <x v="430"/>
    <d v="2025-11-19T00:00:00"/>
    <s v="CUST-0040"/>
    <s v="Drew Wilson"/>
    <x v="2"/>
    <x v="0"/>
    <s v="NJ"/>
    <s v="Newark"/>
    <x v="1"/>
    <x v="2"/>
    <s v="FUR-STO-301"/>
    <s v="Two-Drawer File Cabinet"/>
    <x v="1"/>
    <x v="9"/>
    <n v="3"/>
    <n v="171.91"/>
    <n v="0.03"/>
    <n v="29.14"/>
    <s v="Critical"/>
    <s v="No"/>
    <n v="1"/>
    <s v="Valid"/>
    <x v="1"/>
    <d v="2021-05-25T00:00:00"/>
    <n v="88"/>
    <n v="515.73"/>
    <n v="5.1572999999999993"/>
    <n v="510.5727"/>
    <n v="264"/>
    <n v="246.5727"/>
    <n v="0.48293357635455242"/>
    <n v="8"/>
    <s v="on time"/>
    <s v="November"/>
    <s v="Q4"/>
  </r>
  <r>
    <s v="ORD-01393"/>
    <x v="431"/>
    <d v="2025-11-15T00:00:00"/>
    <s v="CUST-0012"/>
    <s v="Jordan Johnson"/>
    <x v="2"/>
    <x v="2"/>
    <s v="CO"/>
    <s v="Denver"/>
    <x v="1"/>
    <x v="0"/>
    <s v="FUR-DSK-102"/>
    <s v="Executive Desk 60"/>
    <x v="1"/>
    <x v="1"/>
    <n v="1"/>
    <n v="430.75"/>
    <n v="0.02"/>
    <n v="21.28"/>
    <s v="High"/>
    <s v="No"/>
    <n v="2"/>
    <s v="Valid"/>
    <x v="2"/>
    <d v="2025-07-21T00:00:00"/>
    <n v="265"/>
    <n v="430.75"/>
    <n v="8.6150000000000002"/>
    <n v="422.13499999999999"/>
    <n v="265"/>
    <n v="157.13499999999999"/>
    <n v="0.37223873879209257"/>
    <n v="2"/>
    <s v="on time"/>
    <s v="November"/>
    <s v="Q4"/>
  </r>
  <r>
    <s v="ORD-01036"/>
    <x v="432"/>
    <d v="2025-11-17T00:00:00"/>
    <s v="CUST-0084"/>
    <s v="Iris Patel"/>
    <x v="2"/>
    <x v="3"/>
    <s v="NC"/>
    <s v="Charlotte"/>
    <x v="0"/>
    <x v="3"/>
    <s v="TEC-ACC-301"/>
    <s v="Wireless Keyboard and Mouse"/>
    <x v="3"/>
    <x v="10"/>
    <n v="4"/>
    <n v="60.26"/>
    <n v="7.0000000000000007E-2"/>
    <n v="12.29"/>
    <s v="Medium"/>
    <s v="No"/>
    <n v="3"/>
    <s v="Valid"/>
    <x v="3"/>
    <d v="2022-12-02T00:00:00"/>
    <n v="28"/>
    <n v="241.04"/>
    <n v="4.2182000000000004"/>
    <n v="236.8218"/>
    <n v="112"/>
    <n v="124.8218"/>
    <n v="0.52707056529424234"/>
    <n v="3"/>
    <s v="on time"/>
    <s v="November"/>
    <s v="Q4"/>
  </r>
  <r>
    <s v="ORD-01614"/>
    <x v="432"/>
    <d v="2025-11-23T00:00:00"/>
    <s v="CUST-0144"/>
    <s v="Iris Garcia"/>
    <x v="1"/>
    <x v="2"/>
    <s v="IL"/>
    <s v="Chicago"/>
    <x v="3"/>
    <x v="5"/>
    <s v="APP-CLN-202"/>
    <s v="Robot Vacuum"/>
    <x v="0"/>
    <x v="3"/>
    <n v="7"/>
    <n v="333.53"/>
    <n v="0.06"/>
    <n v="13.17"/>
    <s v="Critical"/>
    <s v="No"/>
    <n v="5"/>
    <s v="Valid"/>
    <x v="1"/>
    <d v="2023-06-25T00:00:00"/>
    <n v="165"/>
    <n v="2334.71"/>
    <n v="20.011799999999997"/>
    <n v="2314.6981999999998"/>
    <n v="1155"/>
    <n v="1159.6981999999998"/>
    <n v="0.5010148623263283"/>
    <n v="9"/>
    <s v="on time"/>
    <s v="November"/>
    <s v="Q4"/>
  </r>
  <r>
    <s v="ORD-01624"/>
    <x v="432"/>
    <d v="2025-11-17T00:00:00"/>
    <s v="CUST-0059"/>
    <s v="Avery Young"/>
    <x v="1"/>
    <x v="1"/>
    <s v="CA"/>
    <s v="San Diego"/>
    <x v="2"/>
    <x v="3"/>
    <s v="TEC-MON-202"/>
    <s v="ClearView Ultrawide Monitor"/>
    <x v="3"/>
    <x v="4"/>
    <n v="3"/>
    <n v="548.69000000000005"/>
    <n v="0.12"/>
    <n v="16.38"/>
    <s v="Critical"/>
    <s v="No"/>
    <m/>
    <s v="Valid"/>
    <x v="0"/>
    <d v="2021-10-07T00:00:00"/>
    <n v="310"/>
    <n v="1646.0700000000002"/>
    <n v="65.842800000000011"/>
    <n v="1580.2272000000003"/>
    <n v="930"/>
    <n v="650.22720000000027"/>
    <n v="0.41147703317598899"/>
    <n v="3"/>
    <s v="on time"/>
    <s v="November"/>
    <s v="Q4"/>
  </r>
  <r>
    <s v="ORD-01207"/>
    <x v="433"/>
    <d v="2025-12-02T00:00:00"/>
    <s v="CUST-0125"/>
    <s v="Iris Lopez"/>
    <x v="1"/>
    <x v="2"/>
    <s v="MN"/>
    <s v="Minneapolis"/>
    <x v="0"/>
    <x v="4"/>
    <s v="FUR-STO-302"/>
    <s v="Modular Bookcase"/>
    <x v="1"/>
    <x v="9"/>
    <n v="3"/>
    <n v="223.44"/>
    <n v="0.11"/>
    <n v="20.89"/>
    <s v="Critical"/>
    <s v="No"/>
    <n v="4"/>
    <s v="Valid"/>
    <x v="0"/>
    <d v="2023-10-02T00:00:00"/>
    <n v="118"/>
    <n v="670.31999999999994"/>
    <n v="24.578399999999998"/>
    <n v="645.74159999999995"/>
    <n v="354"/>
    <n v="291.74159999999995"/>
    <n v="0.45179310114138532"/>
    <n v="15"/>
    <s v="late"/>
    <s v="November"/>
    <s v="Q4"/>
  </r>
  <r>
    <s v="ORD-01233"/>
    <x v="433"/>
    <d v="2025-11-24T00:00:00"/>
    <s v="CUST-0009"/>
    <s v="Reese Patel"/>
    <x v="0"/>
    <x v="2"/>
    <s v="IL"/>
    <s v="Chicago"/>
    <x v="3"/>
    <x v="2"/>
    <s v="TEC-NET-402"/>
    <s v="8-Port Network Switch"/>
    <x v="3"/>
    <x v="5"/>
    <n v="2"/>
    <n v="88.29"/>
    <n v="0.01"/>
    <n v="21.44"/>
    <s v="Critical"/>
    <s v="No"/>
    <n v="2"/>
    <s v="Valid"/>
    <x v="0"/>
    <d v="2025-02-18T00:00:00"/>
    <n v="44"/>
    <n v="176.58"/>
    <n v="0.88290000000000013"/>
    <n v="175.69710000000001"/>
    <n v="88"/>
    <n v="87.697100000000006"/>
    <n v="0.49913800512359058"/>
    <n v="7"/>
    <s v="on time"/>
    <s v="November"/>
    <s v="Q4"/>
  </r>
  <r>
    <s v="ORD-01129"/>
    <x v="434"/>
    <d v="2025-11-26T00:00:00"/>
    <s v="CUST-0082"/>
    <s v="Alex Wright"/>
    <x v="1"/>
    <x v="2"/>
    <s v="TX"/>
    <s v="Austin"/>
    <x v="0"/>
    <x v="5"/>
    <s v="FUR-STO-302"/>
    <s v="Modular Bookcase"/>
    <x v="1"/>
    <x v="9"/>
    <n v="3"/>
    <n v="215.54"/>
    <n v="0.1"/>
    <n v="21.45"/>
    <s v="Critical"/>
    <s v="No"/>
    <n v="2"/>
    <s v="Valid"/>
    <x v="2"/>
    <d v="2022-06-23T00:00:00"/>
    <n v="118"/>
    <n v="646.62"/>
    <n v="21.554000000000002"/>
    <n v="625.06600000000003"/>
    <n v="354"/>
    <n v="271.06600000000003"/>
    <n v="0.43365980552453665"/>
    <n v="8"/>
    <s v="on time"/>
    <s v="November"/>
    <s v="Q4"/>
  </r>
  <r>
    <s v="ORD-01505"/>
    <x v="434"/>
    <d v="2025-11-22T00:00:00"/>
    <s v="CUST-0112"/>
    <s v="Priya Walker"/>
    <x v="0"/>
    <x v="0"/>
    <s v="VA"/>
    <s v="Richmond"/>
    <x v="3"/>
    <x v="1"/>
    <s v="OFF-SUP-401"/>
    <s v="Desk Organizer Kit"/>
    <x v="2"/>
    <x v="2"/>
    <n v="4"/>
    <n v="25.51"/>
    <n v="0.05"/>
    <n v="12.18"/>
    <s v="Critical"/>
    <s v="No"/>
    <n v="3"/>
    <s v="Valid"/>
    <x v="1"/>
    <d v="2022-09-16T00:00:00"/>
    <n v="12"/>
    <n v="102.04"/>
    <n v="1.2755000000000001"/>
    <n v="100.76450000000001"/>
    <n v="48"/>
    <n v="52.764500000000012"/>
    <n v="0.52364175875432328"/>
    <n v="4"/>
    <s v="on time"/>
    <s v="November"/>
    <s v="Q4"/>
  </r>
  <r>
    <s v="ORD-01595"/>
    <x v="434"/>
    <d v="2025-11-23T00:00:00"/>
    <s v="CUST-0100"/>
    <s v="Jamie Robinson"/>
    <x v="0"/>
    <x v="1"/>
    <s v="WA"/>
    <s v="Seattle"/>
    <x v="1"/>
    <x v="1"/>
    <s v="OFF-SUP-402"/>
    <s v="Label Maker"/>
    <x v="2"/>
    <x v="2"/>
    <n v="6"/>
    <n v="78.459999999999994"/>
    <n v="0.06"/>
    <n v="16.43"/>
    <s v="Critical"/>
    <s v="No"/>
    <n v="4"/>
    <s v="Valid"/>
    <x v="0"/>
    <d v="2022-06-22T00:00:00"/>
    <n v="36"/>
    <n v="470.76"/>
    <n v="4.7075999999999993"/>
    <n v="466.05239999999998"/>
    <n v="216"/>
    <n v="250.05239999999998"/>
    <n v="0.5365328018909461"/>
    <n v="5"/>
    <s v="on time"/>
    <s v="November"/>
    <s v="Q4"/>
  </r>
  <r>
    <s v="ORD-01313"/>
    <x v="435"/>
    <d v="2025-11-22T00:00:00"/>
    <s v="CUST-0059"/>
    <s v="Avery Young"/>
    <x v="1"/>
    <x v="1"/>
    <s v="CA"/>
    <s v="San Diego"/>
    <x v="2"/>
    <x v="5"/>
    <s v="OFF-BIN-201"/>
    <s v="Heavy-Duty Binder 12-Pack"/>
    <x v="2"/>
    <x v="6"/>
    <n v="6"/>
    <n v="37.46"/>
    <n v="0.06"/>
    <n v="9.8699999999999992"/>
    <s v="Critical"/>
    <s v="No"/>
    <n v="1"/>
    <s v="Valid"/>
    <x v="0"/>
    <d v="2021-10-07T00:00:00"/>
    <n v="18"/>
    <n v="224.76"/>
    <n v="2.2475999999999998"/>
    <n v="222.51239999999999"/>
    <n v="108"/>
    <n v="114.51239999999999"/>
    <n v="0.51463379119545694"/>
    <n v="3"/>
    <s v="on time"/>
    <s v="November"/>
    <s v="Q4"/>
  </r>
  <r>
    <s v="ORD-01097"/>
    <x v="436"/>
    <d v="2025-11-29T00:00:00"/>
    <s v="CUST-0037"/>
    <s v="Drew Martinez"/>
    <x v="0"/>
    <x v="3"/>
    <s v="FL"/>
    <s v="Miami"/>
    <x v="0"/>
    <x v="3"/>
    <s v="FUR-STO-301"/>
    <s v="Two-Drawer File Cabinet"/>
    <x v="1"/>
    <x v="9"/>
    <n v="2"/>
    <n v="163.94"/>
    <n v="0.04"/>
    <n v="23.41"/>
    <s v="High"/>
    <s v="No"/>
    <m/>
    <s v="Valid"/>
    <x v="1"/>
    <d v="2024-10-02T00:00:00"/>
    <n v="88"/>
    <n v="327.88"/>
    <n v="6.5575999999999999"/>
    <n v="321.32240000000002"/>
    <n v="176"/>
    <n v="145.32240000000002"/>
    <n v="0.4522635209994697"/>
    <n v="9"/>
    <s v="on time"/>
    <s v="November"/>
    <s v="Q4"/>
  </r>
  <r>
    <s v="ORD-01583"/>
    <x v="437"/>
    <d v="2025-11-29T00:00:00"/>
    <s v="CUST-0153"/>
    <s v="Reese Davis"/>
    <x v="2"/>
    <x v="0"/>
    <s v="MA"/>
    <s v="Boston"/>
    <x v="2"/>
    <x v="1"/>
    <s v="TEC-ACC-302"/>
    <s v="USB-C Docking Station"/>
    <x v="3"/>
    <x v="10"/>
    <n v="2"/>
    <n v="137.79"/>
    <n v="0.11"/>
    <n v="15.14"/>
    <s v="Medium"/>
    <s v="No"/>
    <n v="3"/>
    <s v="Valid"/>
    <x v="3"/>
    <d v="2021-03-24T00:00:00"/>
    <n v="72"/>
    <n v="275.58"/>
    <n v="15.156899999999998"/>
    <n v="260.42309999999998"/>
    <n v="144"/>
    <n v="116.42309999999998"/>
    <n v="0.44705365998638363"/>
    <n v="8"/>
    <s v="on time"/>
    <s v="November"/>
    <s v="Q4"/>
  </r>
  <r>
    <s v="ORD-01669"/>
    <x v="438"/>
    <d v="2025-11-26T00:00:00"/>
    <s v="CUST-0090"/>
    <s v="Reese Davis"/>
    <x v="1"/>
    <x v="0"/>
    <s v="MA"/>
    <s v="Boston"/>
    <x v="3"/>
    <x v="5"/>
    <s v="TEC-MON-201"/>
    <s v="ClearView 27 Monitor"/>
    <x v="3"/>
    <x v="4"/>
    <n v="2"/>
    <n v="282.87"/>
    <n v="0.08"/>
    <n v="19.47"/>
    <s v="Low"/>
    <s v="No"/>
    <n v="1"/>
    <s v="Valid"/>
    <x v="2"/>
    <d v="2025-05-10T00:00:00"/>
    <n v="168"/>
    <n v="565.74"/>
    <n v="22.6296"/>
    <n v="543.11040000000003"/>
    <n v="336"/>
    <n v="207.11040000000003"/>
    <n v="0.38134125216530562"/>
    <n v="4"/>
    <s v="on time"/>
    <s v="November"/>
    <s v="Q4"/>
  </r>
  <r>
    <s v="ORD-01232"/>
    <x v="439"/>
    <d v="2025-11-29T00:00:00"/>
    <s v="CUST-0119"/>
    <s v="Quinn Scott"/>
    <x v="2"/>
    <x v="0"/>
    <s v="VA"/>
    <s v="Richmond"/>
    <x v="1"/>
    <x v="3"/>
    <s v="OFF-PAP-101"/>
    <s v="Premium Copy Paper Case"/>
    <x v="2"/>
    <x v="12"/>
    <n v="7"/>
    <n v="37.54"/>
    <n v="0.09"/>
    <n v="13.12"/>
    <s v="High"/>
    <s v="No"/>
    <n v="5"/>
    <s v="Valid"/>
    <x v="3"/>
    <d v="2025-01-23T00:00:00"/>
    <n v="20"/>
    <n v="262.77999999999997"/>
    <n v="3.3785999999999996"/>
    <n v="259.40139999999997"/>
    <n v="140"/>
    <n v="119.40139999999997"/>
    <n v="0.46029589662970199"/>
    <n v="5"/>
    <s v="on time"/>
    <s v="November"/>
    <s v="Q4"/>
  </r>
  <r>
    <s v="ORD-01543"/>
    <x v="439"/>
    <d v="2025-11-29T00:00:00"/>
    <s v="CUST-0091"/>
    <s v="Morgan Garcia"/>
    <x v="1"/>
    <x v="1"/>
    <s v="WA"/>
    <s v="Seattle"/>
    <x v="0"/>
    <x v="0"/>
    <s v="TEC-LAP-102"/>
    <s v="ApexBook Pro 16 Laptop"/>
    <x v="3"/>
    <x v="7"/>
    <n v="2"/>
    <n v="1331.43"/>
    <n v="0.05"/>
    <n v="9.51"/>
    <s v="Low"/>
    <s v="No"/>
    <n v="5"/>
    <s v="Valid"/>
    <x v="2"/>
    <d v="2022-11-11T00:00:00"/>
    <n v="885"/>
    <n v="2662.86"/>
    <n v="66.5715"/>
    <n v="2596.2885000000001"/>
    <n v="1770"/>
    <n v="826.28850000000011"/>
    <n v="0.31825758192897285"/>
    <n v="5"/>
    <s v="on time"/>
    <s v="November"/>
    <s v="Q4"/>
  </r>
  <r>
    <s v="ORD-01264"/>
    <x v="440"/>
    <d v="2025-12-02T00:00:00"/>
    <s v="CUST-0100"/>
    <s v="Jamie Robinson"/>
    <x v="0"/>
    <x v="1"/>
    <s v="WA"/>
    <s v="Seattle"/>
    <x v="2"/>
    <x v="2"/>
    <s v="TEC-NET-402"/>
    <s v="8-Port Network Switch"/>
    <x v="3"/>
    <x v="5"/>
    <n v="2"/>
    <n v="88.91"/>
    <n v="0.01"/>
    <n v="7.93"/>
    <s v="High"/>
    <s v="No"/>
    <m/>
    <s v="Valid"/>
    <x v="0"/>
    <d v="2022-06-22T00:00:00"/>
    <n v="44"/>
    <n v="177.82"/>
    <n v="0.8891"/>
    <n v="176.93089999999998"/>
    <n v="88"/>
    <n v="88.93089999999998"/>
    <n v="0.50263068802566424"/>
    <n v="5"/>
    <s v="on time"/>
    <s v="November"/>
    <s v="Q4"/>
  </r>
  <r>
    <s v="ORD-01518"/>
    <x v="440"/>
    <d v="2025-11-29T00:00:00"/>
    <s v="CUST-0039"/>
    <s v="Priya Miller"/>
    <x v="2"/>
    <x v="2"/>
    <s v="IL"/>
    <s v="Chicago"/>
    <x v="2"/>
    <x v="5"/>
    <s v="OFF-PAP-101"/>
    <s v="Premium Copy Paper Case"/>
    <x v="2"/>
    <x v="12"/>
    <n v="9"/>
    <n v="39.39"/>
    <n v="0.01"/>
    <n v="9.19"/>
    <s v="Critical"/>
    <s v="No"/>
    <n v="5"/>
    <s v="Valid"/>
    <x v="3"/>
    <d v="2022-09-14T00:00:00"/>
    <n v="20"/>
    <n v="354.51"/>
    <n v="0.39390000000000003"/>
    <n v="354.11610000000002"/>
    <n v="180"/>
    <n v="174.11610000000002"/>
    <n v="0.49169213147891327"/>
    <n v="2"/>
    <s v="on time"/>
    <s v="November"/>
    <s v="Q4"/>
  </r>
  <r>
    <s v="ORD-01422"/>
    <x v="441"/>
    <d v="2025-12-08T00:00:00"/>
    <s v="CUST-0099"/>
    <s v="Jamie Clark"/>
    <x v="0"/>
    <x v="3"/>
    <s v="FL"/>
    <s v="Miami"/>
    <x v="2"/>
    <x v="0"/>
    <s v="TEC-NET-401"/>
    <s v="Mesh Wi-Fi Router"/>
    <x v="3"/>
    <x v="5"/>
    <n v="4"/>
    <n v="185.55"/>
    <n v="0.05"/>
    <n v="11.72"/>
    <s v="Low"/>
    <s v="No"/>
    <m/>
    <s v="Valid"/>
    <x v="3"/>
    <d v="2025-04-09T00:00:00"/>
    <n v="96"/>
    <n v="742.2"/>
    <n v="9.2775000000000016"/>
    <n v="732.92250000000001"/>
    <n v="384"/>
    <n v="348.92250000000001"/>
    <n v="0.47607011655393305"/>
    <n v="9"/>
    <s v="on time"/>
    <s v="November"/>
    <s v="Q4"/>
  </r>
  <r>
    <s v="ORD-01117"/>
    <x v="442"/>
    <d v="2025-12-08T00:00:00"/>
    <s v="CUST-0074"/>
    <s v="Alex Clark"/>
    <x v="2"/>
    <x v="0"/>
    <s v="MA"/>
    <s v="Boston"/>
    <x v="0"/>
    <x v="5"/>
    <s v="OFF-BIN-201"/>
    <s v="Heavy-Duty Binder 12-Pack"/>
    <x v="2"/>
    <x v="6"/>
    <n v="1"/>
    <n v="34.340000000000003"/>
    <n v="0.1"/>
    <n v="16.809999999999999"/>
    <s v="Low"/>
    <s v="No"/>
    <n v="5"/>
    <s v="Valid"/>
    <x v="1"/>
    <d v="2025-06-20T00:00:00"/>
    <n v="18"/>
    <n v="34.340000000000003"/>
    <n v="3.4340000000000006"/>
    <n v="30.906000000000002"/>
    <n v="18"/>
    <n v="12.906000000000002"/>
    <n v="0.41758881770529999"/>
    <n v="7"/>
    <s v="on time"/>
    <s v="December"/>
    <s v="Q4"/>
  </r>
  <r>
    <s v="ORD-01319"/>
    <x v="442"/>
    <d v="2025-12-11T00:00:00"/>
    <s v="CUST-0106"/>
    <s v="Morgan Martinez"/>
    <x v="0"/>
    <x v="2"/>
    <s v="OH"/>
    <s v="Columbus"/>
    <x v="0"/>
    <x v="5"/>
    <s v="TEC-MON-202"/>
    <s v="ClearView Ultrawide Monitor"/>
    <x v="3"/>
    <x v="4"/>
    <n v="4"/>
    <n v="555.20000000000005"/>
    <n v="7.0000000000000007E-2"/>
    <n v="15.22"/>
    <s v="High"/>
    <s v="No"/>
    <m/>
    <s v="Valid"/>
    <x v="1"/>
    <d v="2023-04-04T00:00:00"/>
    <n v="310"/>
    <n v="2220.8000000000002"/>
    <n v="38.864000000000004"/>
    <n v="2181.9360000000001"/>
    <n v="1240"/>
    <n v="941.93600000000015"/>
    <n v="0.43169735500949619"/>
    <n v="10"/>
    <s v="on time"/>
    <s v="December"/>
    <s v="Q4"/>
  </r>
  <r>
    <s v="ORD-01531"/>
    <x v="442"/>
    <d v="2025-12-09T00:00:00"/>
    <s v="CUST-0030"/>
    <s v="Lena Martinez"/>
    <x v="0"/>
    <x v="1"/>
    <s v="OR"/>
    <s v="Portland"/>
    <x v="1"/>
    <x v="4"/>
    <s v="TEC-NET-401"/>
    <s v="Mesh Wi-Fi Router"/>
    <x v="3"/>
    <x v="5"/>
    <n v="2"/>
    <n v="191.94"/>
    <n v="0.11"/>
    <n v="10.63"/>
    <s v="High"/>
    <s v="No"/>
    <n v="3"/>
    <s v="Valid"/>
    <x v="0"/>
    <d v="2024-03-22T00:00:00"/>
    <n v="96"/>
    <n v="383.88"/>
    <n v="21.113399999999999"/>
    <n v="362.76659999999998"/>
    <n v="192"/>
    <n v="170.76659999999998"/>
    <n v="0.47073407529800149"/>
    <n v="8"/>
    <s v="on time"/>
    <s v="December"/>
    <s v="Q4"/>
  </r>
  <r>
    <s v="ORD-01061"/>
    <x v="443"/>
    <d v="2025-12-13T00:00:00"/>
    <s v="CUST-0078"/>
    <s v="Reese Nguyen"/>
    <x v="0"/>
    <x v="1"/>
    <s v="WA"/>
    <s v="Seattle"/>
    <x v="2"/>
    <x v="5"/>
    <s v="FUR-STO-301"/>
    <s v="Two-Drawer File Cabinet"/>
    <x v="1"/>
    <x v="9"/>
    <n v="2"/>
    <n v="164.36"/>
    <n v="0.26"/>
    <n v="19.43"/>
    <s v="Low"/>
    <s v="No"/>
    <m/>
    <s v="Valid"/>
    <x v="2"/>
    <d v="2022-12-16T00:00:00"/>
    <n v="88"/>
    <n v="328.72"/>
    <n v="42.733600000000003"/>
    <n v="285.9864"/>
    <n v="176"/>
    <n v="109.9864"/>
    <n v="0.3845861201791414"/>
    <n v="11"/>
    <s v="late"/>
    <s v="December"/>
    <s v="Q4"/>
  </r>
  <r>
    <s v="ORD-01110"/>
    <x v="443"/>
    <d v="2025-12-10T00:00:00"/>
    <s v="CUST-0096"/>
    <s v="Mila Wilson"/>
    <x v="0"/>
    <x v="0"/>
    <s v="VA"/>
    <s v="Richmond"/>
    <x v="2"/>
    <x v="0"/>
    <s v="FUR-DSK-101"/>
    <s v="Standing Desk 48"/>
    <x v="1"/>
    <x v="1"/>
    <n v="2"/>
    <n v="332.09"/>
    <n v="0.19"/>
    <n v="22.27"/>
    <s v="High"/>
    <s v="Yes"/>
    <n v="1"/>
    <s v="Valid"/>
    <x v="0"/>
    <d v="2025-12-08T00:00:00"/>
    <n v="184"/>
    <n v="664.18"/>
    <n v="63.097099999999998"/>
    <n v="601.0829"/>
    <n v="368"/>
    <n v="233.0829"/>
    <n v="0.38777163682413857"/>
    <n v="8"/>
    <s v="on time"/>
    <s v="December"/>
    <s v="Q4"/>
  </r>
  <r>
    <s v="ORD-01335"/>
    <x v="444"/>
    <d v="2025-12-11T00:00:00"/>
    <s v="CUST-0060"/>
    <s v="Owen Johnson"/>
    <x v="2"/>
    <x v="1"/>
    <s v="OR"/>
    <s v="Portland"/>
    <x v="1"/>
    <x v="1"/>
    <s v="TEC-ACC-301"/>
    <s v="Wireless Keyboard and Mouse"/>
    <x v="3"/>
    <x v="10"/>
    <n v="1"/>
    <n v="59.76"/>
    <n v="7.0000000000000007E-2"/>
    <n v="9.6300000000000008"/>
    <s v="Low"/>
    <s v="No"/>
    <n v="2"/>
    <s v="Valid"/>
    <x v="1"/>
    <d v="2022-12-08T00:00:00"/>
    <n v="28"/>
    <n v="59.76"/>
    <n v="4.1832000000000003"/>
    <n v="55.576799999999999"/>
    <n v="28"/>
    <n v="27.576799999999999"/>
    <n v="0.49619265592837297"/>
    <n v="5"/>
    <s v="on time"/>
    <s v="December"/>
    <s v="Q4"/>
  </r>
  <r>
    <s v="ORD-01043"/>
    <x v="445"/>
    <d v="2025-12-08T00:00:00"/>
    <s v="Missing Customer_ID"/>
    <s v="Rowan Nguyen"/>
    <x v="1"/>
    <x v="3"/>
    <s v="TN"/>
    <s v="Nashville"/>
    <x v="3"/>
    <x v="5"/>
    <s v="OFF-PAP-102"/>
    <s v="Recycled Notebook Pack"/>
    <x v="2"/>
    <x v="12"/>
    <n v="8"/>
    <n v="21.55"/>
    <n v="0.11"/>
    <n v="5.87"/>
    <s v="Low"/>
    <s v="No"/>
    <n v="3"/>
    <s v="Invalid Customer"/>
    <x v="4"/>
    <e v="#N/A"/>
    <n v="10"/>
    <n v="172.4"/>
    <n v="2.3705000000000003"/>
    <n v="170.02950000000001"/>
    <n v="80"/>
    <n v="90.029500000000013"/>
    <n v="0.52949341143742712"/>
    <n v="1"/>
    <s v="on time"/>
    <s v="December"/>
    <s v="Q4"/>
  </r>
  <r>
    <s v="ORD-01435"/>
    <x v="445"/>
    <d v="2025-12-10T00:00:00"/>
    <s v="CUST-0093"/>
    <s v="Iris Miller"/>
    <x v="2"/>
    <x v="0"/>
    <s v="NJ"/>
    <s v="Newark"/>
    <x v="1"/>
    <x v="0"/>
    <s v="FUR-DSK-101"/>
    <s v="Standing Desk 48"/>
    <x v="1"/>
    <x v="1"/>
    <n v="4"/>
    <n v="342.11"/>
    <n v="0.09"/>
    <n v="25.83"/>
    <s v="Low"/>
    <s v="No"/>
    <n v="5"/>
    <s v="Valid"/>
    <x v="0"/>
    <d v="2023-11-13T00:00:00"/>
    <n v="184"/>
    <n v="1368.44"/>
    <n v="30.789899999999999"/>
    <n v="1337.6501000000001"/>
    <n v="736"/>
    <n v="601.65010000000007"/>
    <n v="0.44978137406785229"/>
    <n v="3"/>
    <s v="on time"/>
    <s v="December"/>
    <s v="Q4"/>
  </r>
  <r>
    <s v="ORD-01069"/>
    <x v="446"/>
    <d v="2025-12-12T00:00:00"/>
    <s v="CUST-0023"/>
    <s v="Jordan Smith"/>
    <x v="1"/>
    <x v="0"/>
    <s v="NJ"/>
    <s v="Newark"/>
    <x v="1"/>
    <x v="5"/>
    <s v="OFF-PAP-102"/>
    <s v="Recycled Notebook Pack"/>
    <x v="2"/>
    <x v="12"/>
    <n v="8"/>
    <n v="22.56"/>
    <n v="0.11"/>
    <n v="10.72"/>
    <s v="Low"/>
    <s v="No"/>
    <n v="2"/>
    <s v="Valid"/>
    <x v="1"/>
    <d v="2023-05-13T00:00:00"/>
    <n v="10"/>
    <n v="180.48"/>
    <n v="2.4815999999999998"/>
    <n v="177.9984"/>
    <n v="80"/>
    <n v="97.998400000000004"/>
    <n v="0.55055775782254224"/>
    <n v="3"/>
    <s v="on time"/>
    <s v="December"/>
    <s v="Q4"/>
  </r>
  <r>
    <s v="ORD-01183"/>
    <x v="446"/>
    <d v="2025-12-12T00:00:00"/>
    <s v="CUST-0146"/>
    <s v="Riley Davis"/>
    <x v="1"/>
    <x v="1"/>
    <s v="AZ"/>
    <s v="Phoenix"/>
    <x v="0"/>
    <x v="5"/>
    <s v="FUR-DSK-102"/>
    <s v="Executive Desk 60"/>
    <x v="1"/>
    <x v="1"/>
    <n v="2"/>
    <n v="468.2"/>
    <n v="0.06"/>
    <n v="29.5"/>
    <s v="High"/>
    <s v="No"/>
    <n v="5"/>
    <s v="Valid"/>
    <x v="0"/>
    <d v="2022-07-13T00:00:00"/>
    <n v="265"/>
    <n v="936.4"/>
    <n v="28.091999999999999"/>
    <n v="908.30799999999999"/>
    <n v="530"/>
    <n v="378.30799999999999"/>
    <n v="0.41649748763635241"/>
    <n v="3"/>
    <s v="on time"/>
    <s v="December"/>
    <s v="Q4"/>
  </r>
  <r>
    <s v="ORD-01030"/>
    <x v="447"/>
    <d v="2025-12-19T00:00:00"/>
    <s v="CUST-0082"/>
    <s v="Alex Wright"/>
    <x v="1"/>
    <x v="2"/>
    <s v="TX"/>
    <s v="Austin"/>
    <x v="3"/>
    <x v="5"/>
    <s v="TEC-NET-401"/>
    <s v="Mesh Wi-Fi Router"/>
    <x v="3"/>
    <x v="5"/>
    <n v="4"/>
    <n v="185.28"/>
    <n v="0.01"/>
    <n v="19.27"/>
    <s v="Low"/>
    <s v="No"/>
    <n v="4"/>
    <s v="Valid"/>
    <x v="2"/>
    <d v="2022-06-23T00:00:00"/>
    <n v="96"/>
    <n v="741.12"/>
    <n v="1.8528"/>
    <n v="739.2672"/>
    <n v="384"/>
    <n v="355.2672"/>
    <n v="0.48056670172841431"/>
    <n v="8"/>
    <s v="on time"/>
    <s v="December"/>
    <s v="Q4"/>
  </r>
  <r>
    <s v="ORD-01294"/>
    <x v="448"/>
    <d v="2025-12-19T00:00:00"/>
    <s v="CUST-0086"/>
    <s v="Rowan Hall"/>
    <x v="0"/>
    <x v="0"/>
    <s v="VA"/>
    <s v="Richmond"/>
    <x v="3"/>
    <x v="2"/>
    <s v="TEC-LAP-102"/>
    <s v="ApexBook Pro 16 Laptop"/>
    <x v="3"/>
    <x v="7"/>
    <n v="4"/>
    <n v="1346.88"/>
    <n v="0.1"/>
    <n v="12.09"/>
    <s v="Medium"/>
    <s v="No"/>
    <n v="1"/>
    <s v="Valid"/>
    <x v="3"/>
    <d v="2022-09-14T00:00:00"/>
    <n v="885"/>
    <n v="5387.52"/>
    <n v="134.68800000000002"/>
    <n v="5252.8320000000003"/>
    <n v="3540"/>
    <n v="1712.8320000000003"/>
    <n v="0.32607781859385571"/>
    <n v="6"/>
    <s v="on time"/>
    <s v="December"/>
    <s v="Q4"/>
  </r>
  <r>
    <s v="ORD-01177"/>
    <x v="449"/>
    <d v="2025-12-27T00:00:00"/>
    <s v="CUST-0033"/>
    <s v="Cameron Smith"/>
    <x v="1"/>
    <x v="0"/>
    <s v="VA"/>
    <s v="Richmond"/>
    <x v="0"/>
    <x v="0"/>
    <s v="OFF-BIN-202"/>
    <s v="Presentation Folder Box"/>
    <x v="2"/>
    <x v="6"/>
    <n v="8"/>
    <n v="28.22"/>
    <n v="0.08"/>
    <n v="6.68"/>
    <s v="High"/>
    <s v="No"/>
    <n v="3"/>
    <s v="Valid"/>
    <x v="1"/>
    <d v="2021-11-18T00:00:00"/>
    <n v="14"/>
    <n v="225.76"/>
    <n v="2.2576000000000001"/>
    <n v="223.50239999999999"/>
    <n v="112"/>
    <n v="111.50239999999999"/>
    <n v="0.49888681284854208"/>
    <n v="13"/>
    <s v="late"/>
    <s v="December"/>
    <s v="Q4"/>
  </r>
  <r>
    <s v="ORD-01035"/>
    <x v="450"/>
    <d v="2025-12-24T00:00:00"/>
    <s v="CUST-0123"/>
    <s v="Taylor Wright"/>
    <x v="1"/>
    <x v="1"/>
    <s v="CA"/>
    <s v="San Diego"/>
    <x v="1"/>
    <x v="5"/>
    <s v="TEC-ACC-302"/>
    <s v="USB-C Docking Station"/>
    <x v="3"/>
    <x v="10"/>
    <n v="1"/>
    <n v="146.9"/>
    <n v="0.09"/>
    <n v="7.17"/>
    <s v="Medium"/>
    <s v="Yes"/>
    <n v="1"/>
    <s v="Valid"/>
    <x v="0"/>
    <d v="2024-07-22T00:00:00"/>
    <n v="72"/>
    <n v="146.9"/>
    <n v="13.221"/>
    <n v="133.679"/>
    <n v="72"/>
    <n v="61.679000000000002"/>
    <n v="0.46139633001443758"/>
    <n v="9"/>
    <s v="on time"/>
    <s v="December"/>
    <s v="Q4"/>
  </r>
  <r>
    <s v="ORD-01482"/>
    <x v="450"/>
    <d v="2025-12-19T00:00:00"/>
    <s v="CUST-0075"/>
    <s v="Jordan Hall"/>
    <x v="2"/>
    <x v="1"/>
    <s v="CA"/>
    <s v="Los Angeles"/>
    <x v="0"/>
    <x v="2"/>
    <s v="FUR-STO-301"/>
    <s v="Two-Drawer File Cabinet"/>
    <x v="1"/>
    <x v="9"/>
    <n v="4"/>
    <n v="165.93"/>
    <n v="0.06"/>
    <n v="25.27"/>
    <s v="High"/>
    <s v="No"/>
    <n v="5"/>
    <s v="Valid"/>
    <x v="0"/>
    <d v="2022-11-05T00:00:00"/>
    <n v="88"/>
    <n v="663.72"/>
    <n v="9.9558"/>
    <n v="653.76420000000007"/>
    <n v="352"/>
    <n v="301.76420000000007"/>
    <n v="0.46157957257372006"/>
    <n v="4"/>
    <s v="on time"/>
    <s v="December"/>
    <s v="Q4"/>
  </r>
  <r>
    <s v="ORD-01475"/>
    <x v="451"/>
    <d v="2025-12-23T00:00:00"/>
    <s v="CUST-0125"/>
    <s v="Iris Lopez"/>
    <x v="1"/>
    <x v="2"/>
    <s v="MN"/>
    <s v="Minneapolis"/>
    <x v="1"/>
    <x v="1"/>
    <s v="OFF-PAP-102"/>
    <s v="Recycled Notebook Pack"/>
    <x v="2"/>
    <x v="12"/>
    <n v="6"/>
    <n v="22.53"/>
    <n v="0.05"/>
    <n v="14.17"/>
    <s v="High"/>
    <s v="No"/>
    <n v="1"/>
    <s v="Valid"/>
    <x v="0"/>
    <d v="2023-10-02T00:00:00"/>
    <n v="10"/>
    <n v="135.18"/>
    <n v="1.1265000000000001"/>
    <n v="134.05350000000001"/>
    <n v="60"/>
    <n v="74.053500000000014"/>
    <n v="0.55241750495138142"/>
    <n v="6"/>
    <s v="on time"/>
    <s v="December"/>
    <s v="Q4"/>
  </r>
  <r>
    <s v="ORD-01008"/>
    <x v="452"/>
    <d v="2025-12-29T00:00:00"/>
    <s v="CUST-0132"/>
    <s v="Priya Young"/>
    <x v="0"/>
    <x v="0"/>
    <s v="NJ"/>
    <s v="Newark"/>
    <x v="1"/>
    <x v="1"/>
    <s v="TEC-ACC-301"/>
    <s v="Wireless Keyboard and Mouse"/>
    <x v="3"/>
    <x v="10"/>
    <n v="1"/>
    <n v="57.46"/>
    <n v="0.12"/>
    <n v="6.67"/>
    <s v="Low"/>
    <s v="No"/>
    <m/>
    <s v="Valid"/>
    <x v="0"/>
    <d v="2021-03-16T00:00:00"/>
    <n v="28"/>
    <n v="57.46"/>
    <n v="6.8952"/>
    <n v="50.564799999999998"/>
    <n v="28"/>
    <n v="22.564799999999998"/>
    <n v="0.44625510236369964"/>
    <n v="9"/>
    <s v="on time"/>
    <s v="December"/>
    <s v="Q4"/>
  </r>
  <r>
    <s v="ORD-01278"/>
    <x v="452"/>
    <d v="2025-12-26T00:00:00"/>
    <s v="CUST-0096"/>
    <s v="Mila Wilson"/>
    <x v="0"/>
    <x v="0"/>
    <s v="VA"/>
    <s v="Richmond"/>
    <x v="3"/>
    <x v="1"/>
    <s v="TEC-ACC-301"/>
    <s v="Wireless Keyboard and Mouse"/>
    <x v="3"/>
    <x v="10"/>
    <n v="2"/>
    <n v="59.66"/>
    <n v="0.03"/>
    <n v="16.07"/>
    <s v="Low"/>
    <s v="No"/>
    <m/>
    <s v="Valid"/>
    <x v="0"/>
    <d v="2025-12-08T00:00:00"/>
    <n v="28"/>
    <n v="119.32"/>
    <n v="1.7897999999999998"/>
    <n v="117.53019999999999"/>
    <n v="56"/>
    <n v="61.530199999999994"/>
    <n v="0.52352671909007209"/>
    <n v="6"/>
    <s v="on time"/>
    <s v="December"/>
    <s v="Q4"/>
  </r>
  <r>
    <s v="ORD-01188"/>
    <x v="453"/>
    <d v="2025-12-29T00:00:00"/>
    <s v="CUST-0001"/>
    <s v="Quinn Garcia"/>
    <x v="0"/>
    <x v="3"/>
    <s v="TN"/>
    <s v="Nashville"/>
    <x v="1"/>
    <x v="0"/>
    <s v="TEC-MON-201"/>
    <s v="ClearView 27 Monitor"/>
    <x v="3"/>
    <x v="4"/>
    <n v="3"/>
    <n v="276.61"/>
    <n v="0.09"/>
    <n v="11.38"/>
    <s v="Critical"/>
    <s v="No"/>
    <n v="4"/>
    <s v="Valid"/>
    <x v="1"/>
    <d v="2021-09-15T00:00:00"/>
    <n v="168"/>
    <n v="829.83"/>
    <n v="24.8949"/>
    <n v="804.93510000000003"/>
    <n v="504"/>
    <n v="300.93510000000003"/>
    <n v="0.37386256357810715"/>
    <n v="8"/>
    <s v="on time"/>
    <s v="December"/>
    <s v="Q4"/>
  </r>
  <r>
    <s v="ORD-01403"/>
    <x v="453"/>
    <d v="2025-12-25T00:00:00"/>
    <s v="CUST-0156"/>
    <s v="Alex Young"/>
    <x v="2"/>
    <x v="3"/>
    <s v="GA"/>
    <s v="Atlanta"/>
    <x v="0"/>
    <x v="0"/>
    <s v="OFF-BIN-202"/>
    <s v="Presentation Folder Box"/>
    <x v="2"/>
    <x v="6"/>
    <n v="8"/>
    <n v="28.28"/>
    <n v="7.0000000000000007E-2"/>
    <n v="6.98"/>
    <s v="Low"/>
    <s v="No"/>
    <n v="3"/>
    <s v="Valid"/>
    <x v="3"/>
    <d v="2024-08-10T00:00:00"/>
    <n v="14"/>
    <n v="226.24"/>
    <n v="1.9796000000000002"/>
    <n v="224.2604"/>
    <n v="112"/>
    <n v="112.2604"/>
    <n v="0.5005805750814678"/>
    <n v="4"/>
    <s v="on time"/>
    <s v="December"/>
    <s v="Q4"/>
  </r>
  <r>
    <s v="ORD-01100"/>
    <x v="454"/>
    <d v="2025-12-30T00:00:00"/>
    <s v="CUST-0027"/>
    <s v="Cameron Lopez"/>
    <x v="2"/>
    <x v="1"/>
    <s v="CA"/>
    <s v="San Diego"/>
    <x v="2"/>
    <x v="1"/>
    <s v="TEC-LAP-101"/>
    <s v="ApexBook 14 Laptop"/>
    <x v="1"/>
    <x v="7"/>
    <n v="1"/>
    <n v="895.64"/>
    <n v="7.0000000000000007E-2"/>
    <n v="7.8"/>
    <s v="Medium"/>
    <s v="No"/>
    <n v="3"/>
    <s v="Valid"/>
    <x v="3"/>
    <d v="2025-02-25T00:00:00"/>
    <n v="585"/>
    <n v="895.64"/>
    <n v="62.694800000000008"/>
    <n v="832.9452"/>
    <n v="585"/>
    <n v="247.9452"/>
    <n v="0.29767288412250892"/>
    <n v="8"/>
    <s v="on time"/>
    <s v="December"/>
    <s v="Q4"/>
  </r>
  <r>
    <s v="ORD-01180"/>
    <x v="454"/>
    <d v="2026-01-01T00:00:00"/>
    <s v="CUST-0025"/>
    <s v="Jamie Scott"/>
    <x v="2"/>
    <x v="0"/>
    <s v="NJ"/>
    <s v="Newark"/>
    <x v="2"/>
    <x v="4"/>
    <s v="TEC-ACC-301"/>
    <s v="Wireless Keyboard and Mouse"/>
    <x v="3"/>
    <x v="10"/>
    <n v="4"/>
    <n v="61.8"/>
    <n v="0.12"/>
    <n v="5.91"/>
    <s v="Low"/>
    <s v="No"/>
    <n v="5"/>
    <s v="Invalid Ship Date"/>
    <x v="0"/>
    <d v="2022-06-23T00:00:00"/>
    <n v="28"/>
    <n v="247.2"/>
    <n v="7.4159999999999995"/>
    <n v="239.78399999999999"/>
    <n v="112"/>
    <n v="127.78399999999999"/>
    <n v="0.53291295499282687"/>
    <n v="10"/>
    <s v="on time"/>
    <s v="December"/>
    <s v="Q4"/>
  </r>
  <r>
    <s v="ORD-01064"/>
    <x v="455"/>
    <d v="2025-12-27T00:00:00"/>
    <s v="CUST-0055"/>
    <s v="Jamie Miller"/>
    <x v="2"/>
    <x v="0"/>
    <s v="NY"/>
    <s v="New York"/>
    <x v="1"/>
    <x v="2"/>
    <s v="FUR-STO-301"/>
    <s v="Two-Drawer File Cabinet"/>
    <x v="1"/>
    <x v="9"/>
    <n v="2"/>
    <n v="177.53"/>
    <n v="0.12"/>
    <n v="28.72"/>
    <s v="Critical"/>
    <s v="No"/>
    <n v="2"/>
    <s v="Valid"/>
    <x v="1"/>
    <d v="2024-08-08T00:00:00"/>
    <n v="88"/>
    <n v="355.06"/>
    <n v="21.303599999999999"/>
    <n v="333.75639999999999"/>
    <n v="176"/>
    <n v="157.75639999999999"/>
    <n v="0.47266928813949333"/>
    <n v="4"/>
    <s v="on time"/>
    <s v="December"/>
    <s v="Q4"/>
  </r>
  <r>
    <s v="ORD-01343"/>
    <x v="455"/>
    <d v="2025-12-26T00:00:00"/>
    <s v="CUST-0035"/>
    <s v="Priya Chen"/>
    <x v="0"/>
    <x v="3"/>
    <s v="LA"/>
    <s v="New Orleans"/>
    <x v="2"/>
    <x v="0"/>
    <s v="TEC-NET-402"/>
    <s v="8-Port Network Switch"/>
    <x v="3"/>
    <x v="5"/>
    <n v="1"/>
    <n v="84.44"/>
    <n v="0.09"/>
    <n v="5.88"/>
    <s v="Medium"/>
    <s v="No"/>
    <n v="4"/>
    <s v="Valid"/>
    <x v="0"/>
    <d v="2025-09-13T00:00:00"/>
    <n v="44"/>
    <n v="84.44"/>
    <n v="7.5995999999999997"/>
    <n v="76.840400000000002"/>
    <n v="44"/>
    <n v="32.840400000000002"/>
    <n v="0.42738455291747574"/>
    <n v="3"/>
    <s v="on time"/>
    <s v="December"/>
    <s v="Q4"/>
  </r>
  <r>
    <s v="ORD-01123"/>
    <x v="456"/>
    <d v="2025-12-28T00:00:00"/>
    <s v="CUST-0067"/>
    <s v="Priya Miller"/>
    <x v="1"/>
    <x v="3"/>
    <s v="FL"/>
    <s v="Miami"/>
    <x v="0"/>
    <x v="4"/>
    <s v="TEC-MON-201"/>
    <s v="ClearView 27 Monitor"/>
    <x v="3"/>
    <x v="4"/>
    <n v="2"/>
    <n v="281"/>
    <n v="0.11"/>
    <n v="18.899999999999999"/>
    <s v="Medium"/>
    <s v="No"/>
    <n v="5"/>
    <s v="Valid"/>
    <x v="2"/>
    <d v="2023-12-14T00:00:00"/>
    <n v="168"/>
    <n v="562"/>
    <n v="30.91"/>
    <n v="531.09"/>
    <n v="336"/>
    <n v="195.09000000000003"/>
    <n v="0.36733886911822861"/>
    <n v="1"/>
    <s v="on time"/>
    <s v="December"/>
    <s v="Q4"/>
  </r>
  <r>
    <s v="ORD-01199"/>
    <x v="456"/>
    <d v="2026-01-01T00:00:00"/>
    <s v="CUST-0114"/>
    <s v="Riley Patel"/>
    <x v="1"/>
    <x v="0"/>
    <s v="NJ"/>
    <s v="Newark"/>
    <x v="2"/>
    <x v="5"/>
    <s v="APP-CLN-201"/>
    <s v="Air Purifier"/>
    <x v="0"/>
    <x v="3"/>
    <n v="6"/>
    <n v="177.8"/>
    <n v="0.05"/>
    <n v="13.18"/>
    <s v="High"/>
    <s v="No"/>
    <n v="1"/>
    <s v="Invalid Ship Date"/>
    <x v="3"/>
    <d v="2021-12-08T00:00:00"/>
    <n v="82"/>
    <n v="1066.8000000000002"/>
    <n v="8.89"/>
    <n v="1057.9100000000001"/>
    <n v="492"/>
    <n v="565.91000000000008"/>
    <n v="0.53493208306944828"/>
    <n v="5"/>
    <s v="on time"/>
    <s v="December"/>
    <s v="Q4"/>
  </r>
  <r>
    <s v="ORD-01601"/>
    <x v="456"/>
    <d v="2025-12-31T00:00:00"/>
    <s v="CUST-0014"/>
    <s v="Maya Hall"/>
    <x v="1"/>
    <x v="0"/>
    <s v="NJ"/>
    <s v="Newark"/>
    <x v="0"/>
    <x v="1"/>
    <s v="OFF-PAP-102"/>
    <s v="Recycled Notebook Pack"/>
    <x v="2"/>
    <x v="12"/>
    <n v="10"/>
    <n v="23.17"/>
    <n v="0.1"/>
    <n v="14.85"/>
    <s v="High"/>
    <s v="No"/>
    <n v="5"/>
    <s v="Valid"/>
    <x v="3"/>
    <d v="2024-09-03T00:00:00"/>
    <n v="10"/>
    <n v="231.70000000000002"/>
    <n v="2.3170000000000002"/>
    <n v="229.38300000000001"/>
    <n v="100"/>
    <n v="129.38300000000001"/>
    <n v="0.56404790241648251"/>
    <n v="4"/>
    <s v="on time"/>
    <s v="December"/>
    <s v="Q4"/>
  </r>
  <r>
    <s v="ORD-01286"/>
    <x v="457"/>
    <d v="2026-01-08T00:00:00"/>
    <s v="CUST-0066"/>
    <s v="Kai Robinson"/>
    <x v="2"/>
    <x v="2"/>
    <s v="IL"/>
    <s v="Chicago"/>
    <x v="1"/>
    <x v="5"/>
    <s v="OFF-WRT-302"/>
    <s v="Mechanical Pencil Set"/>
    <x v="2"/>
    <x v="8"/>
    <n v="9"/>
    <n v="11.47"/>
    <n v="0.11"/>
    <n v="8.4499999999999993"/>
    <s v="High"/>
    <s v="No"/>
    <m/>
    <s v="Invalid Ship Date"/>
    <x v="3"/>
    <d v="2024-02-11T00:00:00"/>
    <n v="5"/>
    <n v="103.23"/>
    <n v="1.2617"/>
    <n v="101.9683"/>
    <n v="45"/>
    <n v="56.968299999999999"/>
    <n v="0.55868637606001081"/>
    <n v="10"/>
    <s v="on time"/>
    <s v="December"/>
    <s v="Q4"/>
  </r>
  <r>
    <s v="ORD-01451"/>
    <x v="457"/>
    <d v="2025-12-30T00:00:00"/>
    <s v="CUST-0059"/>
    <s v="Avery Young"/>
    <x v="1"/>
    <x v="1"/>
    <s v="CA"/>
    <s v="San Diego"/>
    <x v="2"/>
    <x v="3"/>
    <s v="FUR-STO-301"/>
    <s v="Two-Drawer File Cabinet"/>
    <x v="1"/>
    <x v="9"/>
    <n v="1"/>
    <n v="159.16999999999999"/>
    <n v="0.01"/>
    <n v="23.54"/>
    <s v="Critical"/>
    <s v="No"/>
    <n v="2"/>
    <s v="Valid"/>
    <x v="0"/>
    <d v="2021-10-07T00:00:00"/>
    <n v="88"/>
    <n v="159.16999999999999"/>
    <n v="1.5916999999999999"/>
    <n v="157.57829999999998"/>
    <n v="88"/>
    <n v="69.578299999999984"/>
    <n v="0.44154747195521205"/>
    <n v="1"/>
    <s v="on time"/>
    <s v="December"/>
    <s v="Q4"/>
  </r>
  <r>
    <s v="ORD-01161"/>
    <x v="458"/>
    <d v="2026-01-02T00:00:00"/>
    <s v="CUST-0020"/>
    <s v="Taylor Robinson"/>
    <x v="2"/>
    <x v="3"/>
    <s v="NC"/>
    <s v="Charlotte"/>
    <x v="2"/>
    <x v="3"/>
    <s v="FUR-STO-301"/>
    <s v="Two-Drawer File Cabinet"/>
    <x v="1"/>
    <x v="9"/>
    <n v="3"/>
    <n v="175.18"/>
    <n v="0.08"/>
    <n v="20.34"/>
    <s v="Critical"/>
    <s v="Yes"/>
    <m/>
    <s v="Invalid Ship Date"/>
    <x v="3"/>
    <d v="2021-11-24T00:00:00"/>
    <n v="88"/>
    <n v="525.54"/>
    <n v="14.0144"/>
    <n v="511.52559999999994"/>
    <n v="264"/>
    <n v="247.52559999999994"/>
    <n v="0.48389679812701453"/>
    <n v="3"/>
    <s v="on time"/>
    <s v="December"/>
    <s v="Q4"/>
  </r>
  <r>
    <s v="ORD-01379"/>
    <x v="458"/>
    <d v="2026-01-03T00:00:00"/>
    <s v="CUST-0105"/>
    <s v="Skyler Miller"/>
    <x v="2"/>
    <x v="3"/>
    <s v="FL"/>
    <s v="Miami"/>
    <x v="2"/>
    <x v="3"/>
    <s v="OFF-SUP-401"/>
    <s v="Desk Organizer Kit"/>
    <x v="2"/>
    <x v="2"/>
    <n v="5"/>
    <n v="27.64"/>
    <n v="7.0000000000000007E-2"/>
    <n v="7.56"/>
    <s v="Low"/>
    <s v="No"/>
    <n v="2"/>
    <s v="Invalid Ship Date"/>
    <x v="3"/>
    <d v="2022-02-18T00:00:00"/>
    <n v="12"/>
    <n v="138.19999999999999"/>
    <n v="1.9348000000000003"/>
    <n v="136.26519999999999"/>
    <n v="60"/>
    <n v="76.265199999999993"/>
    <n v="0.55968214922078419"/>
    <n v="4"/>
    <s v="on time"/>
    <s v="December"/>
    <s v="Q4"/>
  </r>
  <r>
    <s v="ORD-01443"/>
    <x v="458"/>
    <d v="2025-12-31T00:00:00"/>
    <s v="CUST-0130"/>
    <s v="Iris Allen"/>
    <x v="1"/>
    <x v="1"/>
    <s v="OR"/>
    <s v="Portland"/>
    <x v="2"/>
    <x v="0"/>
    <s v="TEC-NET-401"/>
    <s v="Mesh Wi-Fi Router"/>
    <x v="3"/>
    <x v="5"/>
    <n v="2"/>
    <n v="193.89"/>
    <n v="0.05"/>
    <n v="22.07"/>
    <s v="High"/>
    <s v="No"/>
    <n v="2"/>
    <s v="Valid"/>
    <x v="3"/>
    <d v="2021-12-13T00:00:00"/>
    <n v="96"/>
    <n v="387.78"/>
    <n v="9.6944999999999997"/>
    <n v="378.08549999999997"/>
    <n v="192"/>
    <n v="186.08549999999997"/>
    <n v="0.49217835648285901"/>
    <n v="1"/>
    <s v="on time"/>
    <s v="December"/>
    <s v="Q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7E5751-E069-4E6D-99DE-140D14221281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ales Channel">
  <location ref="E2:G7" firstHeaderRow="0" firstDataRow="1" firstDataCol="1"/>
  <pivotFields count="39">
    <pivotField showAll="0"/>
    <pivotField numFmtId="14" showAll="0">
      <items count="4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>
      <items count="7">
        <item x="1"/>
        <item x="4"/>
        <item x="3"/>
        <item x="0"/>
        <item x="5"/>
        <item x="2"/>
        <item t="default"/>
      </items>
    </pivotField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>
      <items count="14">
        <item x="10"/>
        <item x="6"/>
        <item x="11"/>
        <item x="3"/>
        <item x="1"/>
        <item x="0"/>
        <item x="7"/>
        <item x="4"/>
        <item x="5"/>
        <item x="12"/>
        <item x="9"/>
        <item x="2"/>
        <item x="8"/>
        <item t="default"/>
      </items>
    </pivotField>
    <pivotField numFmtId="1" showAll="0"/>
    <pivotField numFmtId="169" showAll="0"/>
    <pivotField numFmtId="9" showAll="0"/>
    <pivotField numFmtId="169" showAll="0"/>
    <pivotField showAll="0"/>
    <pivotField showAll="0"/>
    <pivotField showAll="0"/>
    <pivotField showAll="0"/>
    <pivotField showAll="0"/>
    <pivotField showAll="0"/>
    <pivotField numFmtId="169" showAll="0"/>
    <pivotField numFmtId="169" showAll="0"/>
    <pivotField numFmtId="169" showAll="0"/>
    <pivotField dataField="1" numFmtId="169" showAll="0"/>
    <pivotField numFmtId="169" showAll="0"/>
    <pivotField numFmtId="169"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x="1"/>
        <item x="2"/>
        <item sd="0" x="3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 Sales" fld="28" baseField="0" baseItem="0" numFmtId="169"/>
    <dataField name="% of Grand total" fld="28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D43191-27FA-4CEB-94D9-55017ECB2B9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Segment">
  <location ref="I11:K15" firstHeaderRow="0" firstDataRow="1" firstDataCol="1"/>
  <pivotFields count="39">
    <pivotField showAll="0"/>
    <pivotField numFmtId="14" showAll="0">
      <items count="4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t="default"/>
      </items>
    </pivotField>
    <pivotField numFmtId="14"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69" showAll="0"/>
    <pivotField numFmtId="9" showAll="0"/>
    <pivotField numFmtId="169" showAll="0"/>
    <pivotField showAll="0"/>
    <pivotField showAll="0"/>
    <pivotField showAll="0"/>
    <pivotField showAll="0"/>
    <pivotField showAll="0"/>
    <pivotField showAll="0"/>
    <pivotField numFmtId="169" showAll="0"/>
    <pivotField numFmtId="169" showAll="0"/>
    <pivotField numFmtId="169" showAll="0"/>
    <pivotField dataField="1" numFmtId="169" showAll="0"/>
    <pivotField numFmtId="169" showAll="0"/>
    <pivotField numFmtId="169"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x="1"/>
        <item x="2"/>
        <item sd="0" x="3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 Sales" fld="28" baseField="0" baseItem="0" numFmtId="169"/>
    <dataField name="% of Grand total" fld="28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1D019-0704-40F0-90F4-C6E0CA72E64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A2:C26" firstHeaderRow="0" firstDataRow="1" firstDataCol="1"/>
  <pivotFields count="39">
    <pivotField showAll="0"/>
    <pivotField numFmtId="14" showAll="0">
      <items count="4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14">
        <item x="10"/>
        <item x="6"/>
        <item x="11"/>
        <item x="3"/>
        <item x="1"/>
        <item x="0"/>
        <item x="7"/>
        <item x="4"/>
        <item x="5"/>
        <item x="12"/>
        <item x="9"/>
        <item x="2"/>
        <item x="8"/>
        <item t="default"/>
      </items>
    </pivotField>
    <pivotField numFmtId="1" showAll="0"/>
    <pivotField numFmtId="169" showAll="0"/>
    <pivotField numFmtId="9" showAll="0"/>
    <pivotField numFmtId="169" showAll="0"/>
    <pivotField showAll="0"/>
    <pivotField showAll="0"/>
    <pivotField showAll="0"/>
    <pivotField showAll="0"/>
    <pivotField showAll="0"/>
    <pivotField showAll="0"/>
    <pivotField numFmtId="169" showAll="0"/>
    <pivotField numFmtId="169" showAll="0"/>
    <pivotField numFmtId="169" showAll="0"/>
    <pivotField dataField="1" numFmtId="169" showAll="0"/>
    <pivotField numFmtId="169" showAll="0"/>
    <pivotField numFmtId="169"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x="1"/>
        <item x="2"/>
        <item sd="0" x="3"/>
        <item t="default"/>
      </items>
    </pivotField>
  </pivotFields>
  <rowFields count="2">
    <field x="13"/>
    <field x="14"/>
  </rowFields>
  <rowItems count="24">
    <i>
      <x/>
    </i>
    <i r="1">
      <x v="3"/>
    </i>
    <i r="1">
      <x v="5"/>
    </i>
    <i>
      <x v="1"/>
    </i>
    <i r="1">
      <x v="2"/>
    </i>
    <i r="1">
      <x v="4"/>
    </i>
    <i r="1">
      <x v="6"/>
    </i>
    <i r="1">
      <x v="10"/>
    </i>
    <i>
      <x v="2"/>
    </i>
    <i r="1">
      <x/>
    </i>
    <i r="1">
      <x v="1"/>
    </i>
    <i r="1">
      <x v="5"/>
    </i>
    <i r="1">
      <x v="6"/>
    </i>
    <i r="1">
      <x v="9"/>
    </i>
    <i r="1">
      <x v="11"/>
    </i>
    <i r="1">
      <x v="12"/>
    </i>
    <i>
      <x v="3"/>
    </i>
    <i r="1">
      <x/>
    </i>
    <i r="1">
      <x v="3"/>
    </i>
    <i r="1">
      <x v="6"/>
    </i>
    <i r="1">
      <x v="7"/>
    </i>
    <i r="1">
      <x v="8"/>
    </i>
    <i r="1"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 Sales" fld="28" baseField="0" baseItem="0" numFmtId="169"/>
    <dataField name="% of Grand total" fld="28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547ADE-2CEC-4709-B917-47C2FFC28E2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s">
  <location ref="I19:K24" firstHeaderRow="0" firstDataRow="1" firstDataCol="1"/>
  <pivotFields count="39">
    <pivotField showAll="0"/>
    <pivotField numFmtId="14" showAll="0">
      <items count="4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t="default"/>
      </items>
    </pivotField>
    <pivotField numFmtId="14" showAll="0"/>
    <pivotField showAll="0"/>
    <pivotField showAll="0"/>
    <pivotField showAll="0"/>
    <pivotField axis="axisRow" showAll="0">
      <items count="5">
        <item sd="0" x="2"/>
        <item sd="0" x="0"/>
        <item sd="0" x="3"/>
        <item x="1"/>
        <item t="default"/>
      </items>
    </pivotField>
    <pivotField showAll="0"/>
    <pivotField showAll="0"/>
    <pivotField showAll="0"/>
    <pivotField showAll="0">
      <items count="7">
        <item x="1"/>
        <item x="4"/>
        <item x="3"/>
        <item x="0"/>
        <item x="5"/>
        <item x="2"/>
        <item t="default"/>
      </items>
    </pivotField>
    <pivotField showAll="0"/>
    <pivotField showAll="0"/>
    <pivotField showAll="0"/>
    <pivotField showAll="0"/>
    <pivotField numFmtId="1" showAll="0"/>
    <pivotField numFmtId="169" showAll="0"/>
    <pivotField numFmtId="9" showAll="0"/>
    <pivotField numFmtId="169" showAll="0"/>
    <pivotField showAll="0"/>
    <pivotField showAll="0"/>
    <pivotField showAll="0"/>
    <pivotField showAll="0"/>
    <pivotField showAll="0"/>
    <pivotField showAll="0"/>
    <pivotField numFmtId="169" showAll="0"/>
    <pivotField numFmtId="169" showAll="0"/>
    <pivotField numFmtId="169" showAll="0"/>
    <pivotField dataField="1" numFmtId="169" showAll="0"/>
    <pivotField numFmtId="169" showAll="0"/>
    <pivotField numFmtId="169" showAll="0"/>
    <pivotField showAll="0"/>
    <pivotField showAll="0"/>
    <pivotField showAll="0"/>
    <pivotField showAll="0"/>
    <pivotField showAll="0"/>
    <pivotField showAll="0">
      <items count="15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x="1"/>
        <item sd="0" x="2"/>
        <item sd="0" x="3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 Sales" fld="28" baseField="0" baseItem="0" numFmtId="169"/>
    <dataField name="% of Grand total" fld="28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EE7E7D-A55F-4D68-8E99-52422638FFE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 Dates">
  <location ref="E11:G24" firstHeaderRow="0" firstDataRow="1" firstDataCol="1"/>
  <pivotFields count="39">
    <pivotField showAll="0"/>
    <pivotField numFmtId="14" showAll="0">
      <items count="4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69" showAll="0"/>
    <pivotField numFmtId="9" showAll="0"/>
    <pivotField numFmtId="169" showAll="0"/>
    <pivotField showAll="0"/>
    <pivotField showAll="0"/>
    <pivotField showAll="0"/>
    <pivotField showAll="0"/>
    <pivotField showAll="0"/>
    <pivotField showAll="0"/>
    <pivotField numFmtId="169" showAll="0"/>
    <pivotField numFmtId="169" showAll="0"/>
    <pivotField numFmtId="169" showAll="0"/>
    <pivotField dataField="1" numFmtId="169" showAll="0"/>
    <pivotField numFmtId="169" showAll="0"/>
    <pivotField numFmtId="169"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x="1"/>
        <item x="2"/>
        <item sd="0" x="3"/>
        <item t="default"/>
      </items>
    </pivotField>
  </pivotFields>
  <rowFields count="1">
    <field x="36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 Sales" fld="28" baseField="0" baseItem="0" numFmtId="169"/>
    <dataField name="% of Grand total" fld="28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6C6A16-BC97-4521-8A65-85B139A73B98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I2:K7" firstHeaderRow="0" firstDataRow="1" firstDataCol="1"/>
  <pivotFields count="39">
    <pivotField showAll="0"/>
    <pivotField numFmtId="14" showAll="0">
      <items count="4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>
      <items count="14">
        <item x="10"/>
        <item x="6"/>
        <item x="11"/>
        <item x="3"/>
        <item x="1"/>
        <item x="0"/>
        <item x="7"/>
        <item x="4"/>
        <item x="5"/>
        <item x="12"/>
        <item x="9"/>
        <item x="2"/>
        <item x="8"/>
        <item t="default"/>
      </items>
    </pivotField>
    <pivotField numFmtId="1" showAll="0"/>
    <pivotField numFmtId="169" showAll="0"/>
    <pivotField numFmtId="9" showAll="0"/>
    <pivotField numFmtId="169" showAll="0"/>
    <pivotField showAll="0"/>
    <pivotField showAll="0"/>
    <pivotField showAll="0"/>
    <pivotField showAll="0"/>
    <pivotField axis="axisRow" showAll="0">
      <items count="6">
        <item x="2"/>
        <item x="3"/>
        <item x="1"/>
        <item x="0"/>
        <item h="1" x="4"/>
        <item t="default"/>
      </items>
    </pivotField>
    <pivotField showAll="0"/>
    <pivotField numFmtId="169" showAll="0"/>
    <pivotField numFmtId="169" showAll="0"/>
    <pivotField numFmtId="169" showAll="0"/>
    <pivotField dataField="1" numFmtId="169" showAll="0"/>
    <pivotField numFmtId="169" showAll="0"/>
    <pivotField numFmtId="169"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x="1"/>
        <item x="2"/>
        <item sd="0" x="3"/>
        <item t="default"/>
      </items>
    </pivotField>
  </pivotFields>
  <rowFields count="1">
    <field x="2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 Sales" fld="28" baseField="0" baseItem="0" numFmtId="169"/>
    <dataField name="% of Grand total" fld="28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570E8B3-1763-4B23-A7B3-224C66457BD5}" autoFormatId="16" applyNumberFormats="0" applyBorderFormats="0" applyFontFormats="0" applyPatternFormats="0" applyAlignmentFormats="0" applyWidthHeightFormats="0">
  <queryTableRefresh nextId="42" unboundColumnsRight="13">
    <queryTableFields count="36">
      <queryTableField id="1" name="Order_ID" tableColumnId="1"/>
      <queryTableField id="2" name="Order_Date" tableColumnId="2"/>
      <queryTableField id="3" name="Ship_Date" tableColumnId="3"/>
      <queryTableField id="4" name="Customer_ID" tableColumnId="4"/>
      <queryTableField id="5" name="Customer_Name" tableColumnId="5"/>
      <queryTableField id="6" name="Segment" tableColumnId="6"/>
      <queryTableField id="7" name="Region" tableColumnId="7"/>
      <queryTableField id="8" name="State" tableColumnId="8"/>
      <queryTableField id="9" name="City" tableColumnId="9"/>
      <queryTableField id="10" name="Sales_channel" tableColumnId="10"/>
      <queryTableField id="11" name="Marketing_Channel" tableColumnId="11"/>
      <queryTableField id="12" name="SKU" tableColumnId="12"/>
      <queryTableField id="13" name="Product_Name" tableColumnId="13"/>
      <queryTableField id="14" name="Category" tableColumnId="14"/>
      <queryTableField id="15" name="Subcategory" tableColumnId="15"/>
      <queryTableField id="16" name="Quantity" tableColumnId="16"/>
      <queryTableField id="17" name="Unit_Price" tableColumnId="17"/>
      <queryTableField id="18" name="Discount_Pct" tableColumnId="18"/>
      <queryTableField id="19" name="Shipping_Cost" tableColumnId="19"/>
      <queryTableField id="20" name="Order_Priority" tableColumnId="20"/>
      <queryTableField id="21" name="Returned" tableColumnId="21"/>
      <queryTableField id="22" name="Customer_Rating" tableColumnId="22"/>
      <queryTableField id="24" name="data quality" tableColumnId="23"/>
      <queryTableField id="25" dataBound="0" tableColumnId="24"/>
      <queryTableField id="26" dataBound="0" tableColumnId="25"/>
      <queryTableField id="27" dataBound="0" tableColumnId="26"/>
      <queryTableField id="28" dataBound="0" tableColumnId="27"/>
      <queryTableField id="29" dataBound="0" tableColumnId="28"/>
      <queryTableField id="30" dataBound="0" tableColumnId="29"/>
      <queryTableField id="31" dataBound="0" tableColumnId="30"/>
      <queryTableField id="32" dataBound="0" tableColumnId="31"/>
      <queryTableField id="33" dataBound="0" tableColumnId="32"/>
      <queryTableField id="34" dataBound="0" tableColumnId="33"/>
      <queryTableField id="35" dataBound="0" tableColumnId="34"/>
      <queryTableField id="36" dataBound="0" tableColumnId="35"/>
      <queryTableField id="37" dataBound="0" tableColumnId="36"/>
    </queryTableFields>
  </queryTableRefresh>
</queryTable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skList" displayName="TaskList" ref="A2:D13">
  <tableColumns count="4">
    <tableColumn id="1" xr3:uid="{00000000-0010-0000-0000-000001000000}" name="Task_ID"/>
    <tableColumn id="2" xr3:uid="{00000000-0010-0000-0000-000002000000}" name="Skill Area"/>
    <tableColumn id="3" xr3:uid="{00000000-0010-0000-0000-000003000000}" name="Task"/>
    <tableColumn id="4" xr3:uid="{00000000-0010-0000-0000-000004000000}" name="Expected Deliverab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71F1A19-8EC2-4F85-AF3E-D8DADF188E55}" name="Table12" displayName="Table12" ref="A1:B5" totalsRowShown="0">
  <autoFilter ref="A1:B5" xr:uid="{271F1A19-8EC2-4F85-AF3E-D8DADF188E55}"/>
  <tableColumns count="2">
    <tableColumn id="1" xr3:uid="{5B11431A-1EAC-4341-8EA8-60305760DFBA}" name="Dataset Details" dataDxfId="3"/>
    <tableColumn id="2" xr3:uid="{6236B437-81A7-4023-9D30-311FB66010A2}" name="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95E4B61-5ADF-4552-879F-11AFFE859A66}" name="Table13" displayName="Table13" ref="D1:E5" totalsRowShown="0">
  <autoFilter ref="D1:E5" xr:uid="{995E4B61-5ADF-4552-879F-11AFFE859A66}"/>
  <tableColumns count="2">
    <tableColumn id="1" xr3:uid="{1EE82572-0F11-4192-B6E4-DD30FA58C52C}" name="Invalid data" dataDxfId="2"/>
    <tableColumn id="2" xr3:uid="{32401C76-F3C5-4513-B1C0-97FAFFAEB2C2}" name="C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A35AA13-CC5C-4FB3-B7A8-9E18B315BC6B}" name="Table14" displayName="Table14" ref="G1:H3" totalsRowShown="0">
  <autoFilter ref="G1:H3" xr:uid="{8A35AA13-CC5C-4FB3-B7A8-9E18B315BC6B}"/>
  <tableColumns count="2">
    <tableColumn id="1" xr3:uid="{52924129-7386-4699-B4F4-1F89E778EA7A}" name="Anomalies" dataDxfId="1"/>
    <tableColumn id="2" xr3:uid="{3D185D3D-EE0A-465C-9ED4-9C826E5EFE93}" name="Count">
      <calculatedColumnFormula>COUNTIFS(RawOrders[Category],"&lt;&gt;Technology",RawOrders[Category],"&lt;&gt;Furniture",RawOrders[Category],"&lt;&gt;Office Supplies",RawOrders[Category],"&lt;&gt;Appliances")
+COUNTIFS(RawOrders[Sales_Channel],"&lt;&gt;Online",RawOrders[Sales_Channel],"&lt;&gt;Retail Store",RawOrders[Sales_Channel],"&lt;&gt;Wholesale",RawOrders[Sales_Channel],"&lt;&gt;Partner")
+COUNTIFS(RawOrders[Marketing_Channel],"&lt;&gt;Email",RawOrders[Marketing_Channel],"&lt;&gt;Social",RawOrders[Marketing_Channel],"&lt;&gt;Paid Search",RawOrders[Marketing_Channel],"&lt;&gt;Organic",RawOrders[Marketing_Channel],"&lt;&gt;Affiliate",RawOrders[Marketing_Channel],"&lt;&gt;Referral")
+COUNTIFS(RawOrders[Region],"&lt;&gt;East",RawOrders[Region],"&lt;&gt;West",RawOrders[Region],"&lt;&gt;Central",RawOrders[Region],"&lt;&gt;South")
+COUNTIFS(RawOrders[Returned],"&lt;&gt;Yes",RawOrders[Returned],"&lt;&gt;No")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3FD3F19-58A4-4D09-83EF-B127016EBF61}" name="Table15" displayName="Table15" ref="A1:F13" totalsRowShown="0">
  <tableColumns count="6">
    <tableColumn id="1" xr3:uid="{CFA3230A-44E7-4B58-9A27-40B7B8B12572}" name="Month"/>
    <tableColumn id="2" xr3:uid="{A76DA861-681A-450E-9418-260C82F0A89A}" name="Actual Sales" dataDxfId="45">
      <calculatedColumnFormula>SUMIFS(Cleaned_data[Net Sales],Cleaned_data[Order Month],Table15[[#This Row],[Month]])</calculatedColumnFormula>
    </tableColumn>
    <tableColumn id="3" xr3:uid="{D6AC5A2C-4603-44FF-B5E6-25B6CC8B4768}" name="Target sales" dataDxfId="44">
      <calculatedColumnFormula array="1">SUMPRODUCT(MonthlyTargets[Sales_Targets] * (TEXT(MonthlyTargets[Month], "mmmm") = Table15[[#This Row],[Month]]))</calculatedColumnFormula>
    </tableColumn>
    <tableColumn id="4" xr3:uid="{3A49F6B5-8F1E-4D2E-8DA7-FCDD95F09579}" name="Variance($)" dataDxfId="43">
      <calculatedColumnFormula>Table15[[#This Row],[Actual Sales]]-Table15[[#This Row],[Target sales]]</calculatedColumnFormula>
    </tableColumn>
    <tableColumn id="5" xr3:uid="{7940B7B4-B65F-4B08-9341-6F8942E1F473}" name="Variance(%)" dataDxfId="42" dataCellStyle="Percent">
      <calculatedColumnFormula>Table15[[#This Row],[Variance($)]]/Table15[[#This Row],[Target sales]]</calculatedColumnFormula>
    </tableColumn>
    <tableColumn id="6" xr3:uid="{717574B2-1CF7-45E3-8125-682B54A36D84}" name="Status" dataDxfId="41">
      <calculatedColumnFormula>IF(Table15[[#This Row],[Variance($)]]&gt;0,"Above Target","Below Target")</calculatedColumnFormula>
    </tableColumn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91345C5-6731-44E8-983C-08DF411E2AFE}" name="Cleaned_data" displayName="Cleaned_data" ref="A1:AJ721" tableType="queryTable" totalsRowShown="0">
  <tableColumns count="36">
    <tableColumn id="1" xr3:uid="{7640B45A-87A0-4116-8F6B-572CE3517E45}" uniqueName="1" name="Order_ID" queryTableFieldId="1" dataDxfId="40"/>
    <tableColumn id="2" xr3:uid="{CB10CECF-708D-42A3-85CF-D3D095DBC50C}" uniqueName="2" name="Order_Date" queryTableFieldId="2" dataDxfId="39"/>
    <tableColumn id="3" xr3:uid="{6FEA0771-085B-4064-B0F2-A8631AC4901D}" uniqueName="3" name="Ship_Date" queryTableFieldId="3" dataDxfId="38"/>
    <tableColumn id="4" xr3:uid="{24ACA31B-F2C2-4784-9D97-71E5C84A87F2}" uniqueName="4" name="Customer_ID" queryTableFieldId="4" dataDxfId="37"/>
    <tableColumn id="5" xr3:uid="{DE06D567-7525-4790-AD0A-8F4FEA18006E}" uniqueName="5" name="Customer_Name" queryTableFieldId="5" dataDxfId="36"/>
    <tableColumn id="6" xr3:uid="{C5540697-298B-4A0F-9927-18F244C49C85}" uniqueName="6" name="Segment" queryTableFieldId="6" dataDxfId="35"/>
    <tableColumn id="7" xr3:uid="{3E131E13-BCEA-4838-A8E6-FB65DE8A0E45}" uniqueName="7" name="Region" queryTableFieldId="7" dataDxfId="34"/>
    <tableColumn id="8" xr3:uid="{C8541082-B11C-4B86-86B1-3450FD9E310F}" uniqueName="8" name="State" queryTableFieldId="8" dataDxfId="33"/>
    <tableColumn id="9" xr3:uid="{2D485B2F-DA76-4EA3-B0C3-180CD230FB87}" uniqueName="9" name="City" queryTableFieldId="9" dataDxfId="32"/>
    <tableColumn id="10" xr3:uid="{8F724E38-5123-4F07-A230-A9517FC996B7}" uniqueName="10" name="Sales_channel" queryTableFieldId="10"/>
    <tableColumn id="11" xr3:uid="{11400312-CA44-4BC1-9B54-DD655B6A7DE1}" uniqueName="11" name="Marketing_Channel" queryTableFieldId="11"/>
    <tableColumn id="12" xr3:uid="{2610A883-B53F-4E70-8B1B-9179918E88D6}" uniqueName="12" name="SKU" queryTableFieldId="12" dataDxfId="31"/>
    <tableColumn id="13" xr3:uid="{E10991BF-0913-470D-B45C-2A310E80C4FC}" uniqueName="13" name="Product_Name" queryTableFieldId="13" dataDxfId="30"/>
    <tableColumn id="14" xr3:uid="{B92E8489-A86B-4A95-A8E0-5F6087C7251E}" uniqueName="14" name="Category" queryTableFieldId="14"/>
    <tableColumn id="15" xr3:uid="{AFBA53BB-57F6-4BD6-BC09-0CC854F6AA0B}" uniqueName="15" name="Subcategory" queryTableFieldId="15" dataDxfId="29"/>
    <tableColumn id="16" xr3:uid="{5E409C7A-F587-44F0-A6D9-64BF756BA77B}" uniqueName="16" name="Quantity" queryTableFieldId="16" dataDxfId="28"/>
    <tableColumn id="17" xr3:uid="{935559FB-5260-482F-8B57-2DE4486747AD}" uniqueName="17" name="Unit_Price" queryTableFieldId="17" dataDxfId="27"/>
    <tableColumn id="18" xr3:uid="{5145FEC0-8F2B-4D16-88F1-D3C72B9B4F38}" uniqueName="18" name="Discount_Pct" queryTableFieldId="18" dataCellStyle="Percent"/>
    <tableColumn id="19" xr3:uid="{01C9CB14-49A8-4213-9663-262D60B393DE}" uniqueName="19" name="Shipping_Cost" queryTableFieldId="19" dataDxfId="26"/>
    <tableColumn id="20" xr3:uid="{DBC83A57-B47A-48D8-87F5-A14626D9D32D}" uniqueName="20" name="Order_Priority" queryTableFieldId="20" dataDxfId="25"/>
    <tableColumn id="21" xr3:uid="{9083E284-11AA-403F-A741-4B8014FBB825}" uniqueName="21" name="Returned" queryTableFieldId="21"/>
    <tableColumn id="22" xr3:uid="{EC9A19DC-DAE7-42A9-941A-EA929B6F7ACF}" uniqueName="22" name="Customer_Rating" queryTableFieldId="22" dataDxfId="24"/>
    <tableColumn id="23" xr3:uid="{EE4C554C-FA54-4478-9541-422170BD481F}" uniqueName="23" name="data quality" queryTableFieldId="24"/>
    <tableColumn id="24" xr3:uid="{CD663051-3C50-4212-A81A-B068E00764A4}" uniqueName="24" name="Customer Loyalty tier" queryTableFieldId="25" dataDxfId="23">
      <calculatedColumnFormula>_xlfn.XLOOKUP(Cleaned_data[[#This Row],[Customer_ID]],Customers[S],Customers[Loyalty_Tier])</calculatedColumnFormula>
    </tableColumn>
    <tableColumn id="25" xr3:uid="{8A963B24-21F4-4636-B410-7FDB85B28507}" uniqueName="25" name="Customer SignUP date" queryTableFieldId="26" dataDxfId="22">
      <calculatedColumnFormula>_xlfn.XLOOKUP(Cleaned_data[[#This Row],[Customer_ID]],Customers[S],Customers[Signup_Date])</calculatedColumnFormula>
    </tableColumn>
    <tableColumn id="26" xr3:uid="{3DBFB5FB-AB9F-420D-AB75-A552E9AE1791}" uniqueName="26" name="Product Cost" queryTableFieldId="27" dataDxfId="21" dataCellStyle="Currency">
      <calculatedColumnFormula>_xlfn.XLOOKUP(Cleaned_data[[#This Row],[SKU]],Products[SKU],Products[Standard_Cost])</calculatedColumnFormula>
    </tableColumn>
    <tableColumn id="27" xr3:uid="{2477E88F-4D9B-4D71-9A22-6ECA1CACEAC9}" uniqueName="27" name="Gross Sales" queryTableFieldId="28" dataDxfId="20">
      <calculatedColumnFormula>Cleaned_data[[#This Row],[Quantity]]*Cleaned_data[[#This Row],[Unit_Price]]</calculatedColumnFormula>
    </tableColumn>
    <tableColumn id="28" xr3:uid="{6468DB4F-AFE7-49CA-A821-5DE6954E7CD4}" uniqueName="28" name="Discount amount" queryTableFieldId="29" dataDxfId="19">
      <calculatedColumnFormula>Cleaned_data[[#This Row],[Unit_Price]]*Cleaned_data[[#This Row],[Discount_Pct]]</calculatedColumnFormula>
    </tableColumn>
    <tableColumn id="29" xr3:uid="{245CF7A2-EB4B-491B-8846-CF6CF366840E}" uniqueName="29" name="Net Sales" queryTableFieldId="30" dataDxfId="18">
      <calculatedColumnFormula>Cleaned_data[[#This Row],[Gross Sales]]-Cleaned_data[[#This Row],[Discount amount]]</calculatedColumnFormula>
    </tableColumn>
    <tableColumn id="30" xr3:uid="{C2A6F078-F59F-4E00-BA2E-63149F1D30EC}" uniqueName="30" name="COGS" queryTableFieldId="31" dataDxfId="17">
      <calculatedColumnFormula>Cleaned_data[[#This Row],[Product Cost]]*Cleaned_data[[#This Row],[Quantity]]</calculatedColumnFormula>
    </tableColumn>
    <tableColumn id="31" xr3:uid="{9B406B65-8286-42F7-9D61-9570113AC3DC}" uniqueName="31" name="Gross Profit" queryTableFieldId="32" dataDxfId="16">
      <calculatedColumnFormula>Cleaned_data[[#This Row],[Net Sales]]-Cleaned_data[[#This Row],[COGS]]</calculatedColumnFormula>
    </tableColumn>
    <tableColumn id="32" xr3:uid="{A388A98D-304A-476E-9588-B3A1D4C61D53}" uniqueName="32" name="Margin %" queryTableFieldId="33" dataCellStyle="Percent">
      <calculatedColumnFormula>Cleaned_data[[#This Row],[Gross Profit]]/Cleaned_data[[#This Row],[Net Sales]]</calculatedColumnFormula>
    </tableColumn>
    <tableColumn id="33" xr3:uid="{0E916BBE-857D-4042-9F79-9810A7FBACD2}" uniqueName="33" name="Delivery Days" queryTableFieldId="34" dataDxfId="15">
      <calculatedColumnFormula>Cleaned_data[[#This Row],[Ship_Date]]-Cleaned_data[[#This Row],[Order_Date]]</calculatedColumnFormula>
    </tableColumn>
    <tableColumn id="34" xr3:uid="{6656D17C-1B1B-46C5-BBC6-7B62F591D636}" uniqueName="34" name="Late Shipment" queryTableFieldId="35" dataDxfId="14">
      <calculatedColumnFormula>IF(Cleaned_data[[#This Row],[Delivery Days]]&gt;10,"late","on time")</calculatedColumnFormula>
    </tableColumn>
    <tableColumn id="35" xr3:uid="{FCDA9881-0D89-4A59-9392-8AAB54FF7211}" uniqueName="35" name="Order Month" queryTableFieldId="36" dataDxfId="13">
      <calculatedColumnFormula>TEXT(Cleaned_data[[#This Row],[Order_Date]],"mmmm")</calculatedColumnFormula>
    </tableColumn>
    <tableColumn id="36" xr3:uid="{DD9F0B2F-54E4-4D14-B848-8F8B9DBD0202}" uniqueName="36" name="Order Quarter" queryTableFieldId="37" dataDxfId="12">
      <calculatedColumnFormula>"Q"&amp;ROUNDUP(MONTH(Cleaned_data[[#This Row],[Order_Date]])/3,0)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379D014-3D6D-4C18-85CB-5D508945BD75}" name="Table9" displayName="Table9" ref="A1:B8" totalsRowShown="0">
  <tableColumns count="2">
    <tableColumn id="1" xr3:uid="{4F6BB610-45DD-4A9B-BA44-3CFC04E3E5BC}" name="KPI Metric"/>
    <tableColumn id="2" xr3:uid="{4DA5205C-B973-41ED-A38B-925CEB691041}" name="Current Valu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awOrders" displayName="RawOrders" ref="A1:V726">
  <autoFilter ref="A1:V726" xr:uid="{00000000-000C-0000-FFFF-FFFF01000000}"/>
  <tableColumns count="22">
    <tableColumn id="1" xr3:uid="{00000000-0010-0000-0100-000001000000}" name="Order_ID"/>
    <tableColumn id="2" xr3:uid="{00000000-0010-0000-0100-000002000000}" name="Order_Date"/>
    <tableColumn id="3" xr3:uid="{00000000-0010-0000-0100-000003000000}" name="Ship_Date"/>
    <tableColumn id="4" xr3:uid="{00000000-0010-0000-0100-000004000000}" name="Customer_ID"/>
    <tableColumn id="5" xr3:uid="{00000000-0010-0000-0100-000005000000}" name="Customer_Name"/>
    <tableColumn id="6" xr3:uid="{00000000-0010-0000-0100-000006000000}" name="Segment"/>
    <tableColumn id="7" xr3:uid="{00000000-0010-0000-0100-000007000000}" name="Region"/>
    <tableColumn id="8" xr3:uid="{00000000-0010-0000-0100-000008000000}" name="State"/>
    <tableColumn id="9" xr3:uid="{00000000-0010-0000-0100-000009000000}" name="City"/>
    <tableColumn id="10" xr3:uid="{00000000-0010-0000-0100-00000A000000}" name="Sales_Channel"/>
    <tableColumn id="11" xr3:uid="{00000000-0010-0000-0100-00000B000000}" name="Marketing_Channel"/>
    <tableColumn id="12" xr3:uid="{00000000-0010-0000-0100-00000C000000}" name="SKU"/>
    <tableColumn id="13" xr3:uid="{00000000-0010-0000-0100-00000D000000}" name="Product_Name"/>
    <tableColumn id="14" xr3:uid="{00000000-0010-0000-0100-00000E000000}" name="Category"/>
    <tableColumn id="15" xr3:uid="{00000000-0010-0000-0100-00000F000000}" name="Subcategory"/>
    <tableColumn id="16" xr3:uid="{00000000-0010-0000-0100-000010000000}" name="Quantity"/>
    <tableColumn id="17" xr3:uid="{00000000-0010-0000-0100-000011000000}" name="Unit_Price"/>
    <tableColumn id="18" xr3:uid="{00000000-0010-0000-0100-000012000000}" name="Discount_Pct"/>
    <tableColumn id="19" xr3:uid="{00000000-0010-0000-0100-000013000000}" name="Shipping_Cost"/>
    <tableColumn id="20" xr3:uid="{00000000-0010-0000-0100-000014000000}" name="Order_Priority"/>
    <tableColumn id="21" xr3:uid="{00000000-0010-0000-0100-000015000000}" name="Returned"/>
    <tableColumn id="22" xr3:uid="{00000000-0010-0000-0100-000016000000}" name="Customer_Rating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ustomers" displayName="Customers" ref="A1:H166">
  <tableColumns count="8">
    <tableColumn id="1" xr3:uid="{00000000-0010-0000-0200-000001000000}" name="S"/>
    <tableColumn id="2" xr3:uid="{00000000-0010-0000-0200-000002000000}" name="Customer_Name"/>
    <tableColumn id="3" xr3:uid="{00000000-0010-0000-0200-000003000000}" name="Segment"/>
    <tableColumn id="4" xr3:uid="{00000000-0010-0000-0200-000004000000}" name="Region"/>
    <tableColumn id="5" xr3:uid="{00000000-0010-0000-0200-000005000000}" name="State"/>
    <tableColumn id="6" xr3:uid="{00000000-0010-0000-0200-000006000000}" name="City"/>
    <tableColumn id="7" xr3:uid="{00000000-0010-0000-0200-000007000000}" name="Signup_Date"/>
    <tableColumn id="8" xr3:uid="{00000000-0010-0000-0200-000008000000}" name="Loyalty_Tie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roducts" displayName="Products" ref="A1:H27">
  <tableColumns count="8">
    <tableColumn id="1" xr3:uid="{00000000-0010-0000-0300-000001000000}" name="SKU"/>
    <tableColumn id="2" xr3:uid="{00000000-0010-0000-0300-000002000000}" name="Category"/>
    <tableColumn id="3" xr3:uid="{00000000-0010-0000-0300-000003000000}" name="Subcategory"/>
    <tableColumn id="4" xr3:uid="{00000000-0010-0000-0300-000004000000}" name="Product_Name"/>
    <tableColumn id="5" xr3:uid="{00000000-0010-0000-0300-000005000000}" name="Standard_Cost"/>
    <tableColumn id="6" xr3:uid="{00000000-0010-0000-0300-000006000000}" name="List_Price"/>
    <tableColumn id="7" xr3:uid="{00000000-0010-0000-0300-000007000000}" name="Supplier"/>
    <tableColumn id="8" xr3:uid="{00000000-0010-0000-0300-000008000000}" name="Active_Flag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arketingSpend" displayName="MarketingSpend" ref="A1:K481">
  <tableColumns count="11">
    <tableColumn id="1" xr3:uid="{00000000-0010-0000-0400-000001000000}" name="Month"/>
    <tableColumn id="2" xr3:uid="{00000000-0010-0000-0400-000002000000}" name="Marketing_Channel"/>
    <tableColumn id="3" xr3:uid="{00000000-0010-0000-0400-000003000000}" name="Region"/>
    <tableColumn id="4" xr3:uid="{00000000-0010-0000-0400-000004000000}" name="Spend"/>
    <tableColumn id="5" xr3:uid="{00000000-0010-0000-0400-000005000000}" name="Campaigns"/>
    <tableColumn id="11" xr3:uid="{03AC2E99-6402-4B73-BD0F-F391026A08EE}" name="Lead" dataDxfId="11">
      <calculatedColumnFormula>ROUNDUP(G2/10,0)</calculatedColumnFormula>
    </tableColumn>
    <tableColumn id="6" xr3:uid="{00000000-0010-0000-0400-000006000000}" name="Leads"/>
    <tableColumn id="7" xr3:uid="{F446DE40-16F6-493E-B7CA-1A31ACFE0EAF}" name="Actual Revenue" dataDxfId="10">
      <calculatedColumnFormula>SUMIFS(Cleaned_data[Net Sales],Cleaned_data[Order Month],TEXT(MarketingSpend[[#This Row],[Month]],"mmmm"),Cleaned_data[Marketing_Channel],MarketingSpend[[#This Row],[Marketing_Channel]],Cleaned_data[Region],MarketingSpend[[#This Row],[Region]])</calculatedColumnFormula>
    </tableColumn>
    <tableColumn id="8" xr3:uid="{90DB2ADE-7041-4D01-B5C0-2E5B6AE22E5A}" name="Total Orders" dataDxfId="9">
      <calculatedColumnFormula>COUNTIFS(Cleaned_data[Order Month],TEXT(MarketingSpend[[#This Row],[Month]],"mmmm"),Cleaned_data[Marketing_Channel],MarketingSpend[[#This Row],[Marketing_Channel]],Cleaned_data[Region],MarketingSpend[[#This Row],[Region]])</calculatedColumnFormula>
    </tableColumn>
    <tableColumn id="9" xr3:uid="{BE47CEA4-7BE7-4AF2-A61A-82B8208D8103}" name="Revenue per Marketing Dollar" dataDxfId="8">
      <calculatedColumnFormula>MarketingSpend[[#This Row],[Actual Revenue]]/MarketingSpend[[#This Row],[Spend]]</calculatedColumnFormula>
    </tableColumn>
    <tableColumn id="10" xr3:uid="{848AE023-97F0-4558-866B-A7B54BF69CD5}" name="Conversion rate" dataDxfId="7" dataCellStyle="Percent">
      <calculatedColumnFormula>MarketingSpend[[#This Row],[Total Orders]]/MarketingSpend[[#This Row],[Lead]]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onthlyTargets" displayName="MonthlyTargets" ref="A1:G385">
  <tableColumns count="7">
    <tableColumn id="1" xr3:uid="{00000000-0010-0000-0500-000001000000}" name="Month"/>
    <tableColumn id="2" xr3:uid="{00000000-0010-0000-0500-000002000000}" name="Region"/>
    <tableColumn id="3" xr3:uid="{00000000-0010-0000-0500-000003000000}" name="Category"/>
    <tableColumn id="4" xr3:uid="{00000000-0010-0000-0500-000004000000}" name="Sales" dataDxfId="6"/>
    <tableColumn id="6" xr3:uid="{C380DD35-1FD9-4EBD-AFF9-DE27D2A74C87}" name="Sales_Targets" dataDxfId="5">
      <calculatedColumnFormula>MonthlyTargets[[#This Row],[Sales]]/20</calculatedColumnFormula>
    </tableColumn>
    <tableColumn id="7" xr3:uid="{A07BE6C7-820D-4F0E-8214-8A2B970D877F}" name="Profit_Targets" dataDxfId="4">
      <calculatedColumnFormula>MonthlyTargets[[#This Row],[Profit]]/20</calculatedColumnFormula>
    </tableColumn>
    <tableColumn id="5" xr3:uid="{00000000-0010-0000-0500-000005000000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showGridLines="0" workbookViewId="0">
      <selection sqref="A1:D1"/>
    </sheetView>
  </sheetViews>
  <sheetFormatPr defaultRowHeight="13.8"/>
  <cols>
    <col min="1" max="1" width="9" customWidth="1"/>
    <col min="2" max="2" width="16.8984375" customWidth="1"/>
    <col min="3" max="3" width="67.5" customWidth="1"/>
    <col min="4" max="4" width="41.19921875" customWidth="1"/>
    <col min="5" max="5" width="9" customWidth="1"/>
    <col min="6" max="6" width="12.5" customWidth="1"/>
    <col min="7" max="7" width="4.5" customWidth="1"/>
    <col min="8" max="8" width="18.69921875" customWidth="1"/>
    <col min="9" max="9" width="10.19921875" customWidth="1"/>
    <col min="10" max="13" width="4.5" customWidth="1"/>
  </cols>
  <sheetData>
    <row r="1" spans="1:4" ht="25.5" customHeight="1">
      <c r="A1" s="22" t="s">
        <v>0</v>
      </c>
      <c r="B1" s="22"/>
      <c r="C1" s="22"/>
      <c r="D1" s="22"/>
    </row>
    <row r="2" spans="1:4" ht="25.5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41.4">
      <c r="A3" s="2" t="s">
        <v>5</v>
      </c>
      <c r="B3" s="2" t="s">
        <v>6</v>
      </c>
      <c r="C3" s="2" t="s">
        <v>7</v>
      </c>
      <c r="D3" s="2" t="s">
        <v>8</v>
      </c>
    </row>
    <row r="4" spans="1:4" ht="41.4">
      <c r="A4" s="2" t="s">
        <v>9</v>
      </c>
      <c r="B4" s="2" t="s">
        <v>10</v>
      </c>
      <c r="C4" s="2" t="s">
        <v>11</v>
      </c>
      <c r="D4" s="2" t="s">
        <v>12</v>
      </c>
    </row>
    <row r="5" spans="1:4" ht="27.6">
      <c r="A5" s="2" t="s">
        <v>13</v>
      </c>
      <c r="B5" s="2" t="s">
        <v>14</v>
      </c>
      <c r="C5" s="2" t="s">
        <v>15</v>
      </c>
      <c r="D5" s="2" t="s">
        <v>16</v>
      </c>
    </row>
    <row r="6" spans="1:4" ht="41.4">
      <c r="A6" s="2" t="s">
        <v>17</v>
      </c>
      <c r="B6" s="2" t="s">
        <v>18</v>
      </c>
      <c r="C6" s="2" t="s">
        <v>19</v>
      </c>
      <c r="D6" s="2" t="s">
        <v>20</v>
      </c>
    </row>
    <row r="7" spans="1:4" ht="41.4">
      <c r="A7" s="2" t="s">
        <v>21</v>
      </c>
      <c r="B7" s="2" t="s">
        <v>22</v>
      </c>
      <c r="C7" s="2" t="s">
        <v>23</v>
      </c>
      <c r="D7" s="2" t="s">
        <v>24</v>
      </c>
    </row>
    <row r="8" spans="1:4" ht="41.4">
      <c r="A8" s="2" t="s">
        <v>25</v>
      </c>
      <c r="B8" s="2" t="s">
        <v>26</v>
      </c>
      <c r="C8" s="2" t="s">
        <v>27</v>
      </c>
      <c r="D8" s="2" t="s">
        <v>28</v>
      </c>
    </row>
    <row r="9" spans="1:4" ht="27.6">
      <c r="A9" s="2" t="s">
        <v>29</v>
      </c>
      <c r="B9" s="2" t="s">
        <v>30</v>
      </c>
      <c r="C9" s="2" t="s">
        <v>31</v>
      </c>
      <c r="D9" s="2" t="s">
        <v>32</v>
      </c>
    </row>
    <row r="10" spans="1:4" ht="41.4">
      <c r="A10" s="2" t="s">
        <v>33</v>
      </c>
      <c r="B10" s="2" t="s">
        <v>34</v>
      </c>
      <c r="C10" s="2" t="s">
        <v>35</v>
      </c>
      <c r="D10" s="2" t="s">
        <v>36</v>
      </c>
    </row>
    <row r="11" spans="1:4" ht="41.4">
      <c r="A11" s="2" t="s">
        <v>37</v>
      </c>
      <c r="B11" s="2" t="s">
        <v>38</v>
      </c>
      <c r="C11" s="2" t="s">
        <v>39</v>
      </c>
      <c r="D11" s="2" t="s">
        <v>40</v>
      </c>
    </row>
    <row r="12" spans="1:4" ht="27.6">
      <c r="A12" s="2" t="s">
        <v>41</v>
      </c>
      <c r="B12" s="2" t="s">
        <v>42</v>
      </c>
      <c r="C12" s="2" t="s">
        <v>43</v>
      </c>
      <c r="D12" s="2" t="s">
        <v>44</v>
      </c>
    </row>
    <row r="13" spans="1:4" ht="41.4">
      <c r="A13" s="2" t="s">
        <v>45</v>
      </c>
      <c r="B13" s="2" t="s">
        <v>46</v>
      </c>
      <c r="C13" s="2" t="s">
        <v>47</v>
      </c>
      <c r="D13" s="2" t="s">
        <v>48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E5027-E13B-42F3-81E2-350F7E51FCAA}">
  <dimension ref="A1:H21"/>
  <sheetViews>
    <sheetView workbookViewId="0">
      <selection activeCell="H11" sqref="H11"/>
    </sheetView>
  </sheetViews>
  <sheetFormatPr defaultRowHeight="13.8"/>
  <cols>
    <col min="1" max="1" width="34.3984375" bestFit="1" customWidth="1"/>
    <col min="2" max="2" width="10.3984375" customWidth="1"/>
    <col min="4" max="4" width="35" bestFit="1" customWidth="1"/>
    <col min="5" max="5" width="9.19921875" customWidth="1"/>
    <col min="6" max="6" width="10.3984375" customWidth="1"/>
    <col min="7" max="7" width="19.59765625" bestFit="1" customWidth="1"/>
    <col min="8" max="8" width="11.296875" bestFit="1" customWidth="1"/>
    <col min="9" max="9" width="14.3984375" bestFit="1" customWidth="1"/>
    <col min="10" max="13" width="10.3984375" customWidth="1"/>
    <col min="14" max="14" width="13.19921875" bestFit="1" customWidth="1"/>
    <col min="15" max="15" width="16.59765625" bestFit="1" customWidth="1"/>
    <col min="16" max="16" width="11.3984375" customWidth="1"/>
    <col min="17" max="17" width="12.796875" bestFit="1" customWidth="1"/>
    <col min="18" max="21" width="11.3984375" customWidth="1"/>
    <col min="22" max="22" width="11.5" bestFit="1" customWidth="1"/>
    <col min="23" max="23" width="12.59765625" bestFit="1" customWidth="1"/>
    <col min="24" max="24" width="12.09765625" bestFit="1" customWidth="1"/>
    <col min="25" max="25" width="11.3984375" customWidth="1"/>
    <col min="26" max="26" width="14.8984375" bestFit="1" customWidth="1"/>
  </cols>
  <sheetData>
    <row r="1" spans="1:8">
      <c r="A1" s="23" t="s">
        <v>1354</v>
      </c>
      <c r="B1" t="s">
        <v>1355</v>
      </c>
      <c r="D1" s="23" t="s">
        <v>1356</v>
      </c>
      <c r="E1" t="s">
        <v>1355</v>
      </c>
      <c r="G1" s="23" t="s">
        <v>1357</v>
      </c>
      <c r="H1" t="s">
        <v>1355</v>
      </c>
    </row>
    <row r="2" spans="1:8">
      <c r="A2" s="23" t="s">
        <v>1260</v>
      </c>
      <c r="B2">
        <f>ROWS(RawOrders[Order_ID])</f>
        <v>725</v>
      </c>
      <c r="D2" s="23" t="s">
        <v>1267</v>
      </c>
      <c r="E2">
        <f>COUNTIF(RawOrders[Order_Date], "&lt;2024-01-01") + COUNTIF(RawOrders[Order_Date], "&gt;2025-12-31") + COUNTIF(RawOrders[Ship_Date], "&lt;2024-01-01") + COUNTIF(RawOrders[Ship_Date], "&gt;2025-12-31")</f>
        <v>6</v>
      </c>
      <c r="G2" s="23" t="s">
        <v>1265</v>
      </c>
      <c r="H2">
        <f>COUNTIF(RawOrders[Discount_Pct],"&gt;0.5")</f>
        <v>3</v>
      </c>
    </row>
    <row r="3" spans="1:8">
      <c r="A3" s="23" t="s">
        <v>1261</v>
      </c>
      <c r="B3">
        <f>COUNTA(_xlfn.UNIQUE(RawOrders[Order_ID]))</f>
        <v>720</v>
      </c>
      <c r="D3" s="23" t="s">
        <v>1268</v>
      </c>
      <c r="E3" cm="1">
        <f t="array" ref="E3">SUMPRODUCT(RawOrders[Order_Date] &gt; RawOrders[Ship_Date])</f>
        <v>0</v>
      </c>
      <c r="G3" s="23" t="s">
        <v>1266</v>
      </c>
      <c r="H3">
        <f>COUNTIFS(RawOrders[Category],"&lt;&gt;Technology",RawOrders[Category],"&lt;&gt;Furniture",RawOrders[Category],"&lt;&gt;Office Supplies",RawOrders[Category],"&lt;&gt;Appliances")
+COUNTIFS(RawOrders[Sales_Channel],"&lt;&gt;Online",RawOrders[Sales_Channel],"&lt;&gt;Retail Store",RawOrders[Sales_Channel],"&lt;&gt;Wholesale",RawOrders[Sales_Channel],"&lt;&gt;Partner")
+COUNTIFS(RawOrders[Marketing_Channel],"&lt;&gt;Email",RawOrders[Marketing_Channel],"&lt;&gt;Social",RawOrders[Marketing_Channel],"&lt;&gt;Paid Search",RawOrders[Marketing_Channel],"&lt;&gt;Organic",RawOrders[Marketing_Channel],"&lt;&gt;Affiliate",RawOrders[Marketing_Channel],"&lt;&gt;Referral")
+COUNTIFS(RawOrders[Region],"&lt;&gt;East",RawOrders[Region],"&lt;&gt;West",RawOrders[Region],"&lt;&gt;Central",RawOrders[Region],"&lt;&gt;South")
+COUNTIFS(RawOrders[Returned],"&lt;&gt;Yes",RawOrders[Returned],"&lt;&gt;No")</f>
        <v>10</v>
      </c>
    </row>
    <row r="4" spans="1:8">
      <c r="A4" s="23" t="s">
        <v>1262</v>
      </c>
      <c r="B4">
        <f>B2-B3</f>
        <v>5</v>
      </c>
      <c r="D4" s="23" t="s">
        <v>1263</v>
      </c>
      <c r="E4">
        <f>COUNTIF(RawOrders[Quantity],"&lt;=0")</f>
        <v>4</v>
      </c>
    </row>
    <row r="5" spans="1:8">
      <c r="A5" s="23" t="s">
        <v>1358</v>
      </c>
      <c r="B5">
        <v>107</v>
      </c>
      <c r="D5" s="23" t="s">
        <v>1264</v>
      </c>
      <c r="E5">
        <f>COUNTIF(RawOrders[Unit_Price],"&lt;=0")</f>
        <v>2</v>
      </c>
    </row>
    <row r="18" spans="1:1">
      <c r="A18" s="23"/>
    </row>
    <row r="19" spans="1:1">
      <c r="A19" s="23"/>
    </row>
    <row r="20" spans="1:1">
      <c r="A20" s="23"/>
    </row>
    <row r="21" spans="1:1">
      <c r="A21" s="23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AF3E6-E22F-4048-8448-CB85A182667E}">
  <dimension ref="A1:K26"/>
  <sheetViews>
    <sheetView zoomScale="85" zoomScaleNormal="85" workbookViewId="0">
      <selection activeCell="N13" sqref="N13"/>
    </sheetView>
  </sheetViews>
  <sheetFormatPr defaultRowHeight="13.8"/>
  <cols>
    <col min="1" max="1" width="14.09765625" bestFit="1" customWidth="1"/>
    <col min="2" max="2" width="16.5" bestFit="1" customWidth="1"/>
    <col min="3" max="3" width="15.59765625" bestFit="1" customWidth="1"/>
    <col min="5" max="5" width="16.296875" bestFit="1" customWidth="1"/>
    <col min="6" max="6" width="16.5" bestFit="1" customWidth="1"/>
    <col min="7" max="7" width="15.59765625" bestFit="1" customWidth="1"/>
    <col min="9" max="9" width="11.5" bestFit="1" customWidth="1"/>
    <col min="10" max="10" width="16.5" bestFit="1" customWidth="1"/>
    <col min="11" max="11" width="15.59765625" bestFit="1" customWidth="1"/>
    <col min="12" max="12" width="8.796875" customWidth="1"/>
    <col min="13" max="13" width="11.59765625" bestFit="1" customWidth="1"/>
    <col min="14" max="14" width="16.5" bestFit="1" customWidth="1"/>
    <col min="15" max="15" width="15.59765625" bestFit="1" customWidth="1"/>
  </cols>
  <sheetData>
    <row r="1" spans="1:11">
      <c r="A1" s="21" t="s">
        <v>1335</v>
      </c>
      <c r="B1" s="21"/>
      <c r="C1" s="21"/>
      <c r="E1" s="21" t="s">
        <v>1338</v>
      </c>
      <c r="F1" s="21"/>
      <c r="G1" s="21"/>
      <c r="I1" s="21" t="s">
        <v>1340</v>
      </c>
      <c r="J1" s="21"/>
      <c r="K1" s="21"/>
    </row>
    <row r="2" spans="1:11">
      <c r="A2" s="15" t="s">
        <v>62</v>
      </c>
      <c r="B2" t="s">
        <v>1305</v>
      </c>
      <c r="C2" t="s">
        <v>1310</v>
      </c>
      <c r="E2" s="15" t="s">
        <v>1339</v>
      </c>
      <c r="F2" t="s">
        <v>1305</v>
      </c>
      <c r="G2" t="s">
        <v>1310</v>
      </c>
      <c r="I2" s="15" t="s">
        <v>62</v>
      </c>
      <c r="J2" t="s">
        <v>1305</v>
      </c>
      <c r="K2" t="s">
        <v>1310</v>
      </c>
    </row>
    <row r="3" spans="1:11">
      <c r="A3" s="16" t="s">
        <v>82</v>
      </c>
      <c r="B3" s="10">
        <v>111859.74969999999</v>
      </c>
      <c r="C3" s="14">
        <v>0.22099391501534493</v>
      </c>
      <c r="E3" s="16" t="s">
        <v>219</v>
      </c>
      <c r="F3" s="10">
        <v>124574.7553</v>
      </c>
      <c r="G3" s="14">
        <v>0.24611411128363705</v>
      </c>
      <c r="I3" s="16" t="s">
        <v>1225</v>
      </c>
      <c r="J3" s="10">
        <v>117592.85950000001</v>
      </c>
      <c r="K3" s="14">
        <v>0.23249637052215311</v>
      </c>
    </row>
    <row r="4" spans="1:11">
      <c r="A4" s="17" t="s">
        <v>112</v>
      </c>
      <c r="B4" s="10">
        <v>57603.589399999997</v>
      </c>
      <c r="C4" s="14">
        <v>0.1138036047334587</v>
      </c>
      <c r="E4" s="16" t="s">
        <v>109</v>
      </c>
      <c r="F4" s="10">
        <v>140528.46950000001</v>
      </c>
      <c r="G4" s="14">
        <v>0.27763281009665525</v>
      </c>
      <c r="I4" s="16" t="s">
        <v>1224</v>
      </c>
      <c r="J4" s="10">
        <v>138028.40229999996</v>
      </c>
      <c r="K4" s="14">
        <v>0.27290009529636111</v>
      </c>
    </row>
    <row r="5" spans="1:11">
      <c r="A5" s="17" t="s">
        <v>83</v>
      </c>
      <c r="B5" s="10">
        <v>54256.160299999989</v>
      </c>
      <c r="C5" s="14">
        <v>0.10719031028188623</v>
      </c>
      <c r="E5" s="16" t="s">
        <v>129</v>
      </c>
      <c r="F5" s="10">
        <v>120351.7435</v>
      </c>
      <c r="G5" s="14">
        <v>0.23777098595624324</v>
      </c>
      <c r="I5" s="16" t="s">
        <v>1221</v>
      </c>
      <c r="J5" s="10">
        <v>115601.08860000003</v>
      </c>
      <c r="K5" s="14">
        <v>0.22855838051892816</v>
      </c>
    </row>
    <row r="6" spans="1:11">
      <c r="A6" s="16" t="s">
        <v>93</v>
      </c>
      <c r="B6" s="10">
        <v>104299.08230000001</v>
      </c>
      <c r="C6" s="14">
        <v>0.20605680409442817</v>
      </c>
      <c r="E6" s="16" t="s">
        <v>78</v>
      </c>
      <c r="F6" s="10">
        <v>120711.68200000002</v>
      </c>
      <c r="G6" s="14">
        <v>0.23848209266346446</v>
      </c>
      <c r="I6" s="16" t="s">
        <v>1223</v>
      </c>
      <c r="J6" s="10">
        <v>134561.28500000006</v>
      </c>
      <c r="K6" s="14">
        <v>0.26604515366255771</v>
      </c>
    </row>
    <row r="7" spans="1:11">
      <c r="A7" s="17" t="s">
        <v>236</v>
      </c>
      <c r="B7" s="10">
        <v>28121.317600000009</v>
      </c>
      <c r="C7" s="14">
        <v>5.5557428730898785E-2</v>
      </c>
      <c r="E7" s="16" t="s">
        <v>1306</v>
      </c>
      <c r="F7" s="10">
        <v>506166.65030000004</v>
      </c>
      <c r="G7" s="14">
        <v>1</v>
      </c>
      <c r="I7" s="16" t="s">
        <v>1306</v>
      </c>
      <c r="J7" s="10">
        <v>505783.63540000003</v>
      </c>
      <c r="K7" s="14">
        <v>1</v>
      </c>
    </row>
    <row r="8" spans="1:11">
      <c r="A8" s="17" t="s">
        <v>94</v>
      </c>
      <c r="B8" s="10">
        <v>53804.46439999999</v>
      </c>
      <c r="C8" s="14">
        <v>0.10629792454344952</v>
      </c>
    </row>
    <row r="9" spans="1:11">
      <c r="A9" s="17" t="s">
        <v>164</v>
      </c>
      <c r="B9" s="10">
        <v>832.9452</v>
      </c>
      <c r="C9" s="14">
        <v>1.6455947848526208E-3</v>
      </c>
    </row>
    <row r="10" spans="1:11">
      <c r="A10" s="17" t="s">
        <v>177</v>
      </c>
      <c r="B10" s="10">
        <v>21540.355100000004</v>
      </c>
      <c r="C10" s="14">
        <v>4.2555856035227241E-2</v>
      </c>
      <c r="E10" s="21" t="s">
        <v>1321</v>
      </c>
      <c r="F10" s="21"/>
      <c r="G10" s="21"/>
      <c r="I10" s="21" t="s">
        <v>1336</v>
      </c>
      <c r="J10" s="21"/>
      <c r="K10" s="21"/>
    </row>
    <row r="11" spans="1:11">
      <c r="A11" s="16" t="s">
        <v>103</v>
      </c>
      <c r="B11" s="10">
        <v>42742.266399999993</v>
      </c>
      <c r="C11" s="14">
        <v>8.444307102150464E-2</v>
      </c>
      <c r="E11" s="15" t="s">
        <v>1311</v>
      </c>
      <c r="F11" t="s">
        <v>1305</v>
      </c>
      <c r="G11" t="s">
        <v>1310</v>
      </c>
      <c r="I11" s="15" t="s">
        <v>1337</v>
      </c>
      <c r="J11" t="s">
        <v>1305</v>
      </c>
      <c r="K11" t="s">
        <v>1310</v>
      </c>
    </row>
    <row r="12" spans="1:11">
      <c r="A12" s="17" t="s">
        <v>190</v>
      </c>
      <c r="B12" s="10">
        <v>253.22219999999999</v>
      </c>
      <c r="C12" s="14">
        <v>5.0027436586333322E-4</v>
      </c>
      <c r="E12" s="16" t="s">
        <v>1307</v>
      </c>
      <c r="F12" s="10">
        <v>52559.604000000007</v>
      </c>
      <c r="G12" s="14">
        <v>0.10383853612016605</v>
      </c>
      <c r="I12" s="16" t="s">
        <v>152</v>
      </c>
      <c r="J12" s="10">
        <v>132131.7929</v>
      </c>
      <c r="K12" s="14">
        <v>0.26104405104857625</v>
      </c>
    </row>
    <row r="13" spans="1:11">
      <c r="A13" s="17" t="s">
        <v>143</v>
      </c>
      <c r="B13" s="10">
        <v>8385.640199999998</v>
      </c>
      <c r="C13" s="14">
        <v>1.6566955161960818E-2</v>
      </c>
      <c r="E13" s="16" t="s">
        <v>1308</v>
      </c>
      <c r="F13" s="10">
        <v>34529.618000000002</v>
      </c>
      <c r="G13" s="14">
        <v>6.8217884326307626E-2</v>
      </c>
      <c r="I13" s="16" t="s">
        <v>74</v>
      </c>
      <c r="J13" s="10">
        <v>208261.35209999987</v>
      </c>
      <c r="K13" s="14">
        <v>0.41144818999150867</v>
      </c>
    </row>
    <row r="14" spans="1:11">
      <c r="A14" s="17" t="s">
        <v>83</v>
      </c>
      <c r="B14" s="10">
        <v>474.21</v>
      </c>
      <c r="C14" s="14">
        <v>9.3686535791905783E-4</v>
      </c>
      <c r="E14" s="16" t="s">
        <v>1309</v>
      </c>
      <c r="F14" s="10">
        <v>42403.247799999997</v>
      </c>
      <c r="G14" s="14">
        <v>8.3773294378181595E-2</v>
      </c>
      <c r="I14" s="16" t="s">
        <v>89</v>
      </c>
      <c r="J14" s="10">
        <v>165773.50529999993</v>
      </c>
      <c r="K14" s="14">
        <v>0.32750775895991496</v>
      </c>
    </row>
    <row r="15" spans="1:11">
      <c r="A15" s="17" t="s">
        <v>164</v>
      </c>
      <c r="B15" s="10">
        <v>3711.6720999999998</v>
      </c>
      <c r="C15" s="14">
        <v>7.3329052749724405E-3</v>
      </c>
      <c r="E15" s="16" t="s">
        <v>1312</v>
      </c>
      <c r="F15" s="10">
        <v>22605.253100000002</v>
      </c>
      <c r="G15" s="14">
        <v>4.4659704637992431E-2</v>
      </c>
      <c r="I15" s="16" t="s">
        <v>1306</v>
      </c>
      <c r="J15" s="10">
        <v>506166.65029999986</v>
      </c>
      <c r="K15" s="14">
        <v>1</v>
      </c>
    </row>
    <row r="16" spans="1:11">
      <c r="A16" s="17" t="s">
        <v>251</v>
      </c>
      <c r="B16" s="10">
        <v>10263.6695</v>
      </c>
      <c r="C16" s="14">
        <v>2.027725353678838E-2</v>
      </c>
      <c r="E16" s="16" t="s">
        <v>1313</v>
      </c>
      <c r="F16" s="10">
        <v>46015.863299999997</v>
      </c>
      <c r="G16" s="14">
        <v>9.0910500074880177E-2</v>
      </c>
    </row>
    <row r="17" spans="1:11">
      <c r="A17" s="17" t="s">
        <v>104</v>
      </c>
      <c r="B17" s="10">
        <v>15133.364100000001</v>
      </c>
      <c r="C17" s="14">
        <v>2.9897987334864137E-2</v>
      </c>
      <c r="E17" s="16" t="s">
        <v>1314</v>
      </c>
      <c r="F17" s="10">
        <v>44497.039400000001</v>
      </c>
      <c r="G17" s="14">
        <v>8.7909860070052123E-2</v>
      </c>
    </row>
    <row r="18" spans="1:11">
      <c r="A18" s="17" t="s">
        <v>171</v>
      </c>
      <c r="B18" s="10">
        <v>4520.4883000000009</v>
      </c>
      <c r="C18" s="14">
        <v>8.9308299891364892E-3</v>
      </c>
      <c r="E18" s="16" t="s">
        <v>1315</v>
      </c>
      <c r="F18" s="10">
        <v>34360.888400000003</v>
      </c>
      <c r="G18" s="14">
        <v>6.7884536406408139E-2</v>
      </c>
      <c r="I18" s="21" t="s">
        <v>1322</v>
      </c>
      <c r="J18" s="21"/>
      <c r="K18" s="21"/>
    </row>
    <row r="19" spans="1:11">
      <c r="A19" s="16" t="s">
        <v>120</v>
      </c>
      <c r="B19" s="10">
        <v>247265.55189999993</v>
      </c>
      <c r="C19" s="14">
        <v>0.48850620986872234</v>
      </c>
      <c r="E19" s="16" t="s">
        <v>1316</v>
      </c>
      <c r="F19" s="10">
        <v>46656.377300000007</v>
      </c>
      <c r="G19" s="14">
        <v>9.2175921255079202E-2</v>
      </c>
      <c r="I19" s="15" t="s">
        <v>1334</v>
      </c>
      <c r="J19" t="s">
        <v>1305</v>
      </c>
      <c r="K19" t="s">
        <v>1310</v>
      </c>
    </row>
    <row r="20" spans="1:11">
      <c r="A20" s="17" t="s">
        <v>190</v>
      </c>
      <c r="B20" s="10">
        <v>10533.512999999997</v>
      </c>
      <c r="C20" s="14">
        <v>2.0810365506611094E-2</v>
      </c>
      <c r="E20" s="16" t="s">
        <v>1317</v>
      </c>
      <c r="F20" s="10">
        <v>42464.142900000006</v>
      </c>
      <c r="G20" s="14">
        <v>8.3893600802881677E-2</v>
      </c>
      <c r="I20" s="16" t="s">
        <v>138</v>
      </c>
      <c r="J20" s="10">
        <v>105833.32360000002</v>
      </c>
      <c r="K20" s="14">
        <v>0.20908790323754767</v>
      </c>
    </row>
    <row r="21" spans="1:11">
      <c r="A21" s="17" t="s">
        <v>112</v>
      </c>
      <c r="B21" s="10">
        <v>1398.8108</v>
      </c>
      <c r="C21" s="14">
        <v>2.7635380544548697E-3</v>
      </c>
      <c r="E21" s="16" t="s">
        <v>1318</v>
      </c>
      <c r="F21" s="10">
        <v>60811.617099999959</v>
      </c>
      <c r="G21" s="14">
        <v>0.12014149305166098</v>
      </c>
      <c r="I21" s="16" t="s">
        <v>75</v>
      </c>
      <c r="J21" s="10">
        <v>127658.14959999998</v>
      </c>
      <c r="K21" s="14">
        <v>0.25220576963009766</v>
      </c>
    </row>
    <row r="22" spans="1:11">
      <c r="A22" s="17" t="s">
        <v>164</v>
      </c>
      <c r="B22" s="10">
        <v>159339.03819999995</v>
      </c>
      <c r="C22" s="14">
        <v>0.3147956075445929</v>
      </c>
      <c r="E22" s="16" t="s">
        <v>1319</v>
      </c>
      <c r="F22" s="10">
        <v>36783.637500000004</v>
      </c>
      <c r="G22" s="14">
        <v>7.2671001691238857E-2</v>
      </c>
      <c r="I22" s="16" t="s">
        <v>194</v>
      </c>
      <c r="J22" s="10">
        <v>147096.9519999999</v>
      </c>
      <c r="K22" s="14">
        <v>0.29060972688109143</v>
      </c>
    </row>
    <row r="23" spans="1:11">
      <c r="A23" s="17" t="s">
        <v>121</v>
      </c>
      <c r="B23" s="10">
        <v>56784.055899999999</v>
      </c>
      <c r="C23" s="14">
        <v>0.11218450655795806</v>
      </c>
      <c r="E23" s="16" t="s">
        <v>1320</v>
      </c>
      <c r="F23" s="10">
        <v>42479.361500000014</v>
      </c>
      <c r="G23" s="14">
        <v>8.3923667185151207E-2</v>
      </c>
      <c r="I23" s="16" t="s">
        <v>126</v>
      </c>
      <c r="J23" s="10">
        <v>125578.22509999998</v>
      </c>
      <c r="K23" s="14">
        <v>0.24809660025126315</v>
      </c>
    </row>
    <row r="24" spans="1:11">
      <c r="A24" s="17" t="s">
        <v>133</v>
      </c>
      <c r="B24" s="10">
        <v>19138.291499999996</v>
      </c>
      <c r="C24" s="14">
        <v>3.7810257725705405E-2</v>
      </c>
      <c r="E24" s="16" t="s">
        <v>1306</v>
      </c>
      <c r="F24" s="10">
        <v>506166.65029999998</v>
      </c>
      <c r="G24" s="14">
        <v>1</v>
      </c>
      <c r="I24" s="16" t="s">
        <v>1306</v>
      </c>
      <c r="J24" s="10">
        <v>506166.65029999992</v>
      </c>
      <c r="K24" s="14">
        <v>1</v>
      </c>
    </row>
    <row r="25" spans="1:11">
      <c r="A25" s="17" t="s">
        <v>104</v>
      </c>
      <c r="B25" s="10">
        <v>71.842500000000001</v>
      </c>
      <c r="C25" s="14">
        <v>1.4193447940005465E-4</v>
      </c>
    </row>
    <row r="26" spans="1:11">
      <c r="A26" s="16" t="s">
        <v>1306</v>
      </c>
      <c r="B26" s="10">
        <v>506166.65029999986</v>
      </c>
      <c r="C26" s="14">
        <v>1</v>
      </c>
    </row>
  </sheetData>
  <mergeCells count="6">
    <mergeCell ref="E1:G1"/>
    <mergeCell ref="I1:K1"/>
    <mergeCell ref="E10:G10"/>
    <mergeCell ref="I18:K18"/>
    <mergeCell ref="A1:C1"/>
    <mergeCell ref="I10:K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E8854-4DD3-434F-9630-B1724B65F527}">
  <dimension ref="A1:F13"/>
  <sheetViews>
    <sheetView workbookViewId="0">
      <selection activeCell="E15" sqref="E15"/>
    </sheetView>
  </sheetViews>
  <sheetFormatPr defaultRowHeight="13.8"/>
  <cols>
    <col min="2" max="2" width="13.3984375" style="19" customWidth="1"/>
    <col min="3" max="3" width="13.296875" style="19" customWidth="1"/>
    <col min="4" max="4" width="12.5" style="19" customWidth="1"/>
    <col min="5" max="5" width="13.19921875" style="11" customWidth="1"/>
    <col min="6" max="6" width="11.69921875" bestFit="1" customWidth="1"/>
  </cols>
  <sheetData>
    <row r="1" spans="1:6">
      <c r="A1" t="s">
        <v>1255</v>
      </c>
      <c r="B1" s="19" t="s">
        <v>1341</v>
      </c>
      <c r="C1" s="19" t="s">
        <v>1342</v>
      </c>
      <c r="D1" s="19" t="s">
        <v>1343</v>
      </c>
      <c r="E1" s="11" t="s">
        <v>1344</v>
      </c>
      <c r="F1" t="s">
        <v>1259</v>
      </c>
    </row>
    <row r="2" spans="1:6">
      <c r="A2" t="s">
        <v>1323</v>
      </c>
      <c r="B2" s="19">
        <f>SUMIFS(Cleaned_data[Net Sales],Cleaned_data[Order Month],Table15[[#This Row],[Month]])</f>
        <v>52559.604000000007</v>
      </c>
      <c r="C2" s="19" cm="1">
        <f t="array" ref="C2">SUMPRODUCT(MonthlyTargets[Sales_Targets] * (TEXT(MonthlyTargets[Month], "mmmm") = Table15[[#This Row],[Month]]))</f>
        <v>32968.049999999996</v>
      </c>
      <c r="D2" s="19">
        <f>Table15[[#This Row],[Actual Sales]]-Table15[[#This Row],[Target sales]]</f>
        <v>19591.554000000011</v>
      </c>
      <c r="E2" s="11">
        <f>Table15[[#This Row],[Variance($)]]/Table15[[#This Row],[Target sales]]</f>
        <v>0.5942588051158626</v>
      </c>
      <c r="F2" t="str">
        <f>IF(Table15[[#This Row],[Variance($)]]&gt;0,"Above Target","Below Target")</f>
        <v>Above Target</v>
      </c>
    </row>
    <row r="3" spans="1:6">
      <c r="A3" t="s">
        <v>1327</v>
      </c>
      <c r="B3" s="19">
        <f>SUMIFS(Cleaned_data[Net Sales],Cleaned_data[Order Month],Table15[[#This Row],[Month]])</f>
        <v>34529.618000000002</v>
      </c>
      <c r="C3" s="19" cm="1">
        <f t="array" ref="C3">SUMPRODUCT(MonthlyTargets[Sales_Targets] * (TEXT(MonthlyTargets[Month], "mmmm") = Table15[[#This Row],[Month]]))</f>
        <v>33383.1</v>
      </c>
      <c r="D3" s="19">
        <f>Table15[[#This Row],[Actual Sales]]-Table15[[#This Row],[Target sales]]</f>
        <v>1146.5180000000037</v>
      </c>
      <c r="E3" s="11">
        <f>Table15[[#This Row],[Variance($)]]/Table15[[#This Row],[Target sales]]</f>
        <v>3.4344264013827466E-2</v>
      </c>
      <c r="F3" t="str">
        <f>IF(Table15[[#This Row],[Variance($)]]&gt;0,"Above Target","Below Target")</f>
        <v>Above Target</v>
      </c>
    </row>
    <row r="4" spans="1:6">
      <c r="A4" t="s">
        <v>1329</v>
      </c>
      <c r="B4" s="19">
        <f>SUMIFS(Cleaned_data[Net Sales],Cleaned_data[Order Month],Table15[[#This Row],[Month]])</f>
        <v>42403.247799999997</v>
      </c>
      <c r="C4" s="19" cm="1">
        <f t="array" ref="C4">SUMPRODUCT(MonthlyTargets[Sales_Targets] * (TEXT(MonthlyTargets[Month], "mmmm") = Table15[[#This Row],[Month]]))</f>
        <v>37183.35</v>
      </c>
      <c r="D4" s="19">
        <f>Table15[[#This Row],[Actual Sales]]-Table15[[#This Row],[Target sales]]</f>
        <v>5219.8977999999988</v>
      </c>
      <c r="E4" s="11">
        <f>Table15[[#This Row],[Variance($)]]/Table15[[#This Row],[Target sales]]</f>
        <v>0.14038266589750517</v>
      </c>
      <c r="F4" t="str">
        <f>IF(Table15[[#This Row],[Variance($)]]&gt;0,"Above Target","Below Target")</f>
        <v>Above Target</v>
      </c>
    </row>
    <row r="5" spans="1:6">
      <c r="A5" t="s">
        <v>1333</v>
      </c>
      <c r="B5" s="19">
        <f>SUMIFS(Cleaned_data[Net Sales],Cleaned_data[Order Month],Table15[[#This Row],[Month]])</f>
        <v>22605.253100000002</v>
      </c>
      <c r="C5" s="19" cm="1">
        <f t="array" ref="C5">SUMPRODUCT(MonthlyTargets[Sales_Targets] * (TEXT(MonthlyTargets[Month], "mmmm") = Table15[[#This Row],[Month]]))</f>
        <v>37539.15</v>
      </c>
      <c r="D5" s="19">
        <f>Table15[[#This Row],[Actual Sales]]-Table15[[#This Row],[Target sales]]</f>
        <v>-14933.8969</v>
      </c>
      <c r="E5" s="11">
        <f>Table15[[#This Row],[Variance($)]]/Table15[[#This Row],[Target sales]]</f>
        <v>-0.39782192457740784</v>
      </c>
      <c r="F5" t="str">
        <f>IF(Table15[[#This Row],[Variance($)]]&gt;0,"Above Target","Below Target")</f>
        <v>Below Target</v>
      </c>
    </row>
    <row r="6" spans="1:6">
      <c r="A6" t="s">
        <v>1313</v>
      </c>
      <c r="B6" s="19">
        <f>SUMIFS(Cleaned_data[Net Sales],Cleaned_data[Order Month],Table15[[#This Row],[Month]])</f>
        <v>46015.863299999997</v>
      </c>
      <c r="C6" s="19" cm="1">
        <f t="array" ref="C6">SUMPRODUCT(MonthlyTargets[Sales_Targets] * (TEXT(MonthlyTargets[Month], "mmmm") = Table15[[#This Row],[Month]]))</f>
        <v>37180.30000000001</v>
      </c>
      <c r="D6" s="19">
        <f>Table15[[#This Row],[Actual Sales]]-Table15[[#This Row],[Target sales]]</f>
        <v>8835.5632999999871</v>
      </c>
      <c r="E6" s="11">
        <f>Table15[[#This Row],[Variance($)]]/Table15[[#This Row],[Target sales]]</f>
        <v>0.2376409899866323</v>
      </c>
      <c r="F6" t="str">
        <f>IF(Table15[[#This Row],[Variance($)]]&gt;0,"Above Target","Below Target")</f>
        <v>Above Target</v>
      </c>
    </row>
    <row r="7" spans="1:6">
      <c r="A7" t="s">
        <v>1332</v>
      </c>
      <c r="B7" s="19">
        <f>SUMIFS(Cleaned_data[Net Sales],Cleaned_data[Order Month],Table15[[#This Row],[Month]])</f>
        <v>44497.039400000001</v>
      </c>
      <c r="C7" s="19" cm="1">
        <f t="array" ref="C7">SUMPRODUCT(MonthlyTargets[Sales_Targets] * (TEXT(MonthlyTargets[Month], "mmmm") = Table15[[#This Row],[Month]]))</f>
        <v>37414.65</v>
      </c>
      <c r="D7" s="19">
        <f>Table15[[#This Row],[Actual Sales]]-Table15[[#This Row],[Target sales]]</f>
        <v>7082.3894</v>
      </c>
      <c r="E7" s="11">
        <f>Table15[[#This Row],[Variance($)]]/Table15[[#This Row],[Target sales]]</f>
        <v>0.1892945517330778</v>
      </c>
      <c r="F7" t="str">
        <f>IF(Table15[[#This Row],[Variance($)]]&gt;0,"Above Target","Below Target")</f>
        <v>Above Target</v>
      </c>
    </row>
    <row r="8" spans="1:6">
      <c r="A8" t="s">
        <v>1331</v>
      </c>
      <c r="B8" s="19">
        <f>SUMIFS(Cleaned_data[Net Sales],Cleaned_data[Order Month],Table15[[#This Row],[Month]])</f>
        <v>34360.888400000003</v>
      </c>
      <c r="C8" s="19" cm="1">
        <f t="array" ref="C8">SUMPRODUCT(MonthlyTargets[Sales_Targets] * (TEXT(MonthlyTargets[Month], "mmmm") = Table15[[#This Row],[Month]]))</f>
        <v>37418</v>
      </c>
      <c r="D8" s="19">
        <f>Table15[[#This Row],[Actual Sales]]-Table15[[#This Row],[Target sales]]</f>
        <v>-3057.1115999999965</v>
      </c>
      <c r="E8" s="11">
        <f>Table15[[#This Row],[Variance($)]]/Table15[[#This Row],[Target sales]]</f>
        <v>-8.1701630231439323E-2</v>
      </c>
      <c r="F8" t="str">
        <f>IF(Table15[[#This Row],[Variance($)]]&gt;0,"Above Target","Below Target")</f>
        <v>Below Target</v>
      </c>
    </row>
    <row r="9" spans="1:6">
      <c r="A9" t="s">
        <v>1330</v>
      </c>
      <c r="B9" s="19">
        <f>SUMIFS(Cleaned_data[Net Sales],Cleaned_data[Order Month],Table15[[#This Row],[Month]])</f>
        <v>46656.377300000007</v>
      </c>
      <c r="C9" s="19" cm="1">
        <f t="array" ref="C9">SUMPRODUCT(MonthlyTargets[Sales_Targets] * (TEXT(MonthlyTargets[Month], "mmmm") = Table15[[#This Row],[Month]]))</f>
        <v>38159.350000000006</v>
      </c>
      <c r="D9" s="19">
        <f>Table15[[#This Row],[Actual Sales]]-Table15[[#This Row],[Target sales]]</f>
        <v>8497.0273000000016</v>
      </c>
      <c r="E9" s="11">
        <f>Table15[[#This Row],[Variance($)]]/Table15[[#This Row],[Target sales]]</f>
        <v>0.22267222319038454</v>
      </c>
      <c r="F9" t="str">
        <f>IF(Table15[[#This Row],[Variance($)]]&gt;0,"Above Target","Below Target")</f>
        <v>Above Target</v>
      </c>
    </row>
    <row r="10" spans="1:6">
      <c r="A10" t="s">
        <v>1328</v>
      </c>
      <c r="B10" s="19">
        <f>SUMIFS(Cleaned_data[Net Sales],Cleaned_data[Order Month],Table15[[#This Row],[Month]])</f>
        <v>42464.142900000006</v>
      </c>
      <c r="C10" s="19" cm="1">
        <f t="array" ref="C10">SUMPRODUCT(MonthlyTargets[Sales_Targets] * (TEXT(MonthlyTargets[Month], "mmmm") = Table15[[#This Row],[Month]]))</f>
        <v>37784.449999999997</v>
      </c>
      <c r="D10" s="19">
        <f>Table15[[#This Row],[Actual Sales]]-Table15[[#This Row],[Target sales]]</f>
        <v>4679.6929000000091</v>
      </c>
      <c r="E10" s="11">
        <f>Table15[[#This Row],[Variance($)]]/Table15[[#This Row],[Target sales]]</f>
        <v>0.12385234931301128</v>
      </c>
      <c r="F10" t="str">
        <f>IF(Table15[[#This Row],[Variance($)]]&gt;0,"Above Target","Below Target")</f>
        <v>Above Target</v>
      </c>
    </row>
    <row r="11" spans="1:6">
      <c r="A11" t="s">
        <v>1326</v>
      </c>
      <c r="B11" s="19">
        <f>SUMIFS(Cleaned_data[Net Sales],Cleaned_data[Order Month],Table15[[#This Row],[Month]])</f>
        <v>60811.617099999959</v>
      </c>
      <c r="C11" s="19" cm="1">
        <f t="array" ref="C11">SUMPRODUCT(MonthlyTargets[Sales_Targets] * (TEXT(MonthlyTargets[Month], "mmmm") = Table15[[#This Row],[Month]]))</f>
        <v>37194.499999999993</v>
      </c>
      <c r="D11" s="19">
        <f>Table15[[#This Row],[Actual Sales]]-Table15[[#This Row],[Target sales]]</f>
        <v>23617.117099999967</v>
      </c>
      <c r="E11" s="11">
        <f>Table15[[#This Row],[Variance($)]]/Table15[[#This Row],[Target sales]]</f>
        <v>0.63496261812902366</v>
      </c>
      <c r="F11" t="str">
        <f>IF(Table15[[#This Row],[Variance($)]]&gt;0,"Above Target","Below Target")</f>
        <v>Above Target</v>
      </c>
    </row>
    <row r="12" spans="1:6">
      <c r="A12" t="s">
        <v>1325</v>
      </c>
      <c r="B12" s="19">
        <f>SUMIFS(Cleaned_data[Net Sales],Cleaned_data[Order Month],Table15[[#This Row],[Month]])</f>
        <v>36783.637500000004</v>
      </c>
      <c r="C12" s="19" cm="1">
        <f t="array" ref="C12">SUMPRODUCT(MonthlyTargets[Sales_Targets] * (TEXT(MonthlyTargets[Month], "mmmm") = Table15[[#This Row],[Month]]))</f>
        <v>45175.35</v>
      </c>
      <c r="D12" s="19">
        <f>Table15[[#This Row],[Actual Sales]]-Table15[[#This Row],[Target sales]]</f>
        <v>-8391.7124999999942</v>
      </c>
      <c r="E12" s="11">
        <f>Table15[[#This Row],[Variance($)]]/Table15[[#This Row],[Target sales]]</f>
        <v>-0.185758660419897</v>
      </c>
      <c r="F12" t="str">
        <f>IF(Table15[[#This Row],[Variance($)]]&gt;0,"Above Target","Below Target")</f>
        <v>Below Target</v>
      </c>
    </row>
    <row r="13" spans="1:6">
      <c r="A13" t="s">
        <v>1324</v>
      </c>
      <c r="B13" s="19">
        <f>SUMIFS(Cleaned_data[Net Sales],Cleaned_data[Order Month],Table15[[#This Row],[Month]])</f>
        <v>42479.361500000014</v>
      </c>
      <c r="C13" s="19" cm="1">
        <f t="array" ref="C13">SUMPRODUCT(MonthlyTargets[Sales_Targets] * (TEXT(MonthlyTargets[Month], "mmmm") = Table15[[#This Row],[Month]]))</f>
        <v>45072.599999999984</v>
      </c>
      <c r="D13" s="19">
        <f>Table15[[#This Row],[Actual Sales]]-Table15[[#This Row],[Target sales]]</f>
        <v>-2593.2384999999704</v>
      </c>
      <c r="E13" s="11">
        <f>Table15[[#This Row],[Variance($)]]/Table15[[#This Row],[Target sales]]</f>
        <v>-5.7534699573576216E-2</v>
      </c>
      <c r="F13" t="str">
        <f>IF(Table15[[#This Row],[Variance($)]]&gt;0,"Above Target","Below Target")</f>
        <v>Below Target</v>
      </c>
    </row>
  </sheetData>
  <phoneticPr fontId="5" type="noConversion"/>
  <conditionalFormatting sqref="D1:D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:F1048576">
    <cfRule type="cellIs" dxfId="0" priority="1" operator="equal">
      <formula>"Below Target"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311D2-5DD9-4746-A509-85D5F5AF6293}">
  <dimension ref="A1:AJ721"/>
  <sheetViews>
    <sheetView topLeftCell="Y1" zoomScaleNormal="100" workbookViewId="0">
      <selection activeCell="AE19" sqref="AE19"/>
    </sheetView>
  </sheetViews>
  <sheetFormatPr defaultRowHeight="13.8"/>
  <cols>
    <col min="1" max="1" width="10.69921875" bestFit="1" customWidth="1"/>
    <col min="2" max="2" width="12.8984375" style="9" bestFit="1" customWidth="1"/>
    <col min="3" max="3" width="11.796875" style="9" bestFit="1" customWidth="1"/>
    <col min="4" max="4" width="18.09765625" bestFit="1" customWidth="1"/>
    <col min="5" max="5" width="17.69921875" bestFit="1" customWidth="1"/>
    <col min="6" max="6" width="13.19921875" bestFit="1" customWidth="1"/>
    <col min="7" max="7" width="9.09765625" bestFit="1" customWidth="1"/>
    <col min="8" max="8" width="11.3984375" bestFit="1" customWidth="1"/>
    <col min="9" max="9" width="11.296875" bestFit="1" customWidth="1"/>
    <col min="10" max="10" width="15.69921875" bestFit="1" customWidth="1"/>
    <col min="11" max="11" width="19.8984375" bestFit="1" customWidth="1"/>
    <col min="12" max="12" width="13.09765625" bestFit="1" customWidth="1"/>
    <col min="13" max="13" width="25.796875" bestFit="1" customWidth="1"/>
    <col min="14" max="14" width="13.09765625" bestFit="1" customWidth="1"/>
    <col min="15" max="15" width="14" bestFit="1" customWidth="1"/>
    <col min="16" max="16" width="10.296875" style="8" bestFit="1" customWidth="1"/>
    <col min="17" max="17" width="11.8984375" style="10" bestFit="1" customWidth="1"/>
    <col min="18" max="18" width="14.3984375" style="11" bestFit="1" customWidth="1"/>
    <col min="19" max="19" width="15.69921875" style="10" bestFit="1" customWidth="1"/>
    <col min="20" max="20" width="15.3984375" bestFit="1" customWidth="1"/>
    <col min="21" max="21" width="11" bestFit="1" customWidth="1"/>
    <col min="22" max="22" width="18.19921875" style="8" bestFit="1" customWidth="1"/>
    <col min="23" max="23" width="16.59765625" bestFit="1" customWidth="1"/>
    <col min="24" max="24" width="20.69921875" bestFit="1" customWidth="1"/>
    <col min="25" max="25" width="24.19921875" style="9" bestFit="1" customWidth="1"/>
    <col min="26" max="26" width="12.19921875" style="12" bestFit="1" customWidth="1"/>
    <col min="27" max="27" width="11.3984375" bestFit="1" customWidth="1"/>
    <col min="28" max="28" width="15.796875" bestFit="1" customWidth="1"/>
    <col min="29" max="29" width="9.19921875" bestFit="1" customWidth="1"/>
    <col min="30" max="30" width="8.8984375" bestFit="1" customWidth="1"/>
    <col min="31" max="31" width="11.296875" bestFit="1" customWidth="1"/>
    <col min="32" max="32" width="9" style="11" bestFit="1" customWidth="1"/>
    <col min="33" max="33" width="13.296875" bestFit="1" customWidth="1"/>
    <col min="34" max="34" width="13.69921875" bestFit="1" customWidth="1"/>
    <col min="35" max="35" width="11.796875" bestFit="1" customWidth="1"/>
    <col min="36" max="36" width="13.09765625" bestFit="1" customWidth="1"/>
  </cols>
  <sheetData>
    <row r="1" spans="1:36">
      <c r="A1" t="s">
        <v>49</v>
      </c>
      <c r="B1" s="9" t="s">
        <v>50</v>
      </c>
      <c r="C1" s="9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1269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s="8" t="s">
        <v>64</v>
      </c>
      <c r="Q1" s="10" t="s">
        <v>65</v>
      </c>
      <c r="R1" s="11" t="s">
        <v>66</v>
      </c>
      <c r="S1" s="10" t="s">
        <v>67</v>
      </c>
      <c r="T1" t="s">
        <v>68</v>
      </c>
      <c r="U1" t="s">
        <v>69</v>
      </c>
      <c r="V1" s="8" t="s">
        <v>70</v>
      </c>
      <c r="W1" t="s">
        <v>1278</v>
      </c>
      <c r="X1" t="s">
        <v>1283</v>
      </c>
      <c r="Y1" s="9" t="s">
        <v>1284</v>
      </c>
      <c r="Z1" s="12" t="s">
        <v>1285</v>
      </c>
      <c r="AA1" t="s">
        <v>1286</v>
      </c>
      <c r="AB1" t="s">
        <v>1287</v>
      </c>
      <c r="AC1" t="s">
        <v>1288</v>
      </c>
      <c r="AD1" t="s">
        <v>1289</v>
      </c>
      <c r="AE1" t="s">
        <v>1290</v>
      </c>
      <c r="AF1" s="11" t="s">
        <v>1291</v>
      </c>
      <c r="AG1" t="s">
        <v>1292</v>
      </c>
      <c r="AH1" t="s">
        <v>1293</v>
      </c>
      <c r="AI1" t="s">
        <v>1294</v>
      </c>
      <c r="AJ1" t="s">
        <v>1295</v>
      </c>
    </row>
    <row r="2" spans="1:36">
      <c r="A2" t="s">
        <v>71</v>
      </c>
      <c r="B2" s="9">
        <v>45296</v>
      </c>
      <c r="C2" s="9">
        <v>45299</v>
      </c>
      <c r="D2" t="s">
        <v>72</v>
      </c>
      <c r="E2" t="s">
        <v>73</v>
      </c>
      <c r="F2" t="s">
        <v>74</v>
      </c>
      <c r="G2" t="s">
        <v>75</v>
      </c>
      <c r="H2" t="s">
        <v>76</v>
      </c>
      <c r="I2" t="s">
        <v>77</v>
      </c>
      <c r="J2" t="s">
        <v>78</v>
      </c>
      <c r="K2" t="s">
        <v>79</v>
      </c>
      <c r="L2" t="s">
        <v>80</v>
      </c>
      <c r="M2" t="s">
        <v>81</v>
      </c>
      <c r="N2" t="s">
        <v>82</v>
      </c>
      <c r="O2" t="s">
        <v>83</v>
      </c>
      <c r="P2" s="8">
        <v>6</v>
      </c>
      <c r="Q2" s="10">
        <v>229.85</v>
      </c>
      <c r="R2" s="11">
        <v>0.09</v>
      </c>
      <c r="S2" s="10">
        <v>12.62</v>
      </c>
      <c r="T2" t="s">
        <v>84</v>
      </c>
      <c r="U2" t="s">
        <v>85</v>
      </c>
      <c r="V2" s="8">
        <v>3</v>
      </c>
      <c r="W2" t="s">
        <v>1270</v>
      </c>
      <c r="X2" t="str">
        <f>_xlfn.XLOOKUP(Cleaned_data[[#This Row],[Customer_ID]],Customers[S],Customers[Loyalty_Tier])</f>
        <v>Silver</v>
      </c>
      <c r="Y2" s="9">
        <f>_xlfn.XLOOKUP(Cleaned_data[[#This Row],[Customer_ID]],Customers[S],Customers[Signup_Date])</f>
        <v>45999</v>
      </c>
      <c r="Z2" s="12">
        <f>_xlfn.XLOOKUP(Cleaned_data[[#This Row],[SKU]],Products[SKU],Products[Standard_Cost])</f>
        <v>125</v>
      </c>
      <c r="AA2" s="10">
        <f>Cleaned_data[[#This Row],[Quantity]]*Cleaned_data[[#This Row],[Unit_Price]]</f>
        <v>1379.1</v>
      </c>
      <c r="AB2" s="10">
        <f>Cleaned_data[[#This Row],[Unit_Price]]*Cleaned_data[[#This Row],[Discount_Pct]]</f>
        <v>20.686499999999999</v>
      </c>
      <c r="AC2" s="10">
        <f>Cleaned_data[[#This Row],[Gross Sales]]-Cleaned_data[[#This Row],[Discount amount]]</f>
        <v>1358.4134999999999</v>
      </c>
      <c r="AD2" s="10">
        <f>Cleaned_data[[#This Row],[Product Cost]]*Cleaned_data[[#This Row],[Quantity]]</f>
        <v>750</v>
      </c>
      <c r="AE2" s="10">
        <f>Cleaned_data[[#This Row],[Net Sales]]-Cleaned_data[[#This Row],[COGS]]</f>
        <v>608.41349999999989</v>
      </c>
      <c r="AF2" s="11">
        <f>Cleaned_data[[#This Row],[Gross Profit]]/Cleaned_data[[#This Row],[Net Sales]]</f>
        <v>0.44788534566242161</v>
      </c>
      <c r="AG2">
        <f>Cleaned_data[[#This Row],[Ship_Date]]-Cleaned_data[[#This Row],[Order_Date]]</f>
        <v>3</v>
      </c>
      <c r="AH2" t="str">
        <f>IF(Cleaned_data[[#This Row],[Delivery Days]]&gt;10,"late","on time")</f>
        <v>on time</v>
      </c>
      <c r="AI2" t="str">
        <f>TEXT(Cleaned_data[[#This Row],[Order_Date]],"mmmm")</f>
        <v>January</v>
      </c>
      <c r="AJ2" s="9" t="str">
        <f>"Q"&amp;ROUNDUP(MONTH(Cleaned_data[[#This Row],[Order_Date]])/3,0)</f>
        <v>Q1</v>
      </c>
    </row>
    <row r="3" spans="1:36">
      <c r="A3" t="s">
        <v>86</v>
      </c>
      <c r="B3" s="9">
        <v>45296</v>
      </c>
      <c r="C3" s="9">
        <v>45306</v>
      </c>
      <c r="D3" t="s">
        <v>87</v>
      </c>
      <c r="E3" t="s">
        <v>88</v>
      </c>
      <c r="F3" t="s">
        <v>89</v>
      </c>
      <c r="G3" t="s">
        <v>75</v>
      </c>
      <c r="H3" t="s">
        <v>76</v>
      </c>
      <c r="I3" t="s">
        <v>77</v>
      </c>
      <c r="J3" t="s">
        <v>78</v>
      </c>
      <c r="K3" t="s">
        <v>90</v>
      </c>
      <c r="L3" t="s">
        <v>91</v>
      </c>
      <c r="M3" t="s">
        <v>92</v>
      </c>
      <c r="N3" t="s">
        <v>93</v>
      </c>
      <c r="O3" t="s">
        <v>94</v>
      </c>
      <c r="P3" s="8">
        <v>3</v>
      </c>
      <c r="Q3" s="10">
        <v>309.35000000000002</v>
      </c>
      <c r="R3" s="11">
        <v>0.01</v>
      </c>
      <c r="S3" s="10">
        <v>25.73</v>
      </c>
      <c r="T3" t="s">
        <v>84</v>
      </c>
      <c r="U3" t="s">
        <v>85</v>
      </c>
      <c r="W3" t="s">
        <v>1270</v>
      </c>
      <c r="X3" t="str">
        <f>_xlfn.XLOOKUP(Cleaned_data[[#This Row],[Customer_ID]],Customers[S],Customers[Loyalty_Tier])</f>
        <v>Silver</v>
      </c>
      <c r="Y3" s="9">
        <f>_xlfn.XLOOKUP(Cleaned_data[[#This Row],[Customer_ID]],Customers[S],Customers[Signup_Date])</f>
        <v>44736</v>
      </c>
      <c r="Z3" s="12">
        <f>_xlfn.XLOOKUP(Cleaned_data[[#This Row],[SKU]],Products[SKU],Products[Standard_Cost])</f>
        <v>184</v>
      </c>
      <c r="AA3" s="10">
        <f>Cleaned_data[[#This Row],[Quantity]]*Cleaned_data[[#This Row],[Unit_Price]]</f>
        <v>928.05000000000007</v>
      </c>
      <c r="AB3" s="10">
        <f>Cleaned_data[[#This Row],[Unit_Price]]*Cleaned_data[[#This Row],[Discount_Pct]]</f>
        <v>3.0935000000000001</v>
      </c>
      <c r="AC3" s="10">
        <f>Cleaned_data[[#This Row],[Gross Sales]]-Cleaned_data[[#This Row],[Discount amount]]</f>
        <v>924.95650000000012</v>
      </c>
      <c r="AD3" s="10">
        <f>Cleaned_data[[#This Row],[Product Cost]]*Cleaned_data[[#This Row],[Quantity]]</f>
        <v>552</v>
      </c>
      <c r="AE3" s="10">
        <f>Cleaned_data[[#This Row],[Net Sales]]-Cleaned_data[[#This Row],[COGS]]</f>
        <v>372.95650000000012</v>
      </c>
      <c r="AF3" s="11">
        <f>Cleaned_data[[#This Row],[Gross Profit]]/Cleaned_data[[#This Row],[Net Sales]]</f>
        <v>0.40321517822730052</v>
      </c>
      <c r="AG3">
        <f>Cleaned_data[[#This Row],[Ship_Date]]-Cleaned_data[[#This Row],[Order_Date]]</f>
        <v>10</v>
      </c>
      <c r="AH3" t="str">
        <f>IF(Cleaned_data[[#This Row],[Delivery Days]]&gt;10,"late","on time")</f>
        <v>on time</v>
      </c>
      <c r="AI3" t="str">
        <f>TEXT(Cleaned_data[[#This Row],[Order_Date]],"mmmm")</f>
        <v>January</v>
      </c>
      <c r="AJ3" s="9" t="str">
        <f>"Q"&amp;ROUNDUP(MONTH(Cleaned_data[[#This Row],[Order_Date]])/3,0)</f>
        <v>Q1</v>
      </c>
    </row>
    <row r="4" spans="1:36">
      <c r="A4" t="s">
        <v>95</v>
      </c>
      <c r="B4" s="9">
        <v>45297</v>
      </c>
      <c r="C4" s="9">
        <v>45315</v>
      </c>
      <c r="D4" t="s">
        <v>96</v>
      </c>
      <c r="E4" t="s">
        <v>97</v>
      </c>
      <c r="F4" t="s">
        <v>74</v>
      </c>
      <c r="G4" t="s">
        <v>75</v>
      </c>
      <c r="H4" t="s">
        <v>98</v>
      </c>
      <c r="I4" t="s">
        <v>99</v>
      </c>
      <c r="J4" t="s">
        <v>78</v>
      </c>
      <c r="K4" t="s">
        <v>100</v>
      </c>
      <c r="L4" t="s">
        <v>101</v>
      </c>
      <c r="M4" t="s">
        <v>102</v>
      </c>
      <c r="N4" t="s">
        <v>103</v>
      </c>
      <c r="O4" t="s">
        <v>104</v>
      </c>
      <c r="P4" s="8">
        <v>10</v>
      </c>
      <c r="Q4" s="10">
        <v>76.11</v>
      </c>
      <c r="R4" s="11">
        <v>0.11</v>
      </c>
      <c r="S4" s="10">
        <v>6.28</v>
      </c>
      <c r="T4" t="s">
        <v>105</v>
      </c>
      <c r="U4" t="s">
        <v>85</v>
      </c>
      <c r="W4" t="s">
        <v>1270</v>
      </c>
      <c r="X4" t="str">
        <f>_xlfn.XLOOKUP(Cleaned_data[[#This Row],[Customer_ID]],Customers[S],Customers[Loyalty_Tier])</f>
        <v>Platinum</v>
      </c>
      <c r="Y4" s="9">
        <f>_xlfn.XLOOKUP(Cleaned_data[[#This Row],[Customer_ID]],Customers[S],Customers[Signup_Date])</f>
        <v>44461</v>
      </c>
      <c r="Z4" s="12">
        <f>_xlfn.XLOOKUP(Cleaned_data[[#This Row],[SKU]],Products[SKU],Products[Standard_Cost])</f>
        <v>36</v>
      </c>
      <c r="AA4" s="10">
        <f>Cleaned_data[[#This Row],[Quantity]]*Cleaned_data[[#This Row],[Unit_Price]]</f>
        <v>761.1</v>
      </c>
      <c r="AB4" s="10">
        <f>Cleaned_data[[#This Row],[Unit_Price]]*Cleaned_data[[#This Row],[Discount_Pct]]</f>
        <v>8.3720999999999997</v>
      </c>
      <c r="AC4" s="10">
        <f>Cleaned_data[[#This Row],[Gross Sales]]-Cleaned_data[[#This Row],[Discount amount]]</f>
        <v>752.72789999999998</v>
      </c>
      <c r="AD4" s="10">
        <f>Cleaned_data[[#This Row],[Product Cost]]*Cleaned_data[[#This Row],[Quantity]]</f>
        <v>360</v>
      </c>
      <c r="AE4" s="10">
        <f>Cleaned_data[[#This Row],[Net Sales]]-Cleaned_data[[#This Row],[COGS]]</f>
        <v>392.72789999999998</v>
      </c>
      <c r="AF4" s="11">
        <f>Cleaned_data[[#This Row],[Gross Profit]]/Cleaned_data[[#This Row],[Net Sales]]</f>
        <v>0.52173952898517506</v>
      </c>
      <c r="AG4">
        <f>Cleaned_data[[#This Row],[Ship_Date]]-Cleaned_data[[#This Row],[Order_Date]]</f>
        <v>18</v>
      </c>
      <c r="AH4" t="str">
        <f>IF(Cleaned_data[[#This Row],[Delivery Days]]&gt;10,"late","on time")</f>
        <v>late</v>
      </c>
      <c r="AI4" t="str">
        <f>TEXT(Cleaned_data[[#This Row],[Order_Date]],"mmmm")</f>
        <v>January</v>
      </c>
      <c r="AJ4" s="9" t="str">
        <f>"Q"&amp;ROUNDUP(MONTH(Cleaned_data[[#This Row],[Order_Date]])/3,0)</f>
        <v>Q1</v>
      </c>
    </row>
    <row r="5" spans="1:36">
      <c r="A5" t="s">
        <v>106</v>
      </c>
      <c r="B5" s="9">
        <v>45297</v>
      </c>
      <c r="C5" s="9">
        <v>45314</v>
      </c>
      <c r="D5" t="s">
        <v>107</v>
      </c>
      <c r="E5" t="s">
        <v>108</v>
      </c>
      <c r="F5" t="s">
        <v>74</v>
      </c>
      <c r="G5" t="s">
        <v>75</v>
      </c>
      <c r="H5" t="s">
        <v>98</v>
      </c>
      <c r="I5" t="s">
        <v>99</v>
      </c>
      <c r="J5" t="s">
        <v>109</v>
      </c>
      <c r="K5" t="s">
        <v>79</v>
      </c>
      <c r="L5" t="s">
        <v>110</v>
      </c>
      <c r="M5" t="s">
        <v>111</v>
      </c>
      <c r="N5" t="s">
        <v>82</v>
      </c>
      <c r="O5" t="s">
        <v>112</v>
      </c>
      <c r="P5" s="8">
        <v>5</v>
      </c>
      <c r="Q5" s="10">
        <v>319.14999999999998</v>
      </c>
      <c r="R5" s="11">
        <v>0</v>
      </c>
      <c r="S5" s="10">
        <v>5.12</v>
      </c>
      <c r="T5" t="s">
        <v>105</v>
      </c>
      <c r="U5" t="s">
        <v>85</v>
      </c>
      <c r="V5" s="8">
        <v>5</v>
      </c>
      <c r="W5" t="s">
        <v>1270</v>
      </c>
      <c r="X5" t="str">
        <f>_xlfn.XLOOKUP(Cleaned_data[[#This Row],[Customer_ID]],Customers[S],Customers[Loyalty_Tier])</f>
        <v>Silver</v>
      </c>
      <c r="Y5" s="9">
        <f>_xlfn.XLOOKUP(Cleaned_data[[#This Row],[Customer_ID]],Customers[S],Customers[Signup_Date])</f>
        <v>45435</v>
      </c>
      <c r="Z5" s="12">
        <f>_xlfn.XLOOKUP(Cleaned_data[[#This Row],[SKU]],Products[SKU],Products[Standard_Cost])</f>
        <v>165</v>
      </c>
      <c r="AA5" s="10">
        <f>Cleaned_data[[#This Row],[Quantity]]*Cleaned_data[[#This Row],[Unit_Price]]</f>
        <v>1595.75</v>
      </c>
      <c r="AB5" s="10">
        <f>Cleaned_data[[#This Row],[Unit_Price]]*Cleaned_data[[#This Row],[Discount_Pct]]</f>
        <v>0</v>
      </c>
      <c r="AC5" s="10">
        <f>Cleaned_data[[#This Row],[Gross Sales]]-Cleaned_data[[#This Row],[Discount amount]]</f>
        <v>1595.75</v>
      </c>
      <c r="AD5" s="10">
        <f>Cleaned_data[[#This Row],[Product Cost]]*Cleaned_data[[#This Row],[Quantity]]</f>
        <v>825</v>
      </c>
      <c r="AE5" s="10">
        <f>Cleaned_data[[#This Row],[Net Sales]]-Cleaned_data[[#This Row],[COGS]]</f>
        <v>770.75</v>
      </c>
      <c r="AF5" s="11">
        <f>Cleaned_data[[#This Row],[Gross Profit]]/Cleaned_data[[#This Row],[Net Sales]]</f>
        <v>0.48300172332758889</v>
      </c>
      <c r="AG5">
        <f>Cleaned_data[[#This Row],[Ship_Date]]-Cleaned_data[[#This Row],[Order_Date]]</f>
        <v>17</v>
      </c>
      <c r="AH5" t="str">
        <f>IF(Cleaned_data[[#This Row],[Delivery Days]]&gt;10,"late","on time")</f>
        <v>late</v>
      </c>
      <c r="AI5" t="str">
        <f>TEXT(Cleaned_data[[#This Row],[Order_Date]],"mmmm")</f>
        <v>January</v>
      </c>
      <c r="AJ5" s="9" t="str">
        <f>"Q"&amp;ROUNDUP(MONTH(Cleaned_data[[#This Row],[Order_Date]])/3,0)</f>
        <v>Q1</v>
      </c>
    </row>
    <row r="6" spans="1:36">
      <c r="A6" t="s">
        <v>113</v>
      </c>
      <c r="B6" s="9">
        <v>45299</v>
      </c>
      <c r="C6" s="9">
        <v>45305</v>
      </c>
      <c r="D6" t="s">
        <v>114</v>
      </c>
      <c r="E6" t="s">
        <v>115</v>
      </c>
      <c r="F6" t="s">
        <v>89</v>
      </c>
      <c r="G6" t="s">
        <v>75</v>
      </c>
      <c r="H6" t="s">
        <v>116</v>
      </c>
      <c r="I6" t="s">
        <v>117</v>
      </c>
      <c r="J6" t="s">
        <v>109</v>
      </c>
      <c r="K6" t="s">
        <v>100</v>
      </c>
      <c r="L6" t="s">
        <v>118</v>
      </c>
      <c r="M6" t="s">
        <v>119</v>
      </c>
      <c r="N6" t="s">
        <v>120</v>
      </c>
      <c r="O6" t="s">
        <v>121</v>
      </c>
      <c r="P6" s="8">
        <v>1</v>
      </c>
      <c r="Q6" s="10">
        <v>288.93</v>
      </c>
      <c r="R6" s="11">
        <v>0.02</v>
      </c>
      <c r="S6" s="10">
        <v>18.28</v>
      </c>
      <c r="T6" t="s">
        <v>122</v>
      </c>
      <c r="U6" t="s">
        <v>85</v>
      </c>
      <c r="V6" s="8">
        <v>3</v>
      </c>
      <c r="W6" t="s">
        <v>1270</v>
      </c>
      <c r="X6" t="str">
        <f>_xlfn.XLOOKUP(Cleaned_data[[#This Row],[Customer_ID]],Customers[S],Customers[Loyalty_Tier])</f>
        <v>Bronze</v>
      </c>
      <c r="Y6" s="9">
        <f>_xlfn.XLOOKUP(Cleaned_data[[#This Row],[Customer_ID]],Customers[S],Customers[Signup_Date])</f>
        <v>44594</v>
      </c>
      <c r="Z6" s="12">
        <f>_xlfn.XLOOKUP(Cleaned_data[[#This Row],[SKU]],Products[SKU],Products[Standard_Cost])</f>
        <v>168</v>
      </c>
      <c r="AA6" s="10">
        <f>Cleaned_data[[#This Row],[Quantity]]*Cleaned_data[[#This Row],[Unit_Price]]</f>
        <v>288.93</v>
      </c>
      <c r="AB6" s="10">
        <f>Cleaned_data[[#This Row],[Unit_Price]]*Cleaned_data[[#This Row],[Discount_Pct]]</f>
        <v>5.7786</v>
      </c>
      <c r="AC6" s="10">
        <f>Cleaned_data[[#This Row],[Gross Sales]]-Cleaned_data[[#This Row],[Discount amount]]</f>
        <v>283.15140000000002</v>
      </c>
      <c r="AD6" s="10">
        <f>Cleaned_data[[#This Row],[Product Cost]]*Cleaned_data[[#This Row],[Quantity]]</f>
        <v>168</v>
      </c>
      <c r="AE6" s="10">
        <f>Cleaned_data[[#This Row],[Net Sales]]-Cleaned_data[[#This Row],[COGS]]</f>
        <v>115.15140000000002</v>
      </c>
      <c r="AF6" s="11">
        <f>Cleaned_data[[#This Row],[Gross Profit]]/Cleaned_data[[#This Row],[Net Sales]]</f>
        <v>0.40667784090066311</v>
      </c>
      <c r="AG6">
        <f>Cleaned_data[[#This Row],[Ship_Date]]-Cleaned_data[[#This Row],[Order_Date]]</f>
        <v>6</v>
      </c>
      <c r="AH6" t="str">
        <f>IF(Cleaned_data[[#This Row],[Delivery Days]]&gt;10,"late","on time")</f>
        <v>on time</v>
      </c>
      <c r="AI6" t="str">
        <f>TEXT(Cleaned_data[[#This Row],[Order_Date]],"mmmm")</f>
        <v>January</v>
      </c>
      <c r="AJ6" s="9" t="str">
        <f>"Q"&amp;ROUNDUP(MONTH(Cleaned_data[[#This Row],[Order_Date]])/3,0)</f>
        <v>Q1</v>
      </c>
    </row>
    <row r="7" spans="1:36">
      <c r="A7" t="s">
        <v>123</v>
      </c>
      <c r="B7" s="9">
        <v>45300</v>
      </c>
      <c r="C7" s="9">
        <v>45307</v>
      </c>
      <c r="D7" t="s">
        <v>124</v>
      </c>
      <c r="E7" t="s">
        <v>125</v>
      </c>
      <c r="F7" t="s">
        <v>74</v>
      </c>
      <c r="G7" t="s">
        <v>126</v>
      </c>
      <c r="H7" t="s">
        <v>127</v>
      </c>
      <c r="I7" t="s">
        <v>128</v>
      </c>
      <c r="J7" t="s">
        <v>129</v>
      </c>
      <c r="K7" t="s">
        <v>130</v>
      </c>
      <c r="L7" t="s">
        <v>131</v>
      </c>
      <c r="M7" t="s">
        <v>132</v>
      </c>
      <c r="N7" t="s">
        <v>120</v>
      </c>
      <c r="O7" t="s">
        <v>133</v>
      </c>
      <c r="P7" s="8">
        <v>1</v>
      </c>
      <c r="Q7" s="10">
        <v>88</v>
      </c>
      <c r="R7" s="11">
        <v>0.02</v>
      </c>
      <c r="S7" s="10">
        <v>11.18</v>
      </c>
      <c r="T7" t="s">
        <v>134</v>
      </c>
      <c r="U7" t="s">
        <v>85</v>
      </c>
      <c r="V7" s="8">
        <v>5</v>
      </c>
      <c r="W7" t="s">
        <v>1270</v>
      </c>
      <c r="X7" t="str">
        <f>_xlfn.XLOOKUP(Cleaned_data[[#This Row],[Customer_ID]],Customers[S],Customers[Loyalty_Tier])</f>
        <v>Silver</v>
      </c>
      <c r="Y7" s="9">
        <f>_xlfn.XLOOKUP(Cleaned_data[[#This Row],[Customer_ID]],Customers[S],Customers[Signup_Date])</f>
        <v>45033</v>
      </c>
      <c r="Z7" s="12">
        <f>_xlfn.XLOOKUP(Cleaned_data[[#This Row],[SKU]],Products[SKU],Products[Standard_Cost])</f>
        <v>44</v>
      </c>
      <c r="AA7" s="10">
        <f>Cleaned_data[[#This Row],[Quantity]]*Cleaned_data[[#This Row],[Unit_Price]]</f>
        <v>88</v>
      </c>
      <c r="AB7" s="10">
        <f>Cleaned_data[[#This Row],[Unit_Price]]*Cleaned_data[[#This Row],[Discount_Pct]]</f>
        <v>1.76</v>
      </c>
      <c r="AC7" s="10">
        <f>Cleaned_data[[#This Row],[Gross Sales]]-Cleaned_data[[#This Row],[Discount amount]]</f>
        <v>86.24</v>
      </c>
      <c r="AD7" s="10">
        <f>Cleaned_data[[#This Row],[Product Cost]]*Cleaned_data[[#This Row],[Quantity]]</f>
        <v>44</v>
      </c>
      <c r="AE7" s="10">
        <f>Cleaned_data[[#This Row],[Net Sales]]-Cleaned_data[[#This Row],[COGS]]</f>
        <v>42.239999999999995</v>
      </c>
      <c r="AF7" s="11">
        <f>Cleaned_data[[#This Row],[Gross Profit]]/Cleaned_data[[#This Row],[Net Sales]]</f>
        <v>0.48979591836734693</v>
      </c>
      <c r="AG7">
        <f>Cleaned_data[[#This Row],[Ship_Date]]-Cleaned_data[[#This Row],[Order_Date]]</f>
        <v>7</v>
      </c>
      <c r="AH7" t="str">
        <f>IF(Cleaned_data[[#This Row],[Delivery Days]]&gt;10,"late","on time")</f>
        <v>on time</v>
      </c>
      <c r="AI7" t="str">
        <f>TEXT(Cleaned_data[[#This Row],[Order_Date]],"mmmm")</f>
        <v>January</v>
      </c>
      <c r="AJ7" s="9" t="str">
        <f>"Q"&amp;ROUNDUP(MONTH(Cleaned_data[[#This Row],[Order_Date]])/3,0)</f>
        <v>Q1</v>
      </c>
    </row>
    <row r="8" spans="1:36">
      <c r="A8" t="s">
        <v>135</v>
      </c>
      <c r="B8" s="9">
        <v>45300</v>
      </c>
      <c r="C8" s="9">
        <v>45303</v>
      </c>
      <c r="D8" t="s">
        <v>136</v>
      </c>
      <c r="E8" t="s">
        <v>137</v>
      </c>
      <c r="F8" t="s">
        <v>74</v>
      </c>
      <c r="G8" t="s">
        <v>138</v>
      </c>
      <c r="H8" t="s">
        <v>139</v>
      </c>
      <c r="I8" t="s">
        <v>140</v>
      </c>
      <c r="J8" t="s">
        <v>78</v>
      </c>
      <c r="K8" t="s">
        <v>79</v>
      </c>
      <c r="L8" t="s">
        <v>141</v>
      </c>
      <c r="M8" t="s">
        <v>142</v>
      </c>
      <c r="N8" t="s">
        <v>103</v>
      </c>
      <c r="O8" t="s">
        <v>143</v>
      </c>
      <c r="P8" s="8">
        <v>9</v>
      </c>
      <c r="Q8" s="10">
        <v>36.770000000000003</v>
      </c>
      <c r="R8" s="11">
        <v>0.01</v>
      </c>
      <c r="S8" s="10">
        <v>15.4</v>
      </c>
      <c r="T8" t="s">
        <v>122</v>
      </c>
      <c r="U8" t="s">
        <v>85</v>
      </c>
      <c r="V8" s="8">
        <v>3</v>
      </c>
      <c r="W8" t="s">
        <v>1270</v>
      </c>
      <c r="X8" t="str">
        <f>_xlfn.XLOOKUP(Cleaned_data[[#This Row],[Customer_ID]],Customers[S],Customers[Loyalty_Tier])</f>
        <v>Silver</v>
      </c>
      <c r="Y8" s="9">
        <f>_xlfn.XLOOKUP(Cleaned_data[[#This Row],[Customer_ID]],Customers[S],Customers[Signup_Date])</f>
        <v>45236</v>
      </c>
      <c r="Z8" s="12">
        <f>_xlfn.XLOOKUP(Cleaned_data[[#This Row],[SKU]],Products[SKU],Products[Standard_Cost])</f>
        <v>18</v>
      </c>
      <c r="AA8" s="10">
        <f>Cleaned_data[[#This Row],[Quantity]]*Cleaned_data[[#This Row],[Unit_Price]]</f>
        <v>330.93</v>
      </c>
      <c r="AB8" s="10">
        <f>Cleaned_data[[#This Row],[Unit_Price]]*Cleaned_data[[#This Row],[Discount_Pct]]</f>
        <v>0.36770000000000003</v>
      </c>
      <c r="AC8" s="10">
        <f>Cleaned_data[[#This Row],[Gross Sales]]-Cleaned_data[[#This Row],[Discount amount]]</f>
        <v>330.56229999999999</v>
      </c>
      <c r="AD8" s="10">
        <f>Cleaned_data[[#This Row],[Product Cost]]*Cleaned_data[[#This Row],[Quantity]]</f>
        <v>162</v>
      </c>
      <c r="AE8" s="10">
        <f>Cleaned_data[[#This Row],[Net Sales]]-Cleaned_data[[#This Row],[COGS]]</f>
        <v>168.56229999999999</v>
      </c>
      <c r="AF8" s="11">
        <f>Cleaned_data[[#This Row],[Gross Profit]]/Cleaned_data[[#This Row],[Net Sales]]</f>
        <v>0.50992596554416514</v>
      </c>
      <c r="AG8">
        <f>Cleaned_data[[#This Row],[Ship_Date]]-Cleaned_data[[#This Row],[Order_Date]]</f>
        <v>3</v>
      </c>
      <c r="AH8" t="str">
        <f>IF(Cleaned_data[[#This Row],[Delivery Days]]&gt;10,"late","on time")</f>
        <v>on time</v>
      </c>
      <c r="AI8" t="str">
        <f>TEXT(Cleaned_data[[#This Row],[Order_Date]],"mmmm")</f>
        <v>January</v>
      </c>
      <c r="AJ8" s="9" t="str">
        <f>"Q"&amp;ROUNDUP(MONTH(Cleaned_data[[#This Row],[Order_Date]])/3,0)</f>
        <v>Q1</v>
      </c>
    </row>
    <row r="9" spans="1:36">
      <c r="A9" t="s">
        <v>144</v>
      </c>
      <c r="B9" s="9">
        <v>45301</v>
      </c>
      <c r="C9" s="9">
        <v>45303</v>
      </c>
      <c r="D9" t="s">
        <v>145</v>
      </c>
      <c r="E9" t="s">
        <v>146</v>
      </c>
      <c r="F9" t="s">
        <v>74</v>
      </c>
      <c r="G9" t="s">
        <v>75</v>
      </c>
      <c r="H9" t="s">
        <v>116</v>
      </c>
      <c r="I9" t="s">
        <v>117</v>
      </c>
      <c r="J9" t="s">
        <v>109</v>
      </c>
      <c r="K9" t="s">
        <v>147</v>
      </c>
      <c r="L9" t="s">
        <v>80</v>
      </c>
      <c r="M9" t="s">
        <v>81</v>
      </c>
      <c r="N9" t="s">
        <v>82</v>
      </c>
      <c r="O9" t="s">
        <v>83</v>
      </c>
      <c r="P9" s="8">
        <v>10</v>
      </c>
      <c r="Q9" s="10">
        <v>246.67</v>
      </c>
      <c r="R9" s="11">
        <v>0.21</v>
      </c>
      <c r="S9" s="10">
        <v>16.760000000000002</v>
      </c>
      <c r="T9" t="s">
        <v>122</v>
      </c>
      <c r="U9" t="s">
        <v>148</v>
      </c>
      <c r="V9" s="8">
        <v>1</v>
      </c>
      <c r="W9" t="s">
        <v>1270</v>
      </c>
      <c r="X9" t="str">
        <f>_xlfn.XLOOKUP(Cleaned_data[[#This Row],[Customer_ID]],Customers[S],Customers[Loyalty_Tier])</f>
        <v>Platinum</v>
      </c>
      <c r="Y9" s="9">
        <f>_xlfn.XLOOKUP(Cleaned_data[[#This Row],[Customer_ID]],Customers[S],Customers[Signup_Date])</f>
        <v>44668</v>
      </c>
      <c r="Z9" s="12">
        <f>_xlfn.XLOOKUP(Cleaned_data[[#This Row],[SKU]],Products[SKU],Products[Standard_Cost])</f>
        <v>125</v>
      </c>
      <c r="AA9" s="10">
        <f>Cleaned_data[[#This Row],[Quantity]]*Cleaned_data[[#This Row],[Unit_Price]]</f>
        <v>2466.6999999999998</v>
      </c>
      <c r="AB9" s="10">
        <f>Cleaned_data[[#This Row],[Unit_Price]]*Cleaned_data[[#This Row],[Discount_Pct]]</f>
        <v>51.800699999999992</v>
      </c>
      <c r="AC9" s="10">
        <f>Cleaned_data[[#This Row],[Gross Sales]]-Cleaned_data[[#This Row],[Discount amount]]</f>
        <v>2414.8993</v>
      </c>
      <c r="AD9" s="10">
        <f>Cleaned_data[[#This Row],[Product Cost]]*Cleaned_data[[#This Row],[Quantity]]</f>
        <v>1250</v>
      </c>
      <c r="AE9" s="10">
        <f>Cleaned_data[[#This Row],[Net Sales]]-Cleaned_data[[#This Row],[COGS]]</f>
        <v>1164.8993</v>
      </c>
      <c r="AF9" s="11">
        <f>Cleaned_data[[#This Row],[Gross Profit]]/Cleaned_data[[#This Row],[Net Sales]]</f>
        <v>0.48238007274257771</v>
      </c>
      <c r="AG9">
        <f>Cleaned_data[[#This Row],[Ship_Date]]-Cleaned_data[[#This Row],[Order_Date]]</f>
        <v>2</v>
      </c>
      <c r="AH9" t="str">
        <f>IF(Cleaned_data[[#This Row],[Delivery Days]]&gt;10,"late","on time")</f>
        <v>on time</v>
      </c>
      <c r="AI9" t="str">
        <f>TEXT(Cleaned_data[[#This Row],[Order_Date]],"mmmm")</f>
        <v>January</v>
      </c>
      <c r="AJ9" s="9" t="str">
        <f>"Q"&amp;ROUNDUP(MONTH(Cleaned_data[[#This Row],[Order_Date]])/3,0)</f>
        <v>Q1</v>
      </c>
    </row>
    <row r="10" spans="1:36">
      <c r="A10" t="s">
        <v>149</v>
      </c>
      <c r="B10" s="9">
        <v>45301</v>
      </c>
      <c r="C10" s="9">
        <v>45308</v>
      </c>
      <c r="D10" t="s">
        <v>150</v>
      </c>
      <c r="E10" t="s">
        <v>151</v>
      </c>
      <c r="F10" t="s">
        <v>152</v>
      </c>
      <c r="G10" t="s">
        <v>138</v>
      </c>
      <c r="H10" t="s">
        <v>153</v>
      </c>
      <c r="I10" t="s">
        <v>154</v>
      </c>
      <c r="J10" t="s">
        <v>129</v>
      </c>
      <c r="K10" t="s">
        <v>79</v>
      </c>
      <c r="L10" t="s">
        <v>155</v>
      </c>
      <c r="M10" t="s">
        <v>156</v>
      </c>
      <c r="N10" t="s">
        <v>82</v>
      </c>
      <c r="O10" t="s">
        <v>112</v>
      </c>
      <c r="P10" s="8">
        <v>8</v>
      </c>
      <c r="Q10" s="10">
        <v>164.77</v>
      </c>
      <c r="R10" s="11">
        <v>0.12</v>
      </c>
      <c r="S10" s="10">
        <v>16.670000000000002</v>
      </c>
      <c r="T10" t="s">
        <v>134</v>
      </c>
      <c r="U10" t="s">
        <v>85</v>
      </c>
      <c r="V10" s="8">
        <v>3</v>
      </c>
      <c r="W10" t="s">
        <v>1270</v>
      </c>
      <c r="X10" t="str">
        <f>_xlfn.XLOOKUP(Cleaned_data[[#This Row],[Customer_ID]],Customers[S],Customers[Loyalty_Tier])</f>
        <v>Platinum</v>
      </c>
      <c r="Y10" s="9">
        <f>_xlfn.XLOOKUP(Cleaned_data[[#This Row],[Customer_ID]],Customers[S],Customers[Signup_Date])</f>
        <v>45858</v>
      </c>
      <c r="Z10" s="12">
        <f>_xlfn.XLOOKUP(Cleaned_data[[#This Row],[SKU]],Products[SKU],Products[Standard_Cost])</f>
        <v>82</v>
      </c>
      <c r="AA10" s="10">
        <f>Cleaned_data[[#This Row],[Quantity]]*Cleaned_data[[#This Row],[Unit_Price]]</f>
        <v>1318.16</v>
      </c>
      <c r="AB10" s="10">
        <f>Cleaned_data[[#This Row],[Unit_Price]]*Cleaned_data[[#This Row],[Discount_Pct]]</f>
        <v>19.772400000000001</v>
      </c>
      <c r="AC10" s="10">
        <f>Cleaned_data[[#This Row],[Gross Sales]]-Cleaned_data[[#This Row],[Discount amount]]</f>
        <v>1298.3876</v>
      </c>
      <c r="AD10" s="10">
        <f>Cleaned_data[[#This Row],[Product Cost]]*Cleaned_data[[#This Row],[Quantity]]</f>
        <v>656</v>
      </c>
      <c r="AE10" s="10">
        <f>Cleaned_data[[#This Row],[Net Sales]]-Cleaned_data[[#This Row],[COGS]]</f>
        <v>642.38760000000002</v>
      </c>
      <c r="AF10" s="11">
        <f>Cleaned_data[[#This Row],[Gross Profit]]/Cleaned_data[[#This Row],[Net Sales]]</f>
        <v>0.49475795979567272</v>
      </c>
      <c r="AG10">
        <f>Cleaned_data[[#This Row],[Ship_Date]]-Cleaned_data[[#This Row],[Order_Date]]</f>
        <v>7</v>
      </c>
      <c r="AH10" t="str">
        <f>IF(Cleaned_data[[#This Row],[Delivery Days]]&gt;10,"late","on time")</f>
        <v>on time</v>
      </c>
      <c r="AI10" t="str">
        <f>TEXT(Cleaned_data[[#This Row],[Order_Date]],"mmmm")</f>
        <v>January</v>
      </c>
      <c r="AJ10" s="9" t="str">
        <f>"Q"&amp;ROUNDUP(MONTH(Cleaned_data[[#This Row],[Order_Date]])/3,0)</f>
        <v>Q1</v>
      </c>
    </row>
    <row r="11" spans="1:36">
      <c r="A11" t="s">
        <v>157</v>
      </c>
      <c r="B11" s="9">
        <v>45302</v>
      </c>
      <c r="C11" s="9">
        <v>45309</v>
      </c>
      <c r="D11" t="s">
        <v>158</v>
      </c>
      <c r="E11" t="s">
        <v>159</v>
      </c>
      <c r="F11" t="s">
        <v>89</v>
      </c>
      <c r="G11" t="s">
        <v>126</v>
      </c>
      <c r="H11" t="s">
        <v>160</v>
      </c>
      <c r="I11" t="s">
        <v>161</v>
      </c>
      <c r="J11" t="s">
        <v>109</v>
      </c>
      <c r="K11" t="s">
        <v>100</v>
      </c>
      <c r="L11" t="s">
        <v>162</v>
      </c>
      <c r="M11" t="s">
        <v>163</v>
      </c>
      <c r="N11" t="s">
        <v>120</v>
      </c>
      <c r="O11" t="s">
        <v>164</v>
      </c>
      <c r="P11" s="8">
        <v>3</v>
      </c>
      <c r="Q11" s="10">
        <v>876.03</v>
      </c>
      <c r="R11" s="11">
        <v>0</v>
      </c>
      <c r="S11" s="10">
        <v>12.08</v>
      </c>
      <c r="T11" t="s">
        <v>84</v>
      </c>
      <c r="U11" t="s">
        <v>85</v>
      </c>
      <c r="V11" s="8">
        <v>3</v>
      </c>
      <c r="W11" t="s">
        <v>1270</v>
      </c>
      <c r="X11" t="str">
        <f>_xlfn.XLOOKUP(Cleaned_data[[#This Row],[Customer_ID]],Customers[S],Customers[Loyalty_Tier])</f>
        <v>Silver</v>
      </c>
      <c r="Y11" s="9">
        <f>_xlfn.XLOOKUP(Cleaned_data[[#This Row],[Customer_ID]],Customers[S],Customers[Signup_Date])</f>
        <v>44476</v>
      </c>
      <c r="Z11" s="12">
        <f>_xlfn.XLOOKUP(Cleaned_data[[#This Row],[SKU]],Products[SKU],Products[Standard_Cost])</f>
        <v>585</v>
      </c>
      <c r="AA11" s="10">
        <f>Cleaned_data[[#This Row],[Quantity]]*Cleaned_data[[#This Row],[Unit_Price]]</f>
        <v>2628.09</v>
      </c>
      <c r="AB11" s="10">
        <f>Cleaned_data[[#This Row],[Unit_Price]]*Cleaned_data[[#This Row],[Discount_Pct]]</f>
        <v>0</v>
      </c>
      <c r="AC11" s="10">
        <f>Cleaned_data[[#This Row],[Gross Sales]]-Cleaned_data[[#This Row],[Discount amount]]</f>
        <v>2628.09</v>
      </c>
      <c r="AD11" s="10">
        <f>Cleaned_data[[#This Row],[Product Cost]]*Cleaned_data[[#This Row],[Quantity]]</f>
        <v>1755</v>
      </c>
      <c r="AE11" s="10">
        <f>Cleaned_data[[#This Row],[Net Sales]]-Cleaned_data[[#This Row],[COGS]]</f>
        <v>873.09000000000015</v>
      </c>
      <c r="AF11" s="11">
        <f>Cleaned_data[[#This Row],[Gross Profit]]/Cleaned_data[[#This Row],[Net Sales]]</f>
        <v>0.33221465018321295</v>
      </c>
      <c r="AG11">
        <f>Cleaned_data[[#This Row],[Ship_Date]]-Cleaned_data[[#This Row],[Order_Date]]</f>
        <v>7</v>
      </c>
      <c r="AH11" t="str">
        <f>IF(Cleaned_data[[#This Row],[Delivery Days]]&gt;10,"late","on time")</f>
        <v>on time</v>
      </c>
      <c r="AI11" t="str">
        <f>TEXT(Cleaned_data[[#This Row],[Order_Date]],"mmmm")</f>
        <v>January</v>
      </c>
      <c r="AJ11" s="9" t="str">
        <f>"Q"&amp;ROUNDUP(MONTH(Cleaned_data[[#This Row],[Order_Date]])/3,0)</f>
        <v>Q1</v>
      </c>
    </row>
    <row r="12" spans="1:36">
      <c r="A12" t="s">
        <v>165</v>
      </c>
      <c r="B12" s="9">
        <v>45302</v>
      </c>
      <c r="C12" s="9">
        <v>45305</v>
      </c>
      <c r="D12" t="s">
        <v>166</v>
      </c>
      <c r="E12" t="s">
        <v>167</v>
      </c>
      <c r="F12" t="s">
        <v>74</v>
      </c>
      <c r="G12" t="s">
        <v>75</v>
      </c>
      <c r="H12" t="s">
        <v>116</v>
      </c>
      <c r="I12" t="s">
        <v>117</v>
      </c>
      <c r="J12" t="s">
        <v>129</v>
      </c>
      <c r="K12" t="s">
        <v>168</v>
      </c>
      <c r="L12" t="s">
        <v>169</v>
      </c>
      <c r="M12" t="s">
        <v>170</v>
      </c>
      <c r="N12" t="s">
        <v>103</v>
      </c>
      <c r="O12" t="s">
        <v>171</v>
      </c>
      <c r="P12" s="8">
        <v>10</v>
      </c>
      <c r="Q12" s="10">
        <v>15.53</v>
      </c>
      <c r="R12" s="11">
        <v>0.1</v>
      </c>
      <c r="S12" s="10">
        <v>10.77</v>
      </c>
      <c r="T12" t="s">
        <v>105</v>
      </c>
      <c r="U12" t="s">
        <v>85</v>
      </c>
      <c r="V12" s="8">
        <v>3</v>
      </c>
      <c r="W12" t="s">
        <v>1270</v>
      </c>
      <c r="X12" t="str">
        <f>_xlfn.XLOOKUP(Cleaned_data[[#This Row],[Customer_ID]],Customers[S],Customers[Loyalty_Tier])</f>
        <v>Platinum</v>
      </c>
      <c r="Y12" s="9">
        <f>_xlfn.XLOOKUP(Cleaned_data[[#This Row],[Customer_ID]],Customers[S],Customers[Signup_Date])</f>
        <v>46013</v>
      </c>
      <c r="Z12" s="12">
        <f>_xlfn.XLOOKUP(Cleaned_data[[#This Row],[SKU]],Products[SKU],Products[Standard_Cost])</f>
        <v>6</v>
      </c>
      <c r="AA12" s="10">
        <f>Cleaned_data[[#This Row],[Quantity]]*Cleaned_data[[#This Row],[Unit_Price]]</f>
        <v>155.29999999999998</v>
      </c>
      <c r="AB12" s="10">
        <f>Cleaned_data[[#This Row],[Unit_Price]]*Cleaned_data[[#This Row],[Discount_Pct]]</f>
        <v>1.5529999999999999</v>
      </c>
      <c r="AC12" s="10">
        <f>Cleaned_data[[#This Row],[Gross Sales]]-Cleaned_data[[#This Row],[Discount amount]]</f>
        <v>153.74699999999999</v>
      </c>
      <c r="AD12" s="10">
        <f>Cleaned_data[[#This Row],[Product Cost]]*Cleaned_data[[#This Row],[Quantity]]</f>
        <v>60</v>
      </c>
      <c r="AE12" s="10">
        <f>Cleaned_data[[#This Row],[Net Sales]]-Cleaned_data[[#This Row],[COGS]]</f>
        <v>93.746999999999986</v>
      </c>
      <c r="AF12" s="11">
        <f>Cleaned_data[[#This Row],[Gross Profit]]/Cleaned_data[[#This Row],[Net Sales]]</f>
        <v>0.60974848289722727</v>
      </c>
      <c r="AG12">
        <f>Cleaned_data[[#This Row],[Ship_Date]]-Cleaned_data[[#This Row],[Order_Date]]</f>
        <v>3</v>
      </c>
      <c r="AH12" t="str">
        <f>IF(Cleaned_data[[#This Row],[Delivery Days]]&gt;10,"late","on time")</f>
        <v>on time</v>
      </c>
      <c r="AI12" t="str">
        <f>TEXT(Cleaned_data[[#This Row],[Order_Date]],"mmmm")</f>
        <v>January</v>
      </c>
      <c r="AJ12" s="9" t="str">
        <f>"Q"&amp;ROUNDUP(MONTH(Cleaned_data[[#This Row],[Order_Date]])/3,0)</f>
        <v>Q1</v>
      </c>
    </row>
    <row r="13" spans="1:36">
      <c r="A13" t="s">
        <v>172</v>
      </c>
      <c r="B13" s="9">
        <v>45303</v>
      </c>
      <c r="C13" s="9">
        <v>45310</v>
      </c>
      <c r="D13" t="s">
        <v>173</v>
      </c>
      <c r="E13" t="s">
        <v>174</v>
      </c>
      <c r="F13" t="s">
        <v>89</v>
      </c>
      <c r="G13" t="s">
        <v>126</v>
      </c>
      <c r="H13" t="s">
        <v>127</v>
      </c>
      <c r="I13" t="s">
        <v>128</v>
      </c>
      <c r="J13" t="s">
        <v>78</v>
      </c>
      <c r="K13" t="s">
        <v>90</v>
      </c>
      <c r="L13" t="s">
        <v>175</v>
      </c>
      <c r="M13" t="s">
        <v>176</v>
      </c>
      <c r="N13" t="s">
        <v>93</v>
      </c>
      <c r="O13" t="s">
        <v>177</v>
      </c>
      <c r="P13" s="8">
        <v>3</v>
      </c>
      <c r="Q13" s="10">
        <v>178.71</v>
      </c>
      <c r="R13" s="11">
        <v>0.19</v>
      </c>
      <c r="S13" s="10">
        <v>28.13</v>
      </c>
      <c r="T13" t="s">
        <v>134</v>
      </c>
      <c r="U13" t="s">
        <v>85</v>
      </c>
      <c r="V13" s="8">
        <v>5</v>
      </c>
      <c r="W13" t="s">
        <v>1270</v>
      </c>
      <c r="X13" t="str">
        <f>_xlfn.XLOOKUP(Cleaned_data[[#This Row],[Customer_ID]],Customers[S],Customers[Loyalty_Tier])</f>
        <v>Gold</v>
      </c>
      <c r="Y13" s="9">
        <f>_xlfn.XLOOKUP(Cleaned_data[[#This Row],[Customer_ID]],Customers[S],Customers[Signup_Date])</f>
        <v>44543</v>
      </c>
      <c r="Z13" s="12">
        <f>_xlfn.XLOOKUP(Cleaned_data[[#This Row],[SKU]],Products[SKU],Products[Standard_Cost])</f>
        <v>88</v>
      </c>
      <c r="AA13" s="10">
        <f>Cleaned_data[[#This Row],[Quantity]]*Cleaned_data[[#This Row],[Unit_Price]]</f>
        <v>536.13</v>
      </c>
      <c r="AB13" s="10">
        <f>Cleaned_data[[#This Row],[Unit_Price]]*Cleaned_data[[#This Row],[Discount_Pct]]</f>
        <v>33.954900000000002</v>
      </c>
      <c r="AC13" s="10">
        <f>Cleaned_data[[#This Row],[Gross Sales]]-Cleaned_data[[#This Row],[Discount amount]]</f>
        <v>502.17509999999999</v>
      </c>
      <c r="AD13" s="10">
        <f>Cleaned_data[[#This Row],[Product Cost]]*Cleaned_data[[#This Row],[Quantity]]</f>
        <v>264</v>
      </c>
      <c r="AE13" s="10">
        <f>Cleaned_data[[#This Row],[Net Sales]]-Cleaned_data[[#This Row],[COGS]]</f>
        <v>238.17509999999999</v>
      </c>
      <c r="AF13" s="11">
        <f>Cleaned_data[[#This Row],[Gross Profit]]/Cleaned_data[[#This Row],[Net Sales]]</f>
        <v>0.4742869568801798</v>
      </c>
      <c r="AG13">
        <f>Cleaned_data[[#This Row],[Ship_Date]]-Cleaned_data[[#This Row],[Order_Date]]</f>
        <v>7</v>
      </c>
      <c r="AH13" t="str">
        <f>IF(Cleaned_data[[#This Row],[Delivery Days]]&gt;10,"late","on time")</f>
        <v>on time</v>
      </c>
      <c r="AI13" t="str">
        <f>TEXT(Cleaned_data[[#This Row],[Order_Date]],"mmmm")</f>
        <v>January</v>
      </c>
      <c r="AJ13" s="9" t="str">
        <f>"Q"&amp;ROUNDUP(MONTH(Cleaned_data[[#This Row],[Order_Date]])/3,0)</f>
        <v>Q1</v>
      </c>
    </row>
    <row r="14" spans="1:36">
      <c r="A14" t="s">
        <v>178</v>
      </c>
      <c r="B14" s="9">
        <v>45305</v>
      </c>
      <c r="C14" s="9">
        <v>45307</v>
      </c>
      <c r="D14" t="s">
        <v>145</v>
      </c>
      <c r="E14" t="s">
        <v>146</v>
      </c>
      <c r="F14" t="s">
        <v>74</v>
      </c>
      <c r="G14" t="s">
        <v>75</v>
      </c>
      <c r="H14" t="s">
        <v>116</v>
      </c>
      <c r="I14" t="s">
        <v>117</v>
      </c>
      <c r="J14" t="s">
        <v>129</v>
      </c>
      <c r="K14" t="s">
        <v>147</v>
      </c>
      <c r="L14" t="s">
        <v>80</v>
      </c>
      <c r="M14" t="s">
        <v>81</v>
      </c>
      <c r="N14" t="s">
        <v>82</v>
      </c>
      <c r="O14" t="s">
        <v>83</v>
      </c>
      <c r="P14" s="8">
        <v>9</v>
      </c>
      <c r="Q14" s="10">
        <v>233.25</v>
      </c>
      <c r="R14" s="11">
        <v>0.09</v>
      </c>
      <c r="S14" s="10">
        <v>11.73</v>
      </c>
      <c r="T14" t="s">
        <v>105</v>
      </c>
      <c r="U14" t="s">
        <v>85</v>
      </c>
      <c r="V14" s="8">
        <v>4</v>
      </c>
      <c r="W14" t="s">
        <v>1270</v>
      </c>
      <c r="X14" t="str">
        <f>_xlfn.XLOOKUP(Cleaned_data[[#This Row],[Customer_ID]],Customers[S],Customers[Loyalty_Tier])</f>
        <v>Platinum</v>
      </c>
      <c r="Y14" s="9">
        <f>_xlfn.XLOOKUP(Cleaned_data[[#This Row],[Customer_ID]],Customers[S],Customers[Signup_Date])</f>
        <v>44668</v>
      </c>
      <c r="Z14" s="12">
        <f>_xlfn.XLOOKUP(Cleaned_data[[#This Row],[SKU]],Products[SKU],Products[Standard_Cost])</f>
        <v>125</v>
      </c>
      <c r="AA14" s="10">
        <f>Cleaned_data[[#This Row],[Quantity]]*Cleaned_data[[#This Row],[Unit_Price]]</f>
        <v>2099.25</v>
      </c>
      <c r="AB14" s="10">
        <f>Cleaned_data[[#This Row],[Unit_Price]]*Cleaned_data[[#This Row],[Discount_Pct]]</f>
        <v>20.9925</v>
      </c>
      <c r="AC14" s="10">
        <f>Cleaned_data[[#This Row],[Gross Sales]]-Cleaned_data[[#This Row],[Discount amount]]</f>
        <v>2078.2575000000002</v>
      </c>
      <c r="AD14" s="10">
        <f>Cleaned_data[[#This Row],[Product Cost]]*Cleaned_data[[#This Row],[Quantity]]</f>
        <v>1125</v>
      </c>
      <c r="AE14" s="10">
        <f>Cleaned_data[[#This Row],[Net Sales]]-Cleaned_data[[#This Row],[COGS]]</f>
        <v>953.25750000000016</v>
      </c>
      <c r="AF14" s="11">
        <f>Cleaned_data[[#This Row],[Gross Profit]]/Cleaned_data[[#This Row],[Net Sales]]</f>
        <v>0.45868113070685423</v>
      </c>
      <c r="AG14">
        <f>Cleaned_data[[#This Row],[Ship_Date]]-Cleaned_data[[#This Row],[Order_Date]]</f>
        <v>2</v>
      </c>
      <c r="AH14" t="str">
        <f>IF(Cleaned_data[[#This Row],[Delivery Days]]&gt;10,"late","on time")</f>
        <v>on time</v>
      </c>
      <c r="AI14" t="str">
        <f>TEXT(Cleaned_data[[#This Row],[Order_Date]],"mmmm")</f>
        <v>January</v>
      </c>
      <c r="AJ14" s="9" t="str">
        <f>"Q"&amp;ROUNDUP(MONTH(Cleaned_data[[#This Row],[Order_Date]])/3,0)</f>
        <v>Q1</v>
      </c>
    </row>
    <row r="15" spans="1:36">
      <c r="A15" t="s">
        <v>179</v>
      </c>
      <c r="B15" s="9">
        <v>45306</v>
      </c>
      <c r="C15" s="9">
        <v>45310</v>
      </c>
      <c r="D15" t="s">
        <v>180</v>
      </c>
      <c r="E15" t="s">
        <v>181</v>
      </c>
      <c r="F15" t="s">
        <v>74</v>
      </c>
      <c r="G15" t="s">
        <v>126</v>
      </c>
      <c r="H15" t="s">
        <v>160</v>
      </c>
      <c r="I15" t="s">
        <v>182</v>
      </c>
      <c r="J15" t="s">
        <v>78</v>
      </c>
      <c r="K15" t="s">
        <v>147</v>
      </c>
      <c r="L15" t="s">
        <v>101</v>
      </c>
      <c r="M15" t="s">
        <v>102</v>
      </c>
      <c r="N15" t="s">
        <v>103</v>
      </c>
      <c r="O15" t="s">
        <v>104</v>
      </c>
      <c r="P15" s="8">
        <v>7</v>
      </c>
      <c r="Q15" s="10">
        <v>71.64</v>
      </c>
      <c r="R15" s="11">
        <v>0.11</v>
      </c>
      <c r="S15" s="10">
        <v>8.27</v>
      </c>
      <c r="T15" t="s">
        <v>122</v>
      </c>
      <c r="U15" t="s">
        <v>85</v>
      </c>
      <c r="V15" s="8">
        <v>2</v>
      </c>
      <c r="W15" t="s">
        <v>1270</v>
      </c>
      <c r="X15" t="str">
        <f>_xlfn.XLOOKUP(Cleaned_data[[#This Row],[Customer_ID]],Customers[S],Customers[Loyalty_Tier])</f>
        <v>Gold</v>
      </c>
      <c r="Y15" s="9">
        <f>_xlfn.XLOOKUP(Cleaned_data[[#This Row],[Customer_ID]],Customers[S],Customers[Signup_Date])</f>
        <v>45931</v>
      </c>
      <c r="Z15" s="12">
        <f>_xlfn.XLOOKUP(Cleaned_data[[#This Row],[SKU]],Products[SKU],Products[Standard_Cost])</f>
        <v>36</v>
      </c>
      <c r="AA15" s="10">
        <f>Cleaned_data[[#This Row],[Quantity]]*Cleaned_data[[#This Row],[Unit_Price]]</f>
        <v>501.48</v>
      </c>
      <c r="AB15" s="10">
        <f>Cleaned_data[[#This Row],[Unit_Price]]*Cleaned_data[[#This Row],[Discount_Pct]]</f>
        <v>7.8803999999999998</v>
      </c>
      <c r="AC15" s="10">
        <f>Cleaned_data[[#This Row],[Gross Sales]]-Cleaned_data[[#This Row],[Discount amount]]</f>
        <v>493.59960000000001</v>
      </c>
      <c r="AD15" s="10">
        <f>Cleaned_data[[#This Row],[Product Cost]]*Cleaned_data[[#This Row],[Quantity]]</f>
        <v>252</v>
      </c>
      <c r="AE15" s="10">
        <f>Cleaned_data[[#This Row],[Net Sales]]-Cleaned_data[[#This Row],[COGS]]</f>
        <v>241.59960000000001</v>
      </c>
      <c r="AF15" s="11">
        <f>Cleaned_data[[#This Row],[Gross Profit]]/Cleaned_data[[#This Row],[Net Sales]]</f>
        <v>0.48946474024695319</v>
      </c>
      <c r="AG15">
        <f>Cleaned_data[[#This Row],[Ship_Date]]-Cleaned_data[[#This Row],[Order_Date]]</f>
        <v>4</v>
      </c>
      <c r="AH15" t="str">
        <f>IF(Cleaned_data[[#This Row],[Delivery Days]]&gt;10,"late","on time")</f>
        <v>on time</v>
      </c>
      <c r="AI15" t="str">
        <f>TEXT(Cleaned_data[[#This Row],[Order_Date]],"mmmm")</f>
        <v>January</v>
      </c>
      <c r="AJ15" s="9" t="str">
        <f>"Q"&amp;ROUNDUP(MONTH(Cleaned_data[[#This Row],[Order_Date]])/3,0)</f>
        <v>Q1</v>
      </c>
    </row>
    <row r="16" spans="1:36">
      <c r="A16" t="s">
        <v>183</v>
      </c>
      <c r="B16" s="9">
        <v>45308</v>
      </c>
      <c r="C16" s="9">
        <v>45316</v>
      </c>
      <c r="D16" t="s">
        <v>184</v>
      </c>
      <c r="E16" t="s">
        <v>185</v>
      </c>
      <c r="F16" t="s">
        <v>74</v>
      </c>
      <c r="G16" t="s">
        <v>138</v>
      </c>
      <c r="H16" t="s">
        <v>186</v>
      </c>
      <c r="I16" t="s">
        <v>187</v>
      </c>
      <c r="J16" t="s">
        <v>78</v>
      </c>
      <c r="K16" t="s">
        <v>100</v>
      </c>
      <c r="L16" t="s">
        <v>188</v>
      </c>
      <c r="M16" t="s">
        <v>189</v>
      </c>
      <c r="N16" t="s">
        <v>120</v>
      </c>
      <c r="O16" t="s">
        <v>190</v>
      </c>
      <c r="P16" s="8">
        <v>4</v>
      </c>
      <c r="Q16" s="10">
        <v>56.41</v>
      </c>
      <c r="R16" s="11">
        <v>0.1</v>
      </c>
      <c r="S16" s="10">
        <v>21.22</v>
      </c>
      <c r="T16" t="s">
        <v>122</v>
      </c>
      <c r="U16" t="s">
        <v>85</v>
      </c>
      <c r="V16" s="8">
        <v>5</v>
      </c>
      <c r="W16" t="s">
        <v>1270</v>
      </c>
      <c r="X16" t="str">
        <f>_xlfn.XLOOKUP(Cleaned_data[[#This Row],[Customer_ID]],Customers[S],Customers[Loyalty_Tier])</f>
        <v>Platinum</v>
      </c>
      <c r="Y16" s="9">
        <f>_xlfn.XLOOKUP(Cleaned_data[[#This Row],[Customer_ID]],Customers[S],Customers[Signup_Date])</f>
        <v>46013</v>
      </c>
      <c r="Z16" s="12">
        <f>_xlfn.XLOOKUP(Cleaned_data[[#This Row],[SKU]],Products[SKU],Products[Standard_Cost])</f>
        <v>28</v>
      </c>
      <c r="AA16" s="10">
        <f>Cleaned_data[[#This Row],[Quantity]]*Cleaned_data[[#This Row],[Unit_Price]]</f>
        <v>225.64</v>
      </c>
      <c r="AB16" s="10">
        <f>Cleaned_data[[#This Row],[Unit_Price]]*Cleaned_data[[#This Row],[Discount_Pct]]</f>
        <v>5.641</v>
      </c>
      <c r="AC16" s="10">
        <f>Cleaned_data[[#This Row],[Gross Sales]]-Cleaned_data[[#This Row],[Discount amount]]</f>
        <v>219.999</v>
      </c>
      <c r="AD16" s="10">
        <f>Cleaned_data[[#This Row],[Product Cost]]*Cleaned_data[[#This Row],[Quantity]]</f>
        <v>112</v>
      </c>
      <c r="AE16" s="10">
        <f>Cleaned_data[[#This Row],[Net Sales]]-Cleaned_data[[#This Row],[COGS]]</f>
        <v>107.999</v>
      </c>
      <c r="AF16" s="11">
        <f>Cleaned_data[[#This Row],[Gross Profit]]/Cleaned_data[[#This Row],[Net Sales]]</f>
        <v>0.49090677684898565</v>
      </c>
      <c r="AG16">
        <f>Cleaned_data[[#This Row],[Ship_Date]]-Cleaned_data[[#This Row],[Order_Date]]</f>
        <v>8</v>
      </c>
      <c r="AH16" t="str">
        <f>IF(Cleaned_data[[#This Row],[Delivery Days]]&gt;10,"late","on time")</f>
        <v>on time</v>
      </c>
      <c r="AI16" t="str">
        <f>TEXT(Cleaned_data[[#This Row],[Order_Date]],"mmmm")</f>
        <v>January</v>
      </c>
      <c r="AJ16" s="9" t="str">
        <f>"Q"&amp;ROUNDUP(MONTH(Cleaned_data[[#This Row],[Order_Date]])/3,0)</f>
        <v>Q1</v>
      </c>
    </row>
    <row r="17" spans="1:36">
      <c r="A17" t="s">
        <v>191</v>
      </c>
      <c r="B17" s="9">
        <v>45308</v>
      </c>
      <c r="C17" s="9">
        <v>45316</v>
      </c>
      <c r="D17" t="s">
        <v>192</v>
      </c>
      <c r="E17" t="s">
        <v>193</v>
      </c>
      <c r="F17" t="s">
        <v>89</v>
      </c>
      <c r="G17" t="s">
        <v>194</v>
      </c>
      <c r="H17" t="s">
        <v>195</v>
      </c>
      <c r="I17" t="s">
        <v>196</v>
      </c>
      <c r="J17" t="s">
        <v>78</v>
      </c>
      <c r="K17" t="s">
        <v>168</v>
      </c>
      <c r="L17" t="s">
        <v>197</v>
      </c>
      <c r="M17" t="s">
        <v>198</v>
      </c>
      <c r="N17" t="s">
        <v>120</v>
      </c>
      <c r="O17" t="s">
        <v>121</v>
      </c>
      <c r="P17" s="8">
        <v>3</v>
      </c>
      <c r="Q17" s="10">
        <v>522.48</v>
      </c>
      <c r="R17" s="11">
        <v>0.11</v>
      </c>
      <c r="S17" s="10">
        <v>7.39</v>
      </c>
      <c r="T17" t="s">
        <v>84</v>
      </c>
      <c r="U17" t="s">
        <v>85</v>
      </c>
      <c r="V17" s="8">
        <v>1</v>
      </c>
      <c r="W17" t="s">
        <v>1270</v>
      </c>
      <c r="X17" t="str">
        <f>_xlfn.XLOOKUP(Cleaned_data[[#This Row],[Customer_ID]],Customers[S],Customers[Loyalty_Tier])</f>
        <v>Bronze</v>
      </c>
      <c r="Y17" s="9">
        <f>_xlfn.XLOOKUP(Cleaned_data[[#This Row],[Customer_ID]],Customers[S],Customers[Signup_Date])</f>
        <v>44447</v>
      </c>
      <c r="Z17" s="12">
        <f>_xlfn.XLOOKUP(Cleaned_data[[#This Row],[SKU]],Products[SKU],Products[Standard_Cost])</f>
        <v>310</v>
      </c>
      <c r="AA17" s="10">
        <f>Cleaned_data[[#This Row],[Quantity]]*Cleaned_data[[#This Row],[Unit_Price]]</f>
        <v>1567.44</v>
      </c>
      <c r="AB17" s="10">
        <f>Cleaned_data[[#This Row],[Unit_Price]]*Cleaned_data[[#This Row],[Discount_Pct]]</f>
        <v>57.472799999999999</v>
      </c>
      <c r="AC17" s="10">
        <f>Cleaned_data[[#This Row],[Gross Sales]]-Cleaned_data[[#This Row],[Discount amount]]</f>
        <v>1509.9672</v>
      </c>
      <c r="AD17" s="10">
        <f>Cleaned_data[[#This Row],[Product Cost]]*Cleaned_data[[#This Row],[Quantity]]</f>
        <v>930</v>
      </c>
      <c r="AE17" s="10">
        <f>Cleaned_data[[#This Row],[Net Sales]]-Cleaned_data[[#This Row],[COGS]]</f>
        <v>579.96720000000005</v>
      </c>
      <c r="AF17" s="11">
        <f>Cleaned_data[[#This Row],[Gross Profit]]/Cleaned_data[[#This Row],[Net Sales]]</f>
        <v>0.38409258161369336</v>
      </c>
      <c r="AG17">
        <f>Cleaned_data[[#This Row],[Ship_Date]]-Cleaned_data[[#This Row],[Order_Date]]</f>
        <v>8</v>
      </c>
      <c r="AH17" t="str">
        <f>IF(Cleaned_data[[#This Row],[Delivery Days]]&gt;10,"late","on time")</f>
        <v>on time</v>
      </c>
      <c r="AI17" t="str">
        <f>TEXT(Cleaned_data[[#This Row],[Order_Date]],"mmmm")</f>
        <v>January</v>
      </c>
      <c r="AJ17" s="9" t="str">
        <f>"Q"&amp;ROUNDUP(MONTH(Cleaned_data[[#This Row],[Order_Date]])/3,0)</f>
        <v>Q1</v>
      </c>
    </row>
    <row r="18" spans="1:36">
      <c r="A18" t="s">
        <v>199</v>
      </c>
      <c r="B18" s="9">
        <v>45309</v>
      </c>
      <c r="C18" s="9">
        <v>45318</v>
      </c>
      <c r="D18" t="s">
        <v>200</v>
      </c>
      <c r="E18" t="s">
        <v>201</v>
      </c>
      <c r="F18" t="s">
        <v>74</v>
      </c>
      <c r="G18" t="s">
        <v>194</v>
      </c>
      <c r="H18" t="s">
        <v>202</v>
      </c>
      <c r="I18" t="s">
        <v>203</v>
      </c>
      <c r="J18" t="s">
        <v>78</v>
      </c>
      <c r="K18" t="s">
        <v>130</v>
      </c>
      <c r="L18" t="s">
        <v>91</v>
      </c>
      <c r="M18" t="s">
        <v>92</v>
      </c>
      <c r="N18" t="s">
        <v>93</v>
      </c>
      <c r="O18" t="s">
        <v>94</v>
      </c>
      <c r="P18" s="8">
        <v>2</v>
      </c>
      <c r="Q18" s="10">
        <v>329.84</v>
      </c>
      <c r="R18" s="11">
        <v>0.06</v>
      </c>
      <c r="S18" s="10">
        <v>18.829999999999998</v>
      </c>
      <c r="T18" t="s">
        <v>134</v>
      </c>
      <c r="U18" t="s">
        <v>85</v>
      </c>
      <c r="W18" t="s">
        <v>1270</v>
      </c>
      <c r="X18" t="str">
        <f>_xlfn.XLOOKUP(Cleaned_data[[#This Row],[Customer_ID]],Customers[S],Customers[Loyalty_Tier])</f>
        <v>Silver</v>
      </c>
      <c r="Y18" s="9">
        <f>_xlfn.XLOOKUP(Cleaned_data[[#This Row],[Customer_ID]],Customers[S],Customers[Signup_Date])</f>
        <v>45847</v>
      </c>
      <c r="Z18" s="12">
        <f>_xlfn.XLOOKUP(Cleaned_data[[#This Row],[SKU]],Products[SKU],Products[Standard_Cost])</f>
        <v>184</v>
      </c>
      <c r="AA18" s="10">
        <f>Cleaned_data[[#This Row],[Quantity]]*Cleaned_data[[#This Row],[Unit_Price]]</f>
        <v>659.68</v>
      </c>
      <c r="AB18" s="10">
        <f>Cleaned_data[[#This Row],[Unit_Price]]*Cleaned_data[[#This Row],[Discount_Pct]]</f>
        <v>19.790399999999998</v>
      </c>
      <c r="AC18" s="10">
        <f>Cleaned_data[[#This Row],[Gross Sales]]-Cleaned_data[[#This Row],[Discount amount]]</f>
        <v>639.88959999999997</v>
      </c>
      <c r="AD18" s="10">
        <f>Cleaned_data[[#This Row],[Product Cost]]*Cleaned_data[[#This Row],[Quantity]]</f>
        <v>368</v>
      </c>
      <c r="AE18" s="10">
        <f>Cleaned_data[[#This Row],[Net Sales]]-Cleaned_data[[#This Row],[COGS]]</f>
        <v>271.88959999999997</v>
      </c>
      <c r="AF18" s="11">
        <f>Cleaned_data[[#This Row],[Gross Profit]]/Cleaned_data[[#This Row],[Net Sales]]</f>
        <v>0.42490079538720427</v>
      </c>
      <c r="AG18">
        <f>Cleaned_data[[#This Row],[Ship_Date]]-Cleaned_data[[#This Row],[Order_Date]]</f>
        <v>9</v>
      </c>
      <c r="AH18" t="str">
        <f>IF(Cleaned_data[[#This Row],[Delivery Days]]&gt;10,"late","on time")</f>
        <v>on time</v>
      </c>
      <c r="AI18" t="str">
        <f>TEXT(Cleaned_data[[#This Row],[Order_Date]],"mmmm")</f>
        <v>January</v>
      </c>
      <c r="AJ18" s="9" t="str">
        <f>"Q"&amp;ROUNDUP(MONTH(Cleaned_data[[#This Row],[Order_Date]])/3,0)</f>
        <v>Q1</v>
      </c>
    </row>
    <row r="19" spans="1:36">
      <c r="A19" t="s">
        <v>204</v>
      </c>
      <c r="B19" s="9">
        <v>45309</v>
      </c>
      <c r="C19" s="9">
        <v>45318</v>
      </c>
      <c r="D19" t="s">
        <v>205</v>
      </c>
      <c r="E19" t="s">
        <v>206</v>
      </c>
      <c r="F19" t="s">
        <v>74</v>
      </c>
      <c r="G19" t="s">
        <v>194</v>
      </c>
      <c r="H19" t="s">
        <v>202</v>
      </c>
      <c r="I19" t="s">
        <v>203</v>
      </c>
      <c r="J19" t="s">
        <v>109</v>
      </c>
      <c r="K19" t="s">
        <v>100</v>
      </c>
      <c r="L19" t="s">
        <v>207</v>
      </c>
      <c r="M19" t="s">
        <v>208</v>
      </c>
      <c r="N19" t="s">
        <v>120</v>
      </c>
      <c r="O19" t="s">
        <v>164</v>
      </c>
      <c r="P19" s="8">
        <v>4</v>
      </c>
      <c r="Q19" s="10">
        <v>1324.74</v>
      </c>
      <c r="R19" s="11">
        <v>0.11</v>
      </c>
      <c r="S19" s="10">
        <v>16.059999999999999</v>
      </c>
      <c r="T19" t="s">
        <v>134</v>
      </c>
      <c r="U19" t="s">
        <v>85</v>
      </c>
      <c r="V19" s="8">
        <v>1</v>
      </c>
      <c r="W19" t="s">
        <v>1270</v>
      </c>
      <c r="X19" t="str">
        <f>_xlfn.XLOOKUP(Cleaned_data[[#This Row],[Customer_ID]],Customers[S],Customers[Loyalty_Tier])</f>
        <v>Silver</v>
      </c>
      <c r="Y19" s="9">
        <f>_xlfn.XLOOKUP(Cleaned_data[[#This Row],[Customer_ID]],Customers[S],Customers[Signup_Date])</f>
        <v>45725</v>
      </c>
      <c r="Z19" s="12">
        <f>_xlfn.XLOOKUP(Cleaned_data[[#This Row],[SKU]],Products[SKU],Products[Standard_Cost])</f>
        <v>885</v>
      </c>
      <c r="AA19" s="10">
        <f>Cleaned_data[[#This Row],[Quantity]]*Cleaned_data[[#This Row],[Unit_Price]]</f>
        <v>5298.96</v>
      </c>
      <c r="AB19" s="10">
        <f>Cleaned_data[[#This Row],[Unit_Price]]*Cleaned_data[[#This Row],[Discount_Pct]]</f>
        <v>145.72139999999999</v>
      </c>
      <c r="AC19" s="10">
        <f>Cleaned_data[[#This Row],[Gross Sales]]-Cleaned_data[[#This Row],[Discount amount]]</f>
        <v>5153.2385999999997</v>
      </c>
      <c r="AD19" s="10">
        <f>Cleaned_data[[#This Row],[Product Cost]]*Cleaned_data[[#This Row],[Quantity]]</f>
        <v>3540</v>
      </c>
      <c r="AE19" s="10">
        <f>Cleaned_data[[#This Row],[Net Sales]]-Cleaned_data[[#This Row],[COGS]]</f>
        <v>1613.2385999999997</v>
      </c>
      <c r="AF19" s="11">
        <f>Cleaned_data[[#This Row],[Gross Profit]]/Cleaned_data[[#This Row],[Net Sales]]</f>
        <v>0.31305334862624057</v>
      </c>
      <c r="AG19">
        <f>Cleaned_data[[#This Row],[Ship_Date]]-Cleaned_data[[#This Row],[Order_Date]]</f>
        <v>9</v>
      </c>
      <c r="AH19" t="str">
        <f>IF(Cleaned_data[[#This Row],[Delivery Days]]&gt;10,"late","on time")</f>
        <v>on time</v>
      </c>
      <c r="AI19" t="str">
        <f>TEXT(Cleaned_data[[#This Row],[Order_Date]],"mmmm")</f>
        <v>January</v>
      </c>
      <c r="AJ19" s="9" t="str">
        <f>"Q"&amp;ROUNDUP(MONTH(Cleaned_data[[#This Row],[Order_Date]])/3,0)</f>
        <v>Q1</v>
      </c>
    </row>
    <row r="20" spans="1:36">
      <c r="A20" t="s">
        <v>209</v>
      </c>
      <c r="B20" s="9">
        <v>45310</v>
      </c>
      <c r="C20" s="9">
        <v>45315</v>
      </c>
      <c r="D20" t="s">
        <v>210</v>
      </c>
      <c r="E20" t="s">
        <v>211</v>
      </c>
      <c r="F20" t="s">
        <v>89</v>
      </c>
      <c r="G20" t="s">
        <v>75</v>
      </c>
      <c r="H20" t="s">
        <v>212</v>
      </c>
      <c r="I20" t="s">
        <v>213</v>
      </c>
      <c r="J20" t="s">
        <v>78</v>
      </c>
      <c r="K20" t="s">
        <v>168</v>
      </c>
      <c r="L20" t="s">
        <v>214</v>
      </c>
      <c r="M20" t="s">
        <v>215</v>
      </c>
      <c r="N20" t="s">
        <v>103</v>
      </c>
      <c r="O20" t="s">
        <v>171</v>
      </c>
      <c r="P20" s="8">
        <v>3</v>
      </c>
      <c r="Q20" s="10">
        <v>12.47</v>
      </c>
      <c r="R20" s="11">
        <v>7.0000000000000007E-2</v>
      </c>
      <c r="S20" s="10">
        <v>7.01</v>
      </c>
      <c r="T20" t="s">
        <v>122</v>
      </c>
      <c r="U20" t="s">
        <v>85</v>
      </c>
      <c r="V20" s="8">
        <v>4</v>
      </c>
      <c r="W20" t="s">
        <v>1270</v>
      </c>
      <c r="X20" t="str">
        <f>_xlfn.XLOOKUP(Cleaned_data[[#This Row],[Customer_ID]],Customers[S],Customers[Loyalty_Tier])</f>
        <v>Platinum</v>
      </c>
      <c r="Y20" s="9">
        <f>_xlfn.XLOOKUP(Cleaned_data[[#This Row],[Customer_ID]],Customers[S],Customers[Signup_Date])</f>
        <v>45059</v>
      </c>
      <c r="Z20" s="12">
        <f>_xlfn.XLOOKUP(Cleaned_data[[#This Row],[SKU]],Products[SKU],Products[Standard_Cost])</f>
        <v>5</v>
      </c>
      <c r="AA20" s="10">
        <f>Cleaned_data[[#This Row],[Quantity]]*Cleaned_data[[#This Row],[Unit_Price]]</f>
        <v>37.410000000000004</v>
      </c>
      <c r="AB20" s="10">
        <f>Cleaned_data[[#This Row],[Unit_Price]]*Cleaned_data[[#This Row],[Discount_Pct]]</f>
        <v>0.87290000000000012</v>
      </c>
      <c r="AC20" s="10">
        <f>Cleaned_data[[#This Row],[Gross Sales]]-Cleaned_data[[#This Row],[Discount amount]]</f>
        <v>36.537100000000002</v>
      </c>
      <c r="AD20" s="10">
        <f>Cleaned_data[[#This Row],[Product Cost]]*Cleaned_data[[#This Row],[Quantity]]</f>
        <v>15</v>
      </c>
      <c r="AE20" s="10">
        <f>Cleaned_data[[#This Row],[Net Sales]]-Cleaned_data[[#This Row],[COGS]]</f>
        <v>21.537100000000002</v>
      </c>
      <c r="AF20" s="11">
        <f>Cleaned_data[[#This Row],[Gross Profit]]/Cleaned_data[[#This Row],[Net Sales]]</f>
        <v>0.58945838613354651</v>
      </c>
      <c r="AG20">
        <f>Cleaned_data[[#This Row],[Ship_Date]]-Cleaned_data[[#This Row],[Order_Date]]</f>
        <v>5</v>
      </c>
      <c r="AH20" t="str">
        <f>IF(Cleaned_data[[#This Row],[Delivery Days]]&gt;10,"late","on time")</f>
        <v>on time</v>
      </c>
      <c r="AI20" t="str">
        <f>TEXT(Cleaned_data[[#This Row],[Order_Date]],"mmmm")</f>
        <v>January</v>
      </c>
      <c r="AJ20" s="9" t="str">
        <f>"Q"&amp;ROUNDUP(MONTH(Cleaned_data[[#This Row],[Order_Date]])/3,0)</f>
        <v>Q1</v>
      </c>
    </row>
    <row r="21" spans="1:36">
      <c r="A21" t="s">
        <v>216</v>
      </c>
      <c r="B21" s="9">
        <v>45311</v>
      </c>
      <c r="C21" s="9">
        <v>45314</v>
      </c>
      <c r="D21" t="s">
        <v>217</v>
      </c>
      <c r="E21" t="s">
        <v>218</v>
      </c>
      <c r="F21" t="s">
        <v>89</v>
      </c>
      <c r="G21" t="s">
        <v>75</v>
      </c>
      <c r="H21" t="s">
        <v>98</v>
      </c>
      <c r="I21" t="s">
        <v>99</v>
      </c>
      <c r="J21" t="s">
        <v>219</v>
      </c>
      <c r="K21" t="s">
        <v>168</v>
      </c>
      <c r="L21" t="s">
        <v>220</v>
      </c>
      <c r="M21" t="s">
        <v>221</v>
      </c>
      <c r="N21" t="s">
        <v>93</v>
      </c>
      <c r="O21" t="s">
        <v>177</v>
      </c>
      <c r="P21" s="8">
        <v>1</v>
      </c>
      <c r="Q21" s="10">
        <v>218</v>
      </c>
      <c r="R21" s="11">
        <v>0.11</v>
      </c>
      <c r="S21" s="10">
        <v>24.18</v>
      </c>
      <c r="T21" t="s">
        <v>134</v>
      </c>
      <c r="U21" t="s">
        <v>148</v>
      </c>
      <c r="V21" s="8">
        <v>4</v>
      </c>
      <c r="W21" t="s">
        <v>1270</v>
      </c>
      <c r="X21" t="str">
        <f>_xlfn.XLOOKUP(Cleaned_data[[#This Row],[Customer_ID]],Customers[S],Customers[Loyalty_Tier])</f>
        <v>Bronze</v>
      </c>
      <c r="Y21" s="9">
        <f>_xlfn.XLOOKUP(Cleaned_data[[#This Row],[Customer_ID]],Customers[S],Customers[Signup_Date])</f>
        <v>45419</v>
      </c>
      <c r="Z21" s="12">
        <f>_xlfn.XLOOKUP(Cleaned_data[[#This Row],[SKU]],Products[SKU],Products[Standard_Cost])</f>
        <v>118</v>
      </c>
      <c r="AA21" s="10">
        <f>Cleaned_data[[#This Row],[Quantity]]*Cleaned_data[[#This Row],[Unit_Price]]</f>
        <v>218</v>
      </c>
      <c r="AB21" s="10">
        <f>Cleaned_data[[#This Row],[Unit_Price]]*Cleaned_data[[#This Row],[Discount_Pct]]</f>
        <v>23.98</v>
      </c>
      <c r="AC21" s="10">
        <f>Cleaned_data[[#This Row],[Gross Sales]]-Cleaned_data[[#This Row],[Discount amount]]</f>
        <v>194.02</v>
      </c>
      <c r="AD21" s="10">
        <f>Cleaned_data[[#This Row],[Product Cost]]*Cleaned_data[[#This Row],[Quantity]]</f>
        <v>118</v>
      </c>
      <c r="AE21" s="10">
        <f>Cleaned_data[[#This Row],[Net Sales]]-Cleaned_data[[#This Row],[COGS]]</f>
        <v>76.02000000000001</v>
      </c>
      <c r="AF21" s="11">
        <f>Cleaned_data[[#This Row],[Gross Profit]]/Cleaned_data[[#This Row],[Net Sales]]</f>
        <v>0.39181527677559019</v>
      </c>
      <c r="AG21">
        <f>Cleaned_data[[#This Row],[Ship_Date]]-Cleaned_data[[#This Row],[Order_Date]]</f>
        <v>3</v>
      </c>
      <c r="AH21" t="str">
        <f>IF(Cleaned_data[[#This Row],[Delivery Days]]&gt;10,"late","on time")</f>
        <v>on time</v>
      </c>
      <c r="AI21" t="str">
        <f>TEXT(Cleaned_data[[#This Row],[Order_Date]],"mmmm")</f>
        <v>January</v>
      </c>
      <c r="AJ21" s="9" t="str">
        <f>"Q"&amp;ROUNDUP(MONTH(Cleaned_data[[#This Row],[Order_Date]])/3,0)</f>
        <v>Q1</v>
      </c>
    </row>
    <row r="22" spans="1:36">
      <c r="A22" t="s">
        <v>222</v>
      </c>
      <c r="B22" s="9">
        <v>45311</v>
      </c>
      <c r="C22" s="9">
        <v>45312</v>
      </c>
      <c r="D22" t="s">
        <v>223</v>
      </c>
      <c r="E22" t="s">
        <v>224</v>
      </c>
      <c r="F22" t="s">
        <v>152</v>
      </c>
      <c r="G22" t="s">
        <v>194</v>
      </c>
      <c r="H22" t="s">
        <v>225</v>
      </c>
      <c r="I22" t="s">
        <v>226</v>
      </c>
      <c r="J22" t="s">
        <v>219</v>
      </c>
      <c r="K22" t="s">
        <v>79</v>
      </c>
      <c r="L22" t="s">
        <v>80</v>
      </c>
      <c r="M22" t="s">
        <v>81</v>
      </c>
      <c r="N22" t="s">
        <v>82</v>
      </c>
      <c r="O22" t="s">
        <v>83</v>
      </c>
      <c r="P22" s="8">
        <v>4</v>
      </c>
      <c r="Q22" s="10">
        <v>236.71</v>
      </c>
      <c r="R22" s="11">
        <v>0.09</v>
      </c>
      <c r="S22" s="10">
        <v>16.760000000000002</v>
      </c>
      <c r="T22" t="s">
        <v>122</v>
      </c>
      <c r="U22" t="s">
        <v>85</v>
      </c>
      <c r="V22" s="8">
        <v>4</v>
      </c>
      <c r="W22" t="s">
        <v>1270</v>
      </c>
      <c r="X22" t="str">
        <f>_xlfn.XLOOKUP(Cleaned_data[[#This Row],[Customer_ID]],Customers[S],Customers[Loyalty_Tier])</f>
        <v>Platinum</v>
      </c>
      <c r="Y22" s="9">
        <f>_xlfn.XLOOKUP(Cleaned_data[[#This Row],[Customer_ID]],Customers[S],Customers[Signup_Date])</f>
        <v>45171</v>
      </c>
      <c r="Z22" s="12">
        <f>_xlfn.XLOOKUP(Cleaned_data[[#This Row],[SKU]],Products[SKU],Products[Standard_Cost])</f>
        <v>125</v>
      </c>
      <c r="AA22" s="10">
        <f>Cleaned_data[[#This Row],[Quantity]]*Cleaned_data[[#This Row],[Unit_Price]]</f>
        <v>946.84</v>
      </c>
      <c r="AB22" s="10">
        <f>Cleaned_data[[#This Row],[Unit_Price]]*Cleaned_data[[#This Row],[Discount_Pct]]</f>
        <v>21.303899999999999</v>
      </c>
      <c r="AC22" s="10">
        <f>Cleaned_data[[#This Row],[Gross Sales]]-Cleaned_data[[#This Row],[Discount amount]]</f>
        <v>925.53610000000003</v>
      </c>
      <c r="AD22" s="10">
        <f>Cleaned_data[[#This Row],[Product Cost]]*Cleaned_data[[#This Row],[Quantity]]</f>
        <v>500</v>
      </c>
      <c r="AE22" s="10">
        <f>Cleaned_data[[#This Row],[Net Sales]]-Cleaned_data[[#This Row],[COGS]]</f>
        <v>425.53610000000003</v>
      </c>
      <c r="AF22" s="11">
        <f>Cleaned_data[[#This Row],[Gross Profit]]/Cleaned_data[[#This Row],[Net Sales]]</f>
        <v>0.45977255776408937</v>
      </c>
      <c r="AG22">
        <f>Cleaned_data[[#This Row],[Ship_Date]]-Cleaned_data[[#This Row],[Order_Date]]</f>
        <v>1</v>
      </c>
      <c r="AH22" t="str">
        <f>IF(Cleaned_data[[#This Row],[Delivery Days]]&gt;10,"late","on time")</f>
        <v>on time</v>
      </c>
      <c r="AI22" t="str">
        <f>TEXT(Cleaned_data[[#This Row],[Order_Date]],"mmmm")</f>
        <v>January</v>
      </c>
      <c r="AJ22" s="9" t="str">
        <f>"Q"&amp;ROUNDUP(MONTH(Cleaned_data[[#This Row],[Order_Date]])/3,0)</f>
        <v>Q1</v>
      </c>
    </row>
    <row r="23" spans="1:36">
      <c r="A23" t="s">
        <v>227</v>
      </c>
      <c r="B23" s="9">
        <v>45312</v>
      </c>
      <c r="C23" s="9">
        <v>45316</v>
      </c>
      <c r="D23" t="s">
        <v>228</v>
      </c>
      <c r="E23" t="s">
        <v>229</v>
      </c>
      <c r="F23" t="s">
        <v>74</v>
      </c>
      <c r="G23" t="s">
        <v>194</v>
      </c>
      <c r="H23" t="s">
        <v>230</v>
      </c>
      <c r="I23" t="s">
        <v>231</v>
      </c>
      <c r="J23" t="s">
        <v>219</v>
      </c>
      <c r="K23" t="s">
        <v>147</v>
      </c>
      <c r="L23" t="s">
        <v>169</v>
      </c>
      <c r="M23" t="s">
        <v>170</v>
      </c>
      <c r="N23" t="s">
        <v>103</v>
      </c>
      <c r="O23" t="s">
        <v>171</v>
      </c>
      <c r="P23" s="8">
        <v>10</v>
      </c>
      <c r="Q23" s="10">
        <v>15.14</v>
      </c>
      <c r="R23" s="11">
        <v>0.04</v>
      </c>
      <c r="S23" s="10">
        <v>9.77</v>
      </c>
      <c r="T23" t="s">
        <v>134</v>
      </c>
      <c r="U23" t="s">
        <v>85</v>
      </c>
      <c r="V23" s="8">
        <v>3</v>
      </c>
      <c r="W23" t="s">
        <v>1270</v>
      </c>
      <c r="X23" t="str">
        <f>_xlfn.XLOOKUP(Cleaned_data[[#This Row],[Customer_ID]],Customers[S],Customers[Loyalty_Tier])</f>
        <v>Silver</v>
      </c>
      <c r="Y23" s="9">
        <f>_xlfn.XLOOKUP(Cleaned_data[[#This Row],[Customer_ID]],Customers[S],Customers[Signup_Date])</f>
        <v>45843</v>
      </c>
      <c r="Z23" s="12">
        <f>_xlfn.XLOOKUP(Cleaned_data[[#This Row],[SKU]],Products[SKU],Products[Standard_Cost])</f>
        <v>6</v>
      </c>
      <c r="AA23" s="10">
        <f>Cleaned_data[[#This Row],[Quantity]]*Cleaned_data[[#This Row],[Unit_Price]]</f>
        <v>151.4</v>
      </c>
      <c r="AB23" s="10">
        <f>Cleaned_data[[#This Row],[Unit_Price]]*Cleaned_data[[#This Row],[Discount_Pct]]</f>
        <v>0.60560000000000003</v>
      </c>
      <c r="AC23" s="10">
        <f>Cleaned_data[[#This Row],[Gross Sales]]-Cleaned_data[[#This Row],[Discount amount]]</f>
        <v>150.7944</v>
      </c>
      <c r="AD23" s="10">
        <f>Cleaned_data[[#This Row],[Product Cost]]*Cleaned_data[[#This Row],[Quantity]]</f>
        <v>60</v>
      </c>
      <c r="AE23" s="10">
        <f>Cleaned_data[[#This Row],[Net Sales]]-Cleaned_data[[#This Row],[COGS]]</f>
        <v>90.794399999999996</v>
      </c>
      <c r="AF23" s="11">
        <f>Cleaned_data[[#This Row],[Gross Profit]]/Cleaned_data[[#This Row],[Net Sales]]</f>
        <v>0.60210724005665994</v>
      </c>
      <c r="AG23">
        <f>Cleaned_data[[#This Row],[Ship_Date]]-Cleaned_data[[#This Row],[Order_Date]]</f>
        <v>4</v>
      </c>
      <c r="AH23" t="str">
        <f>IF(Cleaned_data[[#This Row],[Delivery Days]]&gt;10,"late","on time")</f>
        <v>on time</v>
      </c>
      <c r="AI23" t="str">
        <f>TEXT(Cleaned_data[[#This Row],[Order_Date]],"mmmm")</f>
        <v>January</v>
      </c>
      <c r="AJ23" s="9" t="str">
        <f>"Q"&amp;ROUNDUP(MONTH(Cleaned_data[[#This Row],[Order_Date]])/3,0)</f>
        <v>Q1</v>
      </c>
    </row>
    <row r="24" spans="1:36">
      <c r="A24" t="s">
        <v>232</v>
      </c>
      <c r="B24" s="9">
        <v>45312</v>
      </c>
      <c r="C24" s="9">
        <v>45317</v>
      </c>
      <c r="D24" t="s">
        <v>136</v>
      </c>
      <c r="E24" t="s">
        <v>137</v>
      </c>
      <c r="F24" t="s">
        <v>74</v>
      </c>
      <c r="G24" t="s">
        <v>138</v>
      </c>
      <c r="H24" t="s">
        <v>139</v>
      </c>
      <c r="I24" t="s">
        <v>140</v>
      </c>
      <c r="J24" t="s">
        <v>78</v>
      </c>
      <c r="K24" t="s">
        <v>90</v>
      </c>
      <c r="L24" t="s">
        <v>91</v>
      </c>
      <c r="M24" t="s">
        <v>92</v>
      </c>
      <c r="N24" t="s">
        <v>93</v>
      </c>
      <c r="O24" t="s">
        <v>94</v>
      </c>
      <c r="P24" s="8">
        <v>2</v>
      </c>
      <c r="Q24" s="10">
        <v>334.34</v>
      </c>
      <c r="R24" s="11">
        <v>0.2</v>
      </c>
      <c r="S24" s="10">
        <v>19.079999999999998</v>
      </c>
      <c r="T24" t="s">
        <v>122</v>
      </c>
      <c r="U24" t="s">
        <v>85</v>
      </c>
      <c r="V24" s="8">
        <v>3</v>
      </c>
      <c r="W24" t="s">
        <v>1270</v>
      </c>
      <c r="X24" t="str">
        <f>_xlfn.XLOOKUP(Cleaned_data[[#This Row],[Customer_ID]],Customers[S],Customers[Loyalty_Tier])</f>
        <v>Silver</v>
      </c>
      <c r="Y24" s="9">
        <f>_xlfn.XLOOKUP(Cleaned_data[[#This Row],[Customer_ID]],Customers[S],Customers[Signup_Date])</f>
        <v>45236</v>
      </c>
      <c r="Z24" s="12">
        <f>_xlfn.XLOOKUP(Cleaned_data[[#This Row],[SKU]],Products[SKU],Products[Standard_Cost])</f>
        <v>184</v>
      </c>
      <c r="AA24" s="10">
        <f>Cleaned_data[[#This Row],[Quantity]]*Cleaned_data[[#This Row],[Unit_Price]]</f>
        <v>668.68</v>
      </c>
      <c r="AB24" s="10">
        <f>Cleaned_data[[#This Row],[Unit_Price]]*Cleaned_data[[#This Row],[Discount_Pct]]</f>
        <v>66.867999999999995</v>
      </c>
      <c r="AC24" s="10">
        <f>Cleaned_data[[#This Row],[Gross Sales]]-Cleaned_data[[#This Row],[Discount amount]]</f>
        <v>601.8119999999999</v>
      </c>
      <c r="AD24" s="10">
        <f>Cleaned_data[[#This Row],[Product Cost]]*Cleaned_data[[#This Row],[Quantity]]</f>
        <v>368</v>
      </c>
      <c r="AE24" s="10">
        <f>Cleaned_data[[#This Row],[Net Sales]]-Cleaned_data[[#This Row],[COGS]]</f>
        <v>233.8119999999999</v>
      </c>
      <c r="AF24" s="11">
        <f>Cleaned_data[[#This Row],[Gross Profit]]/Cleaned_data[[#This Row],[Net Sales]]</f>
        <v>0.38851335633054829</v>
      </c>
      <c r="AG24">
        <f>Cleaned_data[[#This Row],[Ship_Date]]-Cleaned_data[[#This Row],[Order_Date]]</f>
        <v>5</v>
      </c>
      <c r="AH24" t="str">
        <f>IF(Cleaned_data[[#This Row],[Delivery Days]]&gt;10,"late","on time")</f>
        <v>on time</v>
      </c>
      <c r="AI24" t="str">
        <f>TEXT(Cleaned_data[[#This Row],[Order_Date]],"mmmm")</f>
        <v>January</v>
      </c>
      <c r="AJ24" s="9" t="str">
        <f>"Q"&amp;ROUNDUP(MONTH(Cleaned_data[[#This Row],[Order_Date]])/3,0)</f>
        <v>Q1</v>
      </c>
    </row>
    <row r="25" spans="1:36">
      <c r="A25" t="s">
        <v>233</v>
      </c>
      <c r="B25" s="9">
        <v>45313</v>
      </c>
      <c r="C25" s="9">
        <v>45319</v>
      </c>
      <c r="D25" t="s">
        <v>114</v>
      </c>
      <c r="E25" t="s">
        <v>115</v>
      </c>
      <c r="F25" t="s">
        <v>89</v>
      </c>
      <c r="G25" t="s">
        <v>75</v>
      </c>
      <c r="H25" t="s">
        <v>116</v>
      </c>
      <c r="I25" t="s">
        <v>117</v>
      </c>
      <c r="J25" t="s">
        <v>129</v>
      </c>
      <c r="K25" t="s">
        <v>79</v>
      </c>
      <c r="L25" t="s">
        <v>234</v>
      </c>
      <c r="M25" t="s">
        <v>235</v>
      </c>
      <c r="N25" t="s">
        <v>93</v>
      </c>
      <c r="O25" t="s">
        <v>236</v>
      </c>
      <c r="P25" s="8">
        <v>1</v>
      </c>
      <c r="Q25" s="10">
        <v>153.06</v>
      </c>
      <c r="R25" s="11">
        <v>0.01</v>
      </c>
      <c r="S25" s="10">
        <v>20.37</v>
      </c>
      <c r="T25" t="s">
        <v>105</v>
      </c>
      <c r="U25" t="s">
        <v>85</v>
      </c>
      <c r="V25" s="8">
        <v>5</v>
      </c>
      <c r="W25" t="s">
        <v>1270</v>
      </c>
      <c r="X25" t="str">
        <f>_xlfn.XLOOKUP(Cleaned_data[[#This Row],[Customer_ID]],Customers[S],Customers[Loyalty_Tier])</f>
        <v>Bronze</v>
      </c>
      <c r="Y25" s="9">
        <f>_xlfn.XLOOKUP(Cleaned_data[[#This Row],[Customer_ID]],Customers[S],Customers[Signup_Date])</f>
        <v>44594</v>
      </c>
      <c r="Z25" s="12">
        <f>_xlfn.XLOOKUP(Cleaned_data[[#This Row],[SKU]],Products[SKU],Products[Standard_Cost])</f>
        <v>82</v>
      </c>
      <c r="AA25" s="10">
        <f>Cleaned_data[[#This Row],[Quantity]]*Cleaned_data[[#This Row],[Unit_Price]]</f>
        <v>153.06</v>
      </c>
      <c r="AB25" s="10">
        <f>Cleaned_data[[#This Row],[Unit_Price]]*Cleaned_data[[#This Row],[Discount_Pct]]</f>
        <v>1.5306</v>
      </c>
      <c r="AC25" s="10">
        <f>Cleaned_data[[#This Row],[Gross Sales]]-Cleaned_data[[#This Row],[Discount amount]]</f>
        <v>151.52940000000001</v>
      </c>
      <c r="AD25" s="10">
        <f>Cleaned_data[[#This Row],[Product Cost]]*Cleaned_data[[#This Row],[Quantity]]</f>
        <v>82</v>
      </c>
      <c r="AE25" s="10">
        <f>Cleaned_data[[#This Row],[Net Sales]]-Cleaned_data[[#This Row],[COGS]]</f>
        <v>69.52940000000001</v>
      </c>
      <c r="AF25" s="11">
        <f>Cleaned_data[[#This Row],[Gross Profit]]/Cleaned_data[[#This Row],[Net Sales]]</f>
        <v>0.45885088966233617</v>
      </c>
      <c r="AG25">
        <f>Cleaned_data[[#This Row],[Ship_Date]]-Cleaned_data[[#This Row],[Order_Date]]</f>
        <v>6</v>
      </c>
      <c r="AH25" t="str">
        <f>IF(Cleaned_data[[#This Row],[Delivery Days]]&gt;10,"late","on time")</f>
        <v>on time</v>
      </c>
      <c r="AI25" t="str">
        <f>TEXT(Cleaned_data[[#This Row],[Order_Date]],"mmmm")</f>
        <v>January</v>
      </c>
      <c r="AJ25" s="9" t="str">
        <f>"Q"&amp;ROUNDUP(MONTH(Cleaned_data[[#This Row],[Order_Date]])/3,0)</f>
        <v>Q1</v>
      </c>
    </row>
    <row r="26" spans="1:36">
      <c r="A26" t="s">
        <v>237</v>
      </c>
      <c r="B26" s="9">
        <v>45314</v>
      </c>
      <c r="C26" s="9">
        <v>45322</v>
      </c>
      <c r="D26" t="s">
        <v>238</v>
      </c>
      <c r="E26" t="s">
        <v>239</v>
      </c>
      <c r="F26" t="s">
        <v>89</v>
      </c>
      <c r="G26" t="s">
        <v>194</v>
      </c>
      <c r="H26" t="s">
        <v>240</v>
      </c>
      <c r="I26" t="s">
        <v>241</v>
      </c>
      <c r="J26" t="s">
        <v>219</v>
      </c>
      <c r="K26" t="s">
        <v>168</v>
      </c>
      <c r="L26" t="s">
        <v>242</v>
      </c>
      <c r="M26" t="s">
        <v>243</v>
      </c>
      <c r="N26" t="s">
        <v>120</v>
      </c>
      <c r="O26" t="s">
        <v>133</v>
      </c>
      <c r="P26" s="8">
        <v>3</v>
      </c>
      <c r="Q26" s="10">
        <v>188.21</v>
      </c>
      <c r="R26" s="11">
        <v>0.22</v>
      </c>
      <c r="S26" s="10">
        <v>12.11</v>
      </c>
      <c r="T26" t="s">
        <v>122</v>
      </c>
      <c r="U26" t="s">
        <v>85</v>
      </c>
      <c r="V26" s="8">
        <v>1</v>
      </c>
      <c r="W26" t="s">
        <v>1270</v>
      </c>
      <c r="X26" t="str">
        <f>_xlfn.XLOOKUP(Cleaned_data[[#This Row],[Customer_ID]],Customers[S],Customers[Loyalty_Tier])</f>
        <v>Bronze</v>
      </c>
      <c r="Y26" s="9">
        <f>_xlfn.XLOOKUP(Cleaned_data[[#This Row],[Customer_ID]],Customers[S],Customers[Signup_Date])</f>
        <v>45751</v>
      </c>
      <c r="Z26" s="12">
        <f>_xlfn.XLOOKUP(Cleaned_data[[#This Row],[SKU]],Products[SKU],Products[Standard_Cost])</f>
        <v>96</v>
      </c>
      <c r="AA26" s="10">
        <f>Cleaned_data[[#This Row],[Quantity]]*Cleaned_data[[#This Row],[Unit_Price]]</f>
        <v>564.63</v>
      </c>
      <c r="AB26" s="10">
        <f>Cleaned_data[[#This Row],[Unit_Price]]*Cleaned_data[[#This Row],[Discount_Pct]]</f>
        <v>41.406200000000005</v>
      </c>
      <c r="AC26" s="10">
        <f>Cleaned_data[[#This Row],[Gross Sales]]-Cleaned_data[[#This Row],[Discount amount]]</f>
        <v>523.22379999999998</v>
      </c>
      <c r="AD26" s="10">
        <f>Cleaned_data[[#This Row],[Product Cost]]*Cleaned_data[[#This Row],[Quantity]]</f>
        <v>288</v>
      </c>
      <c r="AE26" s="10">
        <f>Cleaned_data[[#This Row],[Net Sales]]-Cleaned_data[[#This Row],[COGS]]</f>
        <v>235.22379999999998</v>
      </c>
      <c r="AF26" s="11">
        <f>Cleaned_data[[#This Row],[Gross Profit]]/Cleaned_data[[#This Row],[Net Sales]]</f>
        <v>0.44956632324447016</v>
      </c>
      <c r="AG26">
        <f>Cleaned_data[[#This Row],[Ship_Date]]-Cleaned_data[[#This Row],[Order_Date]]</f>
        <v>8</v>
      </c>
      <c r="AH26" t="str">
        <f>IF(Cleaned_data[[#This Row],[Delivery Days]]&gt;10,"late","on time")</f>
        <v>on time</v>
      </c>
      <c r="AI26" t="str">
        <f>TEXT(Cleaned_data[[#This Row],[Order_Date]],"mmmm")</f>
        <v>January</v>
      </c>
      <c r="AJ26" s="9" t="str">
        <f>"Q"&amp;ROUNDUP(MONTH(Cleaned_data[[#This Row],[Order_Date]])/3,0)</f>
        <v>Q1</v>
      </c>
    </row>
    <row r="27" spans="1:36">
      <c r="A27" t="s">
        <v>244</v>
      </c>
      <c r="B27" s="9">
        <v>45314</v>
      </c>
      <c r="C27" s="9">
        <v>45316</v>
      </c>
      <c r="D27" t="s">
        <v>245</v>
      </c>
      <c r="E27" t="s">
        <v>246</v>
      </c>
      <c r="F27" t="s">
        <v>74</v>
      </c>
      <c r="G27" t="s">
        <v>138</v>
      </c>
      <c r="H27" t="s">
        <v>139</v>
      </c>
      <c r="I27" t="s">
        <v>140</v>
      </c>
      <c r="J27" t="s">
        <v>129</v>
      </c>
      <c r="K27" t="s">
        <v>79</v>
      </c>
      <c r="L27" t="s">
        <v>155</v>
      </c>
      <c r="M27" t="s">
        <v>156</v>
      </c>
      <c r="N27" t="s">
        <v>82</v>
      </c>
      <c r="O27" t="s">
        <v>112</v>
      </c>
      <c r="P27" s="8">
        <v>10</v>
      </c>
      <c r="Q27" s="10">
        <v>160.79</v>
      </c>
      <c r="R27" s="11">
        <v>0.09</v>
      </c>
      <c r="S27" s="10">
        <v>7.83</v>
      </c>
      <c r="T27" t="s">
        <v>84</v>
      </c>
      <c r="U27" t="s">
        <v>85</v>
      </c>
      <c r="V27" s="8">
        <v>3</v>
      </c>
      <c r="W27" t="s">
        <v>1270</v>
      </c>
      <c r="X27" t="str">
        <f>_xlfn.XLOOKUP(Cleaned_data[[#This Row],[Customer_ID]],Customers[S],Customers[Loyalty_Tier])</f>
        <v>Bronze</v>
      </c>
      <c r="Y27" s="9">
        <f>_xlfn.XLOOKUP(Cleaned_data[[#This Row],[Customer_ID]],Customers[S],Customers[Signup_Date])</f>
        <v>45447</v>
      </c>
      <c r="Z27" s="12">
        <f>_xlfn.XLOOKUP(Cleaned_data[[#This Row],[SKU]],Products[SKU],Products[Standard_Cost])</f>
        <v>82</v>
      </c>
      <c r="AA27" s="10">
        <f>Cleaned_data[[#This Row],[Quantity]]*Cleaned_data[[#This Row],[Unit_Price]]</f>
        <v>1607.8999999999999</v>
      </c>
      <c r="AB27" s="10">
        <f>Cleaned_data[[#This Row],[Unit_Price]]*Cleaned_data[[#This Row],[Discount_Pct]]</f>
        <v>14.471099999999998</v>
      </c>
      <c r="AC27" s="10">
        <f>Cleaned_data[[#This Row],[Gross Sales]]-Cleaned_data[[#This Row],[Discount amount]]</f>
        <v>1593.4288999999999</v>
      </c>
      <c r="AD27" s="10">
        <f>Cleaned_data[[#This Row],[Product Cost]]*Cleaned_data[[#This Row],[Quantity]]</f>
        <v>820</v>
      </c>
      <c r="AE27" s="10">
        <f>Cleaned_data[[#This Row],[Net Sales]]-Cleaned_data[[#This Row],[COGS]]</f>
        <v>773.42889999999989</v>
      </c>
      <c r="AF27" s="11">
        <f>Cleaned_data[[#This Row],[Gross Profit]]/Cleaned_data[[#This Row],[Net Sales]]</f>
        <v>0.48538651457871762</v>
      </c>
      <c r="AG27">
        <f>Cleaned_data[[#This Row],[Ship_Date]]-Cleaned_data[[#This Row],[Order_Date]]</f>
        <v>2</v>
      </c>
      <c r="AH27" t="str">
        <f>IF(Cleaned_data[[#This Row],[Delivery Days]]&gt;10,"late","on time")</f>
        <v>on time</v>
      </c>
      <c r="AI27" t="str">
        <f>TEXT(Cleaned_data[[#This Row],[Order_Date]],"mmmm")</f>
        <v>January</v>
      </c>
      <c r="AJ27" s="9" t="str">
        <f>"Q"&amp;ROUNDUP(MONTH(Cleaned_data[[#This Row],[Order_Date]])/3,0)</f>
        <v>Q1</v>
      </c>
    </row>
    <row r="28" spans="1:36">
      <c r="A28" t="s">
        <v>247</v>
      </c>
      <c r="B28" s="9">
        <v>45314</v>
      </c>
      <c r="C28" s="9">
        <v>45318</v>
      </c>
      <c r="D28" t="s">
        <v>248</v>
      </c>
      <c r="E28" t="s">
        <v>137</v>
      </c>
      <c r="F28" t="s">
        <v>74</v>
      </c>
      <c r="G28" t="s">
        <v>75</v>
      </c>
      <c r="H28" t="s">
        <v>98</v>
      </c>
      <c r="I28" t="s">
        <v>99</v>
      </c>
      <c r="J28" t="s">
        <v>109</v>
      </c>
      <c r="K28" t="s">
        <v>79</v>
      </c>
      <c r="L28" t="s">
        <v>249</v>
      </c>
      <c r="M28" t="s">
        <v>250</v>
      </c>
      <c r="N28" t="s">
        <v>103</v>
      </c>
      <c r="O28" t="s">
        <v>251</v>
      </c>
      <c r="P28" s="8">
        <v>7</v>
      </c>
      <c r="Q28" s="10">
        <v>20.76</v>
      </c>
      <c r="R28" s="11">
        <v>7.0000000000000007E-2</v>
      </c>
      <c r="S28" s="10">
        <v>7.97</v>
      </c>
      <c r="T28" t="s">
        <v>105</v>
      </c>
      <c r="U28" t="s">
        <v>85</v>
      </c>
      <c r="V28" s="8">
        <v>3</v>
      </c>
      <c r="W28" t="s">
        <v>1270</v>
      </c>
      <c r="X28" t="str">
        <f>_xlfn.XLOOKUP(Cleaned_data[[#This Row],[Customer_ID]],Customers[S],Customers[Loyalty_Tier])</f>
        <v>Gold</v>
      </c>
      <c r="Y28" s="9">
        <f>_xlfn.XLOOKUP(Cleaned_data[[#This Row],[Customer_ID]],Customers[S],Customers[Signup_Date])</f>
        <v>45204</v>
      </c>
      <c r="Z28" s="12">
        <f>_xlfn.XLOOKUP(Cleaned_data[[#This Row],[SKU]],Products[SKU],Products[Standard_Cost])</f>
        <v>10</v>
      </c>
      <c r="AA28" s="10">
        <f>Cleaned_data[[#This Row],[Quantity]]*Cleaned_data[[#This Row],[Unit_Price]]</f>
        <v>145.32000000000002</v>
      </c>
      <c r="AB28" s="10">
        <f>Cleaned_data[[#This Row],[Unit_Price]]*Cleaned_data[[#This Row],[Discount_Pct]]</f>
        <v>1.4532000000000003</v>
      </c>
      <c r="AC28" s="10">
        <f>Cleaned_data[[#This Row],[Gross Sales]]-Cleaned_data[[#This Row],[Discount amount]]</f>
        <v>143.86680000000001</v>
      </c>
      <c r="AD28" s="10">
        <f>Cleaned_data[[#This Row],[Product Cost]]*Cleaned_data[[#This Row],[Quantity]]</f>
        <v>70</v>
      </c>
      <c r="AE28" s="10">
        <f>Cleaned_data[[#This Row],[Net Sales]]-Cleaned_data[[#This Row],[COGS]]</f>
        <v>73.866800000000012</v>
      </c>
      <c r="AF28" s="11">
        <f>Cleaned_data[[#This Row],[Gross Profit]]/Cleaned_data[[#This Row],[Net Sales]]</f>
        <v>0.5134388197972013</v>
      </c>
      <c r="AG28">
        <f>Cleaned_data[[#This Row],[Ship_Date]]-Cleaned_data[[#This Row],[Order_Date]]</f>
        <v>4</v>
      </c>
      <c r="AH28" t="str">
        <f>IF(Cleaned_data[[#This Row],[Delivery Days]]&gt;10,"late","on time")</f>
        <v>on time</v>
      </c>
      <c r="AI28" t="str">
        <f>TEXT(Cleaned_data[[#This Row],[Order_Date]],"mmmm")</f>
        <v>January</v>
      </c>
      <c r="AJ28" s="9" t="str">
        <f>"Q"&amp;ROUNDUP(MONTH(Cleaned_data[[#This Row],[Order_Date]])/3,0)</f>
        <v>Q1</v>
      </c>
    </row>
    <row r="29" spans="1:36">
      <c r="A29" t="s">
        <v>252</v>
      </c>
      <c r="B29" s="9">
        <v>45315</v>
      </c>
      <c r="C29" s="9">
        <v>45325</v>
      </c>
      <c r="D29" t="s">
        <v>253</v>
      </c>
      <c r="E29" t="s">
        <v>167</v>
      </c>
      <c r="F29" t="s">
        <v>152</v>
      </c>
      <c r="G29" t="s">
        <v>75</v>
      </c>
      <c r="H29" t="s">
        <v>212</v>
      </c>
      <c r="I29" t="s">
        <v>213</v>
      </c>
      <c r="J29" t="s">
        <v>129</v>
      </c>
      <c r="K29" t="s">
        <v>168</v>
      </c>
      <c r="L29" t="s">
        <v>254</v>
      </c>
      <c r="M29" t="s">
        <v>255</v>
      </c>
      <c r="N29" t="s">
        <v>82</v>
      </c>
      <c r="O29" t="s">
        <v>83</v>
      </c>
      <c r="P29" s="8">
        <v>10</v>
      </c>
      <c r="Q29" s="10">
        <v>93.42</v>
      </c>
      <c r="R29" s="11">
        <v>0.01</v>
      </c>
      <c r="S29" s="10">
        <v>16.59</v>
      </c>
      <c r="T29" t="s">
        <v>105</v>
      </c>
      <c r="U29" t="s">
        <v>85</v>
      </c>
      <c r="V29" s="8">
        <v>4</v>
      </c>
      <c r="W29" t="s">
        <v>1270</v>
      </c>
      <c r="X29" t="str">
        <f>_xlfn.XLOOKUP(Cleaned_data[[#This Row],[Customer_ID]],Customers[S],Customers[Loyalty_Tier])</f>
        <v>Silver</v>
      </c>
      <c r="Y29" s="9">
        <f>_xlfn.XLOOKUP(Cleaned_data[[#This Row],[Customer_ID]],Customers[S],Customers[Signup_Date])</f>
        <v>45243</v>
      </c>
      <c r="Z29" s="12">
        <f>_xlfn.XLOOKUP(Cleaned_data[[#This Row],[SKU]],Products[SKU],Products[Standard_Cost])</f>
        <v>48</v>
      </c>
      <c r="AA29" s="10">
        <f>Cleaned_data[[#This Row],[Quantity]]*Cleaned_data[[#This Row],[Unit_Price]]</f>
        <v>934.2</v>
      </c>
      <c r="AB29" s="10">
        <f>Cleaned_data[[#This Row],[Unit_Price]]*Cleaned_data[[#This Row],[Discount_Pct]]</f>
        <v>0.93420000000000003</v>
      </c>
      <c r="AC29" s="10">
        <f>Cleaned_data[[#This Row],[Gross Sales]]-Cleaned_data[[#This Row],[Discount amount]]</f>
        <v>933.26580000000001</v>
      </c>
      <c r="AD29" s="10">
        <f>Cleaned_data[[#This Row],[Product Cost]]*Cleaned_data[[#This Row],[Quantity]]</f>
        <v>480</v>
      </c>
      <c r="AE29" s="10">
        <f>Cleaned_data[[#This Row],[Net Sales]]-Cleaned_data[[#This Row],[COGS]]</f>
        <v>453.26580000000001</v>
      </c>
      <c r="AF29" s="11">
        <f>Cleaned_data[[#This Row],[Gross Profit]]/Cleaned_data[[#This Row],[Net Sales]]</f>
        <v>0.4856770707766212</v>
      </c>
      <c r="AG29">
        <f>Cleaned_data[[#This Row],[Ship_Date]]-Cleaned_data[[#This Row],[Order_Date]]</f>
        <v>10</v>
      </c>
      <c r="AH29" t="str">
        <f>IF(Cleaned_data[[#This Row],[Delivery Days]]&gt;10,"late","on time")</f>
        <v>on time</v>
      </c>
      <c r="AI29" t="str">
        <f>TEXT(Cleaned_data[[#This Row],[Order_Date]],"mmmm")</f>
        <v>January</v>
      </c>
      <c r="AJ29" s="9" t="str">
        <f>"Q"&amp;ROUNDUP(MONTH(Cleaned_data[[#This Row],[Order_Date]])/3,0)</f>
        <v>Q1</v>
      </c>
    </row>
    <row r="30" spans="1:36">
      <c r="A30" t="s">
        <v>256</v>
      </c>
      <c r="B30" s="9">
        <v>45317</v>
      </c>
      <c r="C30" s="9">
        <v>45321</v>
      </c>
      <c r="D30" t="s">
        <v>245</v>
      </c>
      <c r="E30" t="s">
        <v>246</v>
      </c>
      <c r="F30" t="s">
        <v>74</v>
      </c>
      <c r="G30" t="s">
        <v>138</v>
      </c>
      <c r="H30" t="s">
        <v>139</v>
      </c>
      <c r="I30" t="s">
        <v>140</v>
      </c>
      <c r="J30" t="s">
        <v>109</v>
      </c>
      <c r="K30" t="s">
        <v>168</v>
      </c>
      <c r="L30" t="s">
        <v>254</v>
      </c>
      <c r="M30" t="s">
        <v>255</v>
      </c>
      <c r="N30" t="s">
        <v>82</v>
      </c>
      <c r="O30" t="s">
        <v>83</v>
      </c>
      <c r="P30" s="8">
        <v>9</v>
      </c>
      <c r="Q30" s="10">
        <v>91.16</v>
      </c>
      <c r="R30" s="11">
        <v>0</v>
      </c>
      <c r="S30" s="10">
        <v>8.5500000000000007</v>
      </c>
      <c r="T30" t="s">
        <v>105</v>
      </c>
      <c r="U30" t="s">
        <v>85</v>
      </c>
      <c r="V30" s="8">
        <v>5</v>
      </c>
      <c r="W30" t="s">
        <v>1270</v>
      </c>
      <c r="X30" t="str">
        <f>_xlfn.XLOOKUP(Cleaned_data[[#This Row],[Customer_ID]],Customers[S],Customers[Loyalty_Tier])</f>
        <v>Bronze</v>
      </c>
      <c r="Y30" s="9">
        <f>_xlfn.XLOOKUP(Cleaned_data[[#This Row],[Customer_ID]],Customers[S],Customers[Signup_Date])</f>
        <v>45447</v>
      </c>
      <c r="Z30" s="12">
        <f>_xlfn.XLOOKUP(Cleaned_data[[#This Row],[SKU]],Products[SKU],Products[Standard_Cost])</f>
        <v>48</v>
      </c>
      <c r="AA30" s="10">
        <f>Cleaned_data[[#This Row],[Quantity]]*Cleaned_data[[#This Row],[Unit_Price]]</f>
        <v>820.43999999999994</v>
      </c>
      <c r="AB30" s="10">
        <f>Cleaned_data[[#This Row],[Unit_Price]]*Cleaned_data[[#This Row],[Discount_Pct]]</f>
        <v>0</v>
      </c>
      <c r="AC30" s="10">
        <f>Cleaned_data[[#This Row],[Gross Sales]]-Cleaned_data[[#This Row],[Discount amount]]</f>
        <v>820.43999999999994</v>
      </c>
      <c r="AD30" s="10">
        <f>Cleaned_data[[#This Row],[Product Cost]]*Cleaned_data[[#This Row],[Quantity]]</f>
        <v>432</v>
      </c>
      <c r="AE30" s="10">
        <f>Cleaned_data[[#This Row],[Net Sales]]-Cleaned_data[[#This Row],[COGS]]</f>
        <v>388.43999999999994</v>
      </c>
      <c r="AF30" s="11">
        <f>Cleaned_data[[#This Row],[Gross Profit]]/Cleaned_data[[#This Row],[Net Sales]]</f>
        <v>0.47345326897762174</v>
      </c>
      <c r="AG30">
        <f>Cleaned_data[[#This Row],[Ship_Date]]-Cleaned_data[[#This Row],[Order_Date]]</f>
        <v>4</v>
      </c>
      <c r="AH30" t="str">
        <f>IF(Cleaned_data[[#This Row],[Delivery Days]]&gt;10,"late","on time")</f>
        <v>on time</v>
      </c>
      <c r="AI30" t="str">
        <f>TEXT(Cleaned_data[[#This Row],[Order_Date]],"mmmm")</f>
        <v>January</v>
      </c>
      <c r="AJ30" s="9" t="str">
        <f>"Q"&amp;ROUNDUP(MONTH(Cleaned_data[[#This Row],[Order_Date]])/3,0)</f>
        <v>Q1</v>
      </c>
    </row>
    <row r="31" spans="1:36">
      <c r="A31" t="s">
        <v>257</v>
      </c>
      <c r="B31" s="9">
        <v>45317</v>
      </c>
      <c r="C31" s="9">
        <v>45318</v>
      </c>
      <c r="D31" t="s">
        <v>258</v>
      </c>
      <c r="E31" t="s">
        <v>259</v>
      </c>
      <c r="F31" t="s">
        <v>152</v>
      </c>
      <c r="G31" t="s">
        <v>194</v>
      </c>
      <c r="H31" t="s">
        <v>225</v>
      </c>
      <c r="I31" t="s">
        <v>226</v>
      </c>
      <c r="J31" t="s">
        <v>78</v>
      </c>
      <c r="K31" t="s">
        <v>90</v>
      </c>
      <c r="L31" t="s">
        <v>249</v>
      </c>
      <c r="M31" t="s">
        <v>250</v>
      </c>
      <c r="N31" t="s">
        <v>103</v>
      </c>
      <c r="O31" t="s">
        <v>251</v>
      </c>
      <c r="P31" s="8">
        <v>5</v>
      </c>
      <c r="Q31" s="10">
        <v>21.09</v>
      </c>
      <c r="R31" s="11">
        <v>0.18</v>
      </c>
      <c r="S31" s="10">
        <v>13.01</v>
      </c>
      <c r="T31" t="s">
        <v>122</v>
      </c>
      <c r="U31" t="s">
        <v>85</v>
      </c>
      <c r="V31" s="8">
        <v>4</v>
      </c>
      <c r="W31" t="s">
        <v>1270</v>
      </c>
      <c r="X31" t="str">
        <f>_xlfn.XLOOKUP(Cleaned_data[[#This Row],[Customer_ID]],Customers[S],Customers[Loyalty_Tier])</f>
        <v>Gold</v>
      </c>
      <c r="Y31" s="9">
        <f>_xlfn.XLOOKUP(Cleaned_data[[#This Row],[Customer_ID]],Customers[S],Customers[Signup_Date])</f>
        <v>45514</v>
      </c>
      <c r="Z31" s="12">
        <f>_xlfn.XLOOKUP(Cleaned_data[[#This Row],[SKU]],Products[SKU],Products[Standard_Cost])</f>
        <v>10</v>
      </c>
      <c r="AA31" s="10">
        <f>Cleaned_data[[#This Row],[Quantity]]*Cleaned_data[[#This Row],[Unit_Price]]</f>
        <v>105.45</v>
      </c>
      <c r="AB31" s="10">
        <f>Cleaned_data[[#This Row],[Unit_Price]]*Cleaned_data[[#This Row],[Discount_Pct]]</f>
        <v>3.7961999999999998</v>
      </c>
      <c r="AC31" s="10">
        <f>Cleaned_data[[#This Row],[Gross Sales]]-Cleaned_data[[#This Row],[Discount amount]]</f>
        <v>101.6538</v>
      </c>
      <c r="AD31" s="10">
        <f>Cleaned_data[[#This Row],[Product Cost]]*Cleaned_data[[#This Row],[Quantity]]</f>
        <v>50</v>
      </c>
      <c r="AE31" s="10">
        <f>Cleaned_data[[#This Row],[Net Sales]]-Cleaned_data[[#This Row],[COGS]]</f>
        <v>51.653800000000004</v>
      </c>
      <c r="AF31" s="11">
        <f>Cleaned_data[[#This Row],[Gross Profit]]/Cleaned_data[[#This Row],[Net Sales]]</f>
        <v>0.50813447210040352</v>
      </c>
      <c r="AG31">
        <f>Cleaned_data[[#This Row],[Ship_Date]]-Cleaned_data[[#This Row],[Order_Date]]</f>
        <v>1</v>
      </c>
      <c r="AH31" t="str">
        <f>IF(Cleaned_data[[#This Row],[Delivery Days]]&gt;10,"late","on time")</f>
        <v>on time</v>
      </c>
      <c r="AI31" t="str">
        <f>TEXT(Cleaned_data[[#This Row],[Order_Date]],"mmmm")</f>
        <v>January</v>
      </c>
      <c r="AJ31" s="9" t="str">
        <f>"Q"&amp;ROUNDUP(MONTH(Cleaned_data[[#This Row],[Order_Date]])/3,0)</f>
        <v>Q1</v>
      </c>
    </row>
    <row r="32" spans="1:36">
      <c r="A32" t="s">
        <v>260</v>
      </c>
      <c r="B32" s="9">
        <v>45317</v>
      </c>
      <c r="C32" s="9">
        <v>45326</v>
      </c>
      <c r="D32" t="s">
        <v>158</v>
      </c>
      <c r="E32" t="s">
        <v>159</v>
      </c>
      <c r="F32" t="s">
        <v>89</v>
      </c>
      <c r="G32" t="s">
        <v>126</v>
      </c>
      <c r="H32" t="s">
        <v>160</v>
      </c>
      <c r="I32" t="s">
        <v>161</v>
      </c>
      <c r="J32" t="s">
        <v>219</v>
      </c>
      <c r="K32" t="s">
        <v>100</v>
      </c>
      <c r="L32" t="s">
        <v>261</v>
      </c>
      <c r="M32" t="s">
        <v>262</v>
      </c>
      <c r="N32" t="s">
        <v>103</v>
      </c>
      <c r="O32" t="s">
        <v>104</v>
      </c>
      <c r="P32" s="8">
        <v>6</v>
      </c>
      <c r="Q32" s="10">
        <v>25.54</v>
      </c>
      <c r="R32" s="11">
        <v>0.02</v>
      </c>
      <c r="S32" s="10">
        <v>10.58</v>
      </c>
      <c r="T32" t="s">
        <v>84</v>
      </c>
      <c r="U32" t="s">
        <v>85</v>
      </c>
      <c r="V32" s="8">
        <v>2</v>
      </c>
      <c r="W32" t="s">
        <v>1270</v>
      </c>
      <c r="X32" t="str">
        <f>_xlfn.XLOOKUP(Cleaned_data[[#This Row],[Customer_ID]],Customers[S],Customers[Loyalty_Tier])</f>
        <v>Silver</v>
      </c>
      <c r="Y32" s="9">
        <f>_xlfn.XLOOKUP(Cleaned_data[[#This Row],[Customer_ID]],Customers[S],Customers[Signup_Date])</f>
        <v>44476</v>
      </c>
      <c r="Z32" s="12">
        <f>_xlfn.XLOOKUP(Cleaned_data[[#This Row],[SKU]],Products[SKU],Products[Standard_Cost])</f>
        <v>12</v>
      </c>
      <c r="AA32" s="10">
        <f>Cleaned_data[[#This Row],[Quantity]]*Cleaned_data[[#This Row],[Unit_Price]]</f>
        <v>153.24</v>
      </c>
      <c r="AB32" s="10">
        <f>Cleaned_data[[#This Row],[Unit_Price]]*Cleaned_data[[#This Row],[Discount_Pct]]</f>
        <v>0.51080000000000003</v>
      </c>
      <c r="AC32" s="10">
        <f>Cleaned_data[[#This Row],[Gross Sales]]-Cleaned_data[[#This Row],[Discount amount]]</f>
        <v>152.72920000000002</v>
      </c>
      <c r="AD32" s="10">
        <f>Cleaned_data[[#This Row],[Product Cost]]*Cleaned_data[[#This Row],[Quantity]]</f>
        <v>72</v>
      </c>
      <c r="AE32" s="10">
        <f>Cleaned_data[[#This Row],[Net Sales]]-Cleaned_data[[#This Row],[COGS]]</f>
        <v>80.72920000000002</v>
      </c>
      <c r="AF32" s="11">
        <f>Cleaned_data[[#This Row],[Gross Profit]]/Cleaned_data[[#This Row],[Net Sales]]</f>
        <v>0.52857737747595102</v>
      </c>
      <c r="AG32">
        <f>Cleaned_data[[#This Row],[Ship_Date]]-Cleaned_data[[#This Row],[Order_Date]]</f>
        <v>9</v>
      </c>
      <c r="AH32" t="str">
        <f>IF(Cleaned_data[[#This Row],[Delivery Days]]&gt;10,"late","on time")</f>
        <v>on time</v>
      </c>
      <c r="AI32" t="str">
        <f>TEXT(Cleaned_data[[#This Row],[Order_Date]],"mmmm")</f>
        <v>January</v>
      </c>
      <c r="AJ32" s="9" t="str">
        <f>"Q"&amp;ROUNDUP(MONTH(Cleaned_data[[#This Row],[Order_Date]])/3,0)</f>
        <v>Q1</v>
      </c>
    </row>
    <row r="33" spans="1:36">
      <c r="A33" t="s">
        <v>263</v>
      </c>
      <c r="B33" s="9">
        <v>45318</v>
      </c>
      <c r="C33" s="9">
        <v>45328</v>
      </c>
      <c r="D33" t="s">
        <v>264</v>
      </c>
      <c r="E33" t="s">
        <v>265</v>
      </c>
      <c r="F33" t="s">
        <v>74</v>
      </c>
      <c r="G33" t="s">
        <v>194</v>
      </c>
      <c r="H33" t="s">
        <v>230</v>
      </c>
      <c r="I33" t="s">
        <v>231</v>
      </c>
      <c r="J33" t="s">
        <v>109</v>
      </c>
      <c r="K33" t="s">
        <v>79</v>
      </c>
      <c r="L33" t="s">
        <v>214</v>
      </c>
      <c r="M33" t="s">
        <v>215</v>
      </c>
      <c r="N33" t="s">
        <v>103</v>
      </c>
      <c r="O33" t="s">
        <v>171</v>
      </c>
      <c r="P33" s="8">
        <v>6</v>
      </c>
      <c r="Q33" s="10">
        <v>12.12</v>
      </c>
      <c r="R33" s="11">
        <v>0.09</v>
      </c>
      <c r="S33" s="10">
        <v>12.91</v>
      </c>
      <c r="T33" t="s">
        <v>122</v>
      </c>
      <c r="U33" t="s">
        <v>85</v>
      </c>
      <c r="V33" s="8">
        <v>3</v>
      </c>
      <c r="W33" t="s">
        <v>1270</v>
      </c>
      <c r="X33" t="str">
        <f>_xlfn.XLOOKUP(Cleaned_data[[#This Row],[Customer_ID]],Customers[S],Customers[Loyalty_Tier])</f>
        <v>Silver</v>
      </c>
      <c r="Y33" s="9">
        <f>_xlfn.XLOOKUP(Cleaned_data[[#This Row],[Customer_ID]],Customers[S],Customers[Signup_Date])</f>
        <v>45913</v>
      </c>
      <c r="Z33" s="12">
        <f>_xlfn.XLOOKUP(Cleaned_data[[#This Row],[SKU]],Products[SKU],Products[Standard_Cost])</f>
        <v>5</v>
      </c>
      <c r="AA33" s="10">
        <f>Cleaned_data[[#This Row],[Quantity]]*Cleaned_data[[#This Row],[Unit_Price]]</f>
        <v>72.72</v>
      </c>
      <c r="AB33" s="10">
        <f>Cleaned_data[[#This Row],[Unit_Price]]*Cleaned_data[[#This Row],[Discount_Pct]]</f>
        <v>1.0908</v>
      </c>
      <c r="AC33" s="10">
        <f>Cleaned_data[[#This Row],[Gross Sales]]-Cleaned_data[[#This Row],[Discount amount]]</f>
        <v>71.629199999999997</v>
      </c>
      <c r="AD33" s="10">
        <f>Cleaned_data[[#This Row],[Product Cost]]*Cleaned_data[[#This Row],[Quantity]]</f>
        <v>30</v>
      </c>
      <c r="AE33" s="10">
        <f>Cleaned_data[[#This Row],[Net Sales]]-Cleaned_data[[#This Row],[COGS]]</f>
        <v>41.629199999999997</v>
      </c>
      <c r="AF33" s="11">
        <f>Cleaned_data[[#This Row],[Gross Profit]]/Cleaned_data[[#This Row],[Net Sales]]</f>
        <v>0.58117639175085023</v>
      </c>
      <c r="AG33">
        <f>Cleaned_data[[#This Row],[Ship_Date]]-Cleaned_data[[#This Row],[Order_Date]]</f>
        <v>10</v>
      </c>
      <c r="AH33" t="str">
        <f>IF(Cleaned_data[[#This Row],[Delivery Days]]&gt;10,"late","on time")</f>
        <v>on time</v>
      </c>
      <c r="AI33" t="str">
        <f>TEXT(Cleaned_data[[#This Row],[Order_Date]],"mmmm")</f>
        <v>January</v>
      </c>
      <c r="AJ33" s="9" t="str">
        <f>"Q"&amp;ROUNDUP(MONTH(Cleaned_data[[#This Row],[Order_Date]])/3,0)</f>
        <v>Q1</v>
      </c>
    </row>
    <row r="34" spans="1:36">
      <c r="A34" t="s">
        <v>266</v>
      </c>
      <c r="B34" s="9">
        <v>45320</v>
      </c>
      <c r="C34" s="9">
        <v>45324</v>
      </c>
      <c r="D34" t="s">
        <v>184</v>
      </c>
      <c r="E34" t="s">
        <v>185</v>
      </c>
      <c r="F34" t="s">
        <v>74</v>
      </c>
      <c r="G34" t="s">
        <v>138</v>
      </c>
      <c r="H34" t="s">
        <v>186</v>
      </c>
      <c r="I34" t="s">
        <v>187</v>
      </c>
      <c r="J34" t="s">
        <v>78</v>
      </c>
      <c r="K34" t="s">
        <v>79</v>
      </c>
      <c r="L34" t="s">
        <v>110</v>
      </c>
      <c r="M34" t="s">
        <v>111</v>
      </c>
      <c r="N34" t="s">
        <v>82</v>
      </c>
      <c r="O34" t="s">
        <v>112</v>
      </c>
      <c r="P34" s="8">
        <v>1</v>
      </c>
      <c r="Q34" s="10">
        <v>330.5</v>
      </c>
      <c r="R34" s="11">
        <v>0.12</v>
      </c>
      <c r="S34" s="10">
        <v>7.7</v>
      </c>
      <c r="T34" t="s">
        <v>105</v>
      </c>
      <c r="U34" t="s">
        <v>85</v>
      </c>
      <c r="V34" s="8">
        <v>2</v>
      </c>
      <c r="W34" t="s">
        <v>1270</v>
      </c>
      <c r="X34" t="str">
        <f>_xlfn.XLOOKUP(Cleaned_data[[#This Row],[Customer_ID]],Customers[S],Customers[Loyalty_Tier])</f>
        <v>Platinum</v>
      </c>
      <c r="Y34" s="9">
        <f>_xlfn.XLOOKUP(Cleaned_data[[#This Row],[Customer_ID]],Customers[S],Customers[Signup_Date])</f>
        <v>46013</v>
      </c>
      <c r="Z34" s="12">
        <f>_xlfn.XLOOKUP(Cleaned_data[[#This Row],[SKU]],Products[SKU],Products[Standard_Cost])</f>
        <v>165</v>
      </c>
      <c r="AA34" s="10">
        <f>Cleaned_data[[#This Row],[Quantity]]*Cleaned_data[[#This Row],[Unit_Price]]</f>
        <v>330.5</v>
      </c>
      <c r="AB34" s="10">
        <f>Cleaned_data[[#This Row],[Unit_Price]]*Cleaned_data[[#This Row],[Discount_Pct]]</f>
        <v>39.659999999999997</v>
      </c>
      <c r="AC34" s="10">
        <f>Cleaned_data[[#This Row],[Gross Sales]]-Cleaned_data[[#This Row],[Discount amount]]</f>
        <v>290.84000000000003</v>
      </c>
      <c r="AD34" s="10">
        <f>Cleaned_data[[#This Row],[Product Cost]]*Cleaned_data[[#This Row],[Quantity]]</f>
        <v>165</v>
      </c>
      <c r="AE34" s="10">
        <f>Cleaned_data[[#This Row],[Net Sales]]-Cleaned_data[[#This Row],[COGS]]</f>
        <v>125.84000000000003</v>
      </c>
      <c r="AF34" s="11">
        <f>Cleaned_data[[#This Row],[Gross Profit]]/Cleaned_data[[#This Row],[Net Sales]]</f>
        <v>0.43267776096823002</v>
      </c>
      <c r="AG34">
        <f>Cleaned_data[[#This Row],[Ship_Date]]-Cleaned_data[[#This Row],[Order_Date]]</f>
        <v>4</v>
      </c>
      <c r="AH34" t="str">
        <f>IF(Cleaned_data[[#This Row],[Delivery Days]]&gt;10,"late","on time")</f>
        <v>on time</v>
      </c>
      <c r="AI34" t="str">
        <f>TEXT(Cleaned_data[[#This Row],[Order_Date]],"mmmm")</f>
        <v>January</v>
      </c>
      <c r="AJ34" s="9" t="str">
        <f>"Q"&amp;ROUNDUP(MONTH(Cleaned_data[[#This Row],[Order_Date]])/3,0)</f>
        <v>Q1</v>
      </c>
    </row>
    <row r="35" spans="1:36">
      <c r="A35" t="s">
        <v>267</v>
      </c>
      <c r="B35" s="9">
        <v>45320</v>
      </c>
      <c r="C35" s="9">
        <v>45327</v>
      </c>
      <c r="D35" t="s">
        <v>268</v>
      </c>
      <c r="E35" t="s">
        <v>269</v>
      </c>
      <c r="F35" t="s">
        <v>74</v>
      </c>
      <c r="G35" t="s">
        <v>75</v>
      </c>
      <c r="H35" t="s">
        <v>212</v>
      </c>
      <c r="I35" t="s">
        <v>213</v>
      </c>
      <c r="J35" t="s">
        <v>129</v>
      </c>
      <c r="K35" t="s">
        <v>147</v>
      </c>
      <c r="L35" t="s">
        <v>162</v>
      </c>
      <c r="M35" t="s">
        <v>163</v>
      </c>
      <c r="N35" t="s">
        <v>120</v>
      </c>
      <c r="O35" t="s">
        <v>164</v>
      </c>
      <c r="P35" s="8">
        <v>1</v>
      </c>
      <c r="Q35" s="10">
        <v>933.13</v>
      </c>
      <c r="R35" s="11">
        <v>0.03</v>
      </c>
      <c r="S35" s="10">
        <v>17.010000000000002</v>
      </c>
      <c r="T35" t="s">
        <v>122</v>
      </c>
      <c r="U35" t="s">
        <v>85</v>
      </c>
      <c r="V35" s="8">
        <v>4</v>
      </c>
      <c r="W35" t="s">
        <v>1270</v>
      </c>
      <c r="X35" t="str">
        <f>_xlfn.XLOOKUP(Cleaned_data[[#This Row],[Customer_ID]],Customers[S],Customers[Loyalty_Tier])</f>
        <v>Bronze</v>
      </c>
      <c r="Y35" s="9">
        <f>_xlfn.XLOOKUP(Cleaned_data[[#This Row],[Customer_ID]],Customers[S],Customers[Signup_Date])</f>
        <v>44480</v>
      </c>
      <c r="Z35" s="12">
        <f>_xlfn.XLOOKUP(Cleaned_data[[#This Row],[SKU]],Products[SKU],Products[Standard_Cost])</f>
        <v>585</v>
      </c>
      <c r="AA35" s="10">
        <f>Cleaned_data[[#This Row],[Quantity]]*Cleaned_data[[#This Row],[Unit_Price]]</f>
        <v>933.13</v>
      </c>
      <c r="AB35" s="10">
        <f>Cleaned_data[[#This Row],[Unit_Price]]*Cleaned_data[[#This Row],[Discount_Pct]]</f>
        <v>27.9939</v>
      </c>
      <c r="AC35" s="10">
        <f>Cleaned_data[[#This Row],[Gross Sales]]-Cleaned_data[[#This Row],[Discount amount]]</f>
        <v>905.13609999999994</v>
      </c>
      <c r="AD35" s="10">
        <f>Cleaned_data[[#This Row],[Product Cost]]*Cleaned_data[[#This Row],[Quantity]]</f>
        <v>585</v>
      </c>
      <c r="AE35" s="10">
        <f>Cleaned_data[[#This Row],[Net Sales]]-Cleaned_data[[#This Row],[COGS]]</f>
        <v>320.13609999999994</v>
      </c>
      <c r="AF35" s="11">
        <f>Cleaned_data[[#This Row],[Gross Profit]]/Cleaned_data[[#This Row],[Net Sales]]</f>
        <v>0.35368835692223521</v>
      </c>
      <c r="AG35">
        <f>Cleaned_data[[#This Row],[Ship_Date]]-Cleaned_data[[#This Row],[Order_Date]]</f>
        <v>7</v>
      </c>
      <c r="AH35" t="str">
        <f>IF(Cleaned_data[[#This Row],[Delivery Days]]&gt;10,"late","on time")</f>
        <v>on time</v>
      </c>
      <c r="AI35" t="str">
        <f>TEXT(Cleaned_data[[#This Row],[Order_Date]],"mmmm")</f>
        <v>January</v>
      </c>
      <c r="AJ35" s="9" t="str">
        <f>"Q"&amp;ROUNDUP(MONTH(Cleaned_data[[#This Row],[Order_Date]])/3,0)</f>
        <v>Q1</v>
      </c>
    </row>
    <row r="36" spans="1:36">
      <c r="A36" t="s">
        <v>270</v>
      </c>
      <c r="B36" s="9">
        <v>45321</v>
      </c>
      <c r="C36" s="9">
        <v>45330</v>
      </c>
      <c r="D36" t="s">
        <v>271</v>
      </c>
      <c r="E36" t="s">
        <v>272</v>
      </c>
      <c r="F36" t="s">
        <v>89</v>
      </c>
      <c r="G36" t="s">
        <v>75</v>
      </c>
      <c r="H36" t="s">
        <v>273</v>
      </c>
      <c r="I36" t="s">
        <v>274</v>
      </c>
      <c r="J36" t="s">
        <v>129</v>
      </c>
      <c r="K36" t="s">
        <v>90</v>
      </c>
      <c r="L36" t="s">
        <v>249</v>
      </c>
      <c r="M36" t="s">
        <v>250</v>
      </c>
      <c r="N36" t="s">
        <v>103</v>
      </c>
      <c r="O36" t="s">
        <v>251</v>
      </c>
      <c r="P36" s="8">
        <v>1</v>
      </c>
      <c r="Q36" s="10">
        <v>22.39</v>
      </c>
      <c r="R36" s="11">
        <v>7.0000000000000007E-2</v>
      </c>
      <c r="S36" s="10">
        <v>14.64</v>
      </c>
      <c r="T36" t="s">
        <v>84</v>
      </c>
      <c r="U36" t="s">
        <v>85</v>
      </c>
      <c r="W36" t="s">
        <v>1270</v>
      </c>
      <c r="X36" t="str">
        <f>_xlfn.XLOOKUP(Cleaned_data[[#This Row],[Customer_ID]],Customers[S],Customers[Loyalty_Tier])</f>
        <v>Silver</v>
      </c>
      <c r="Y36" s="9">
        <f>_xlfn.XLOOKUP(Cleaned_data[[#This Row],[Customer_ID]],Customers[S],Customers[Signup_Date])</f>
        <v>44909</v>
      </c>
      <c r="Z36" s="12">
        <f>_xlfn.XLOOKUP(Cleaned_data[[#This Row],[SKU]],Products[SKU],Products[Standard_Cost])</f>
        <v>10</v>
      </c>
      <c r="AA36" s="10">
        <f>Cleaned_data[[#This Row],[Quantity]]*Cleaned_data[[#This Row],[Unit_Price]]</f>
        <v>22.39</v>
      </c>
      <c r="AB36" s="10">
        <f>Cleaned_data[[#This Row],[Unit_Price]]*Cleaned_data[[#This Row],[Discount_Pct]]</f>
        <v>1.5673000000000001</v>
      </c>
      <c r="AC36" s="10">
        <f>Cleaned_data[[#This Row],[Gross Sales]]-Cleaned_data[[#This Row],[Discount amount]]</f>
        <v>20.822700000000001</v>
      </c>
      <c r="AD36" s="10">
        <f>Cleaned_data[[#This Row],[Product Cost]]*Cleaned_data[[#This Row],[Quantity]]</f>
        <v>10</v>
      </c>
      <c r="AE36" s="10">
        <f>Cleaned_data[[#This Row],[Net Sales]]-Cleaned_data[[#This Row],[COGS]]</f>
        <v>10.822700000000001</v>
      </c>
      <c r="AF36" s="11">
        <f>Cleaned_data[[#This Row],[Gross Profit]]/Cleaned_data[[#This Row],[Net Sales]]</f>
        <v>0.51975488289222826</v>
      </c>
      <c r="AG36">
        <f>Cleaned_data[[#This Row],[Ship_Date]]-Cleaned_data[[#This Row],[Order_Date]]</f>
        <v>9</v>
      </c>
      <c r="AH36" t="str">
        <f>IF(Cleaned_data[[#This Row],[Delivery Days]]&gt;10,"late","on time")</f>
        <v>on time</v>
      </c>
      <c r="AI36" t="str">
        <f>TEXT(Cleaned_data[[#This Row],[Order_Date]],"mmmm")</f>
        <v>January</v>
      </c>
      <c r="AJ36" s="9" t="str">
        <f>"Q"&amp;ROUNDUP(MONTH(Cleaned_data[[#This Row],[Order_Date]])/3,0)</f>
        <v>Q1</v>
      </c>
    </row>
    <row r="37" spans="1:36">
      <c r="A37" t="s">
        <v>275</v>
      </c>
      <c r="B37" s="9">
        <v>45322</v>
      </c>
      <c r="C37" s="9">
        <v>45323</v>
      </c>
      <c r="D37" t="s">
        <v>276</v>
      </c>
      <c r="E37" t="s">
        <v>277</v>
      </c>
      <c r="F37" t="s">
        <v>152</v>
      </c>
      <c r="G37" t="s">
        <v>75</v>
      </c>
      <c r="H37" t="s">
        <v>212</v>
      </c>
      <c r="I37" t="s">
        <v>213</v>
      </c>
      <c r="J37" t="s">
        <v>219</v>
      </c>
      <c r="K37" t="s">
        <v>147</v>
      </c>
      <c r="L37" t="s">
        <v>242</v>
      </c>
      <c r="M37" t="s">
        <v>243</v>
      </c>
      <c r="N37" t="s">
        <v>120</v>
      </c>
      <c r="O37" t="s">
        <v>133</v>
      </c>
      <c r="P37" s="8">
        <v>3</v>
      </c>
      <c r="Q37" s="10">
        <v>189.23</v>
      </c>
      <c r="R37" s="11">
        <v>0.06</v>
      </c>
      <c r="S37" s="10">
        <v>5.29</v>
      </c>
      <c r="T37" t="s">
        <v>105</v>
      </c>
      <c r="U37" t="s">
        <v>85</v>
      </c>
      <c r="V37" s="8">
        <v>1</v>
      </c>
      <c r="W37" t="s">
        <v>1270</v>
      </c>
      <c r="X37" t="str">
        <f>_xlfn.XLOOKUP(Cleaned_data[[#This Row],[Customer_ID]],Customers[S],Customers[Loyalty_Tier])</f>
        <v>Silver</v>
      </c>
      <c r="Y37" s="9">
        <f>_xlfn.XLOOKUP(Cleaned_data[[#This Row],[Customer_ID]],Customers[S],Customers[Signup_Date])</f>
        <v>44291</v>
      </c>
      <c r="Z37" s="12">
        <f>_xlfn.XLOOKUP(Cleaned_data[[#This Row],[SKU]],Products[SKU],Products[Standard_Cost])</f>
        <v>96</v>
      </c>
      <c r="AA37" s="10">
        <f>Cleaned_data[[#This Row],[Quantity]]*Cleaned_data[[#This Row],[Unit_Price]]</f>
        <v>567.68999999999994</v>
      </c>
      <c r="AB37" s="10">
        <f>Cleaned_data[[#This Row],[Unit_Price]]*Cleaned_data[[#This Row],[Discount_Pct]]</f>
        <v>11.3538</v>
      </c>
      <c r="AC37" s="10">
        <f>Cleaned_data[[#This Row],[Gross Sales]]-Cleaned_data[[#This Row],[Discount amount]]</f>
        <v>556.33619999999996</v>
      </c>
      <c r="AD37" s="10">
        <f>Cleaned_data[[#This Row],[Product Cost]]*Cleaned_data[[#This Row],[Quantity]]</f>
        <v>288</v>
      </c>
      <c r="AE37" s="10">
        <f>Cleaned_data[[#This Row],[Net Sales]]-Cleaned_data[[#This Row],[COGS]]</f>
        <v>268.33619999999996</v>
      </c>
      <c r="AF37" s="11">
        <f>Cleaned_data[[#This Row],[Gross Profit]]/Cleaned_data[[#This Row],[Net Sales]]</f>
        <v>0.48232741281261221</v>
      </c>
      <c r="AG37">
        <f>Cleaned_data[[#This Row],[Ship_Date]]-Cleaned_data[[#This Row],[Order_Date]]</f>
        <v>1</v>
      </c>
      <c r="AH37" t="str">
        <f>IF(Cleaned_data[[#This Row],[Delivery Days]]&gt;10,"late","on time")</f>
        <v>on time</v>
      </c>
      <c r="AI37" t="str">
        <f>TEXT(Cleaned_data[[#This Row],[Order_Date]],"mmmm")</f>
        <v>January</v>
      </c>
      <c r="AJ37" s="9" t="str">
        <f>"Q"&amp;ROUNDUP(MONTH(Cleaned_data[[#This Row],[Order_Date]])/3,0)</f>
        <v>Q1</v>
      </c>
    </row>
    <row r="38" spans="1:36">
      <c r="A38" t="s">
        <v>278</v>
      </c>
      <c r="B38" s="9">
        <v>45322</v>
      </c>
      <c r="C38" s="9">
        <v>45339</v>
      </c>
      <c r="D38" t="s">
        <v>279</v>
      </c>
      <c r="E38" t="s">
        <v>280</v>
      </c>
      <c r="F38" t="s">
        <v>89</v>
      </c>
      <c r="G38" t="s">
        <v>126</v>
      </c>
      <c r="H38" t="s">
        <v>160</v>
      </c>
      <c r="I38" t="s">
        <v>182</v>
      </c>
      <c r="J38" t="s">
        <v>109</v>
      </c>
      <c r="K38" t="s">
        <v>130</v>
      </c>
      <c r="L38" t="s">
        <v>155</v>
      </c>
      <c r="M38" t="s">
        <v>156</v>
      </c>
      <c r="N38" t="s">
        <v>82</v>
      </c>
      <c r="O38" t="s">
        <v>112</v>
      </c>
      <c r="P38" s="8">
        <v>10</v>
      </c>
      <c r="Q38" s="10">
        <v>172.82</v>
      </c>
      <c r="R38" s="11">
        <v>0.11</v>
      </c>
      <c r="S38" s="10">
        <v>12.65</v>
      </c>
      <c r="T38" t="s">
        <v>84</v>
      </c>
      <c r="U38" t="s">
        <v>85</v>
      </c>
      <c r="V38" s="8">
        <v>2</v>
      </c>
      <c r="W38" t="s">
        <v>1270</v>
      </c>
      <c r="X38" t="str">
        <f>_xlfn.XLOOKUP(Cleaned_data[[#This Row],[Customer_ID]],Customers[S],Customers[Loyalty_Tier])</f>
        <v>Bronze</v>
      </c>
      <c r="Y38" s="9">
        <f>_xlfn.XLOOKUP(Cleaned_data[[#This Row],[Customer_ID]],Customers[S],Customers[Signup_Date])</f>
        <v>45772</v>
      </c>
      <c r="Z38" s="12">
        <f>_xlfn.XLOOKUP(Cleaned_data[[#This Row],[SKU]],Products[SKU],Products[Standard_Cost])</f>
        <v>82</v>
      </c>
      <c r="AA38" s="10">
        <f>Cleaned_data[[#This Row],[Quantity]]*Cleaned_data[[#This Row],[Unit_Price]]</f>
        <v>1728.1999999999998</v>
      </c>
      <c r="AB38" s="10">
        <f>Cleaned_data[[#This Row],[Unit_Price]]*Cleaned_data[[#This Row],[Discount_Pct]]</f>
        <v>19.010200000000001</v>
      </c>
      <c r="AC38" s="10">
        <f>Cleaned_data[[#This Row],[Gross Sales]]-Cleaned_data[[#This Row],[Discount amount]]</f>
        <v>1709.1897999999999</v>
      </c>
      <c r="AD38" s="10">
        <f>Cleaned_data[[#This Row],[Product Cost]]*Cleaned_data[[#This Row],[Quantity]]</f>
        <v>820</v>
      </c>
      <c r="AE38" s="10">
        <f>Cleaned_data[[#This Row],[Net Sales]]-Cleaned_data[[#This Row],[COGS]]</f>
        <v>889.18979999999988</v>
      </c>
      <c r="AF38" s="11">
        <f>Cleaned_data[[#This Row],[Gross Profit]]/Cleaned_data[[#This Row],[Net Sales]]</f>
        <v>0.5202405256572441</v>
      </c>
      <c r="AG38">
        <f>Cleaned_data[[#This Row],[Ship_Date]]-Cleaned_data[[#This Row],[Order_Date]]</f>
        <v>17</v>
      </c>
      <c r="AH38" t="str">
        <f>IF(Cleaned_data[[#This Row],[Delivery Days]]&gt;10,"late","on time")</f>
        <v>late</v>
      </c>
      <c r="AI38" t="str">
        <f>TEXT(Cleaned_data[[#This Row],[Order_Date]],"mmmm")</f>
        <v>January</v>
      </c>
      <c r="AJ38" s="9" t="str">
        <f>"Q"&amp;ROUNDUP(MONTH(Cleaned_data[[#This Row],[Order_Date]])/3,0)</f>
        <v>Q1</v>
      </c>
    </row>
    <row r="39" spans="1:36">
      <c r="A39" t="s">
        <v>281</v>
      </c>
      <c r="B39" s="9">
        <v>45324</v>
      </c>
      <c r="C39" s="9">
        <v>45331</v>
      </c>
      <c r="D39" t="s">
        <v>282</v>
      </c>
      <c r="E39" t="s">
        <v>283</v>
      </c>
      <c r="F39" t="s">
        <v>89</v>
      </c>
      <c r="G39" t="s">
        <v>75</v>
      </c>
      <c r="H39" t="s">
        <v>273</v>
      </c>
      <c r="I39" t="s">
        <v>274</v>
      </c>
      <c r="J39" t="s">
        <v>219</v>
      </c>
      <c r="K39" t="s">
        <v>168</v>
      </c>
      <c r="L39" t="s">
        <v>284</v>
      </c>
      <c r="M39" t="s">
        <v>285</v>
      </c>
      <c r="N39" t="s">
        <v>103</v>
      </c>
      <c r="O39" t="s">
        <v>143</v>
      </c>
      <c r="P39" s="8">
        <v>5</v>
      </c>
      <c r="Q39" s="10">
        <v>29.23</v>
      </c>
      <c r="R39" s="11">
        <v>7.0000000000000007E-2</v>
      </c>
      <c r="S39" s="10">
        <v>11.54</v>
      </c>
      <c r="T39" t="s">
        <v>84</v>
      </c>
      <c r="U39" t="s">
        <v>85</v>
      </c>
      <c r="V39" s="8">
        <v>5</v>
      </c>
      <c r="W39" t="s">
        <v>1270</v>
      </c>
      <c r="X39" t="str">
        <f>_xlfn.XLOOKUP(Cleaned_data[[#This Row],[Customer_ID]],Customers[S],Customers[Loyalty_Tier])</f>
        <v>Platinum</v>
      </c>
      <c r="Y39" s="9">
        <f>_xlfn.XLOOKUP(Cleaned_data[[#This Row],[Customer_ID]],Customers[S],Customers[Signup_Date])</f>
        <v>44737</v>
      </c>
      <c r="Z39" s="12">
        <f>_xlfn.XLOOKUP(Cleaned_data[[#This Row],[SKU]],Products[SKU],Products[Standard_Cost])</f>
        <v>14</v>
      </c>
      <c r="AA39" s="10">
        <f>Cleaned_data[[#This Row],[Quantity]]*Cleaned_data[[#This Row],[Unit_Price]]</f>
        <v>146.15</v>
      </c>
      <c r="AB39" s="10">
        <f>Cleaned_data[[#This Row],[Unit_Price]]*Cleaned_data[[#This Row],[Discount_Pct]]</f>
        <v>2.0461</v>
      </c>
      <c r="AC39" s="10">
        <f>Cleaned_data[[#This Row],[Gross Sales]]-Cleaned_data[[#This Row],[Discount amount]]</f>
        <v>144.10390000000001</v>
      </c>
      <c r="AD39" s="10">
        <f>Cleaned_data[[#This Row],[Product Cost]]*Cleaned_data[[#This Row],[Quantity]]</f>
        <v>70</v>
      </c>
      <c r="AE39" s="10">
        <f>Cleaned_data[[#This Row],[Net Sales]]-Cleaned_data[[#This Row],[COGS]]</f>
        <v>74.10390000000001</v>
      </c>
      <c r="AF39" s="11">
        <f>Cleaned_data[[#This Row],[Gross Profit]]/Cleaned_data[[#This Row],[Net Sales]]</f>
        <v>0.51423937867052871</v>
      </c>
      <c r="AG39">
        <f>Cleaned_data[[#This Row],[Ship_Date]]-Cleaned_data[[#This Row],[Order_Date]]</f>
        <v>7</v>
      </c>
      <c r="AH39" t="str">
        <f>IF(Cleaned_data[[#This Row],[Delivery Days]]&gt;10,"late","on time")</f>
        <v>on time</v>
      </c>
      <c r="AI39" t="str">
        <f>TEXT(Cleaned_data[[#This Row],[Order_Date]],"mmmm")</f>
        <v>February</v>
      </c>
      <c r="AJ39" s="9" t="str">
        <f>"Q"&amp;ROUNDUP(MONTH(Cleaned_data[[#This Row],[Order_Date]])/3,0)</f>
        <v>Q1</v>
      </c>
    </row>
    <row r="40" spans="1:36">
      <c r="A40" t="s">
        <v>286</v>
      </c>
      <c r="B40" s="9">
        <v>45325</v>
      </c>
      <c r="C40" s="9">
        <v>45326</v>
      </c>
      <c r="D40" t="s">
        <v>287</v>
      </c>
      <c r="E40" t="s">
        <v>146</v>
      </c>
      <c r="F40" t="s">
        <v>89</v>
      </c>
      <c r="G40" t="s">
        <v>194</v>
      </c>
      <c r="H40" t="s">
        <v>195</v>
      </c>
      <c r="I40" t="s">
        <v>196</v>
      </c>
      <c r="J40" t="s">
        <v>109</v>
      </c>
      <c r="K40" t="s">
        <v>100</v>
      </c>
      <c r="L40" t="s">
        <v>118</v>
      </c>
      <c r="M40" t="s">
        <v>119</v>
      </c>
      <c r="N40" t="s">
        <v>120</v>
      </c>
      <c r="O40" t="s">
        <v>121</v>
      </c>
      <c r="P40" s="8">
        <v>3</v>
      </c>
      <c r="Q40" s="10">
        <v>282.02999999999997</v>
      </c>
      <c r="R40" s="11">
        <v>0.08</v>
      </c>
      <c r="S40" s="10">
        <v>11.74</v>
      </c>
      <c r="T40" t="s">
        <v>84</v>
      </c>
      <c r="U40" t="s">
        <v>85</v>
      </c>
      <c r="W40" t="s">
        <v>1270</v>
      </c>
      <c r="X40" t="str">
        <f>_xlfn.XLOOKUP(Cleaned_data[[#This Row],[Customer_ID]],Customers[S],Customers[Loyalty_Tier])</f>
        <v>Gold</v>
      </c>
      <c r="Y40" s="9">
        <f>_xlfn.XLOOKUP(Cleaned_data[[#This Row],[Customer_ID]],Customers[S],Customers[Signup_Date])</f>
        <v>45848</v>
      </c>
      <c r="Z40" s="12">
        <f>_xlfn.XLOOKUP(Cleaned_data[[#This Row],[SKU]],Products[SKU],Products[Standard_Cost])</f>
        <v>168</v>
      </c>
      <c r="AA40" s="10">
        <f>Cleaned_data[[#This Row],[Quantity]]*Cleaned_data[[#This Row],[Unit_Price]]</f>
        <v>846.08999999999992</v>
      </c>
      <c r="AB40" s="10">
        <f>Cleaned_data[[#This Row],[Unit_Price]]*Cleaned_data[[#This Row],[Discount_Pct]]</f>
        <v>22.562399999999997</v>
      </c>
      <c r="AC40" s="10">
        <f>Cleaned_data[[#This Row],[Gross Sales]]-Cleaned_data[[#This Row],[Discount amount]]</f>
        <v>823.52759999999989</v>
      </c>
      <c r="AD40" s="10">
        <f>Cleaned_data[[#This Row],[Product Cost]]*Cleaned_data[[#This Row],[Quantity]]</f>
        <v>504</v>
      </c>
      <c r="AE40" s="10">
        <f>Cleaned_data[[#This Row],[Net Sales]]-Cleaned_data[[#This Row],[COGS]]</f>
        <v>319.52759999999989</v>
      </c>
      <c r="AF40" s="11">
        <f>Cleaned_data[[#This Row],[Gross Profit]]/Cleaned_data[[#This Row],[Net Sales]]</f>
        <v>0.38799865359703783</v>
      </c>
      <c r="AG40">
        <f>Cleaned_data[[#This Row],[Ship_Date]]-Cleaned_data[[#This Row],[Order_Date]]</f>
        <v>1</v>
      </c>
      <c r="AH40" t="str">
        <f>IF(Cleaned_data[[#This Row],[Delivery Days]]&gt;10,"late","on time")</f>
        <v>on time</v>
      </c>
      <c r="AI40" t="str">
        <f>TEXT(Cleaned_data[[#This Row],[Order_Date]],"mmmm")</f>
        <v>February</v>
      </c>
      <c r="AJ40" s="9" t="str">
        <f>"Q"&amp;ROUNDUP(MONTH(Cleaned_data[[#This Row],[Order_Date]])/3,0)</f>
        <v>Q1</v>
      </c>
    </row>
    <row r="41" spans="1:36">
      <c r="A41" t="s">
        <v>288</v>
      </c>
      <c r="B41" s="9">
        <v>45326</v>
      </c>
      <c r="C41" s="9">
        <v>45329</v>
      </c>
      <c r="D41" t="s">
        <v>289</v>
      </c>
      <c r="E41" t="s">
        <v>290</v>
      </c>
      <c r="F41" t="s">
        <v>74</v>
      </c>
      <c r="G41" t="s">
        <v>126</v>
      </c>
      <c r="H41" t="s">
        <v>291</v>
      </c>
      <c r="I41" t="s">
        <v>292</v>
      </c>
      <c r="J41" t="s">
        <v>109</v>
      </c>
      <c r="K41" t="s">
        <v>79</v>
      </c>
      <c r="L41" t="s">
        <v>284</v>
      </c>
      <c r="M41" t="s">
        <v>285</v>
      </c>
      <c r="N41" t="s">
        <v>103</v>
      </c>
      <c r="O41" t="s">
        <v>143</v>
      </c>
      <c r="P41" s="8">
        <v>4</v>
      </c>
      <c r="Q41" s="10">
        <v>28.74</v>
      </c>
      <c r="R41" s="11">
        <v>0.3</v>
      </c>
      <c r="S41" s="10">
        <v>13.61</v>
      </c>
      <c r="T41" t="s">
        <v>84</v>
      </c>
      <c r="U41" t="s">
        <v>85</v>
      </c>
      <c r="V41" s="8">
        <v>3</v>
      </c>
      <c r="W41" t="s">
        <v>1270</v>
      </c>
      <c r="X41" t="str">
        <f>_xlfn.XLOOKUP(Cleaned_data[[#This Row],[Customer_ID]],Customers[S],Customers[Loyalty_Tier])</f>
        <v>Silver</v>
      </c>
      <c r="Y41" s="9">
        <f>_xlfn.XLOOKUP(Cleaned_data[[#This Row],[Customer_ID]],Customers[S],Customers[Signup_Date])</f>
        <v>44734</v>
      </c>
      <c r="Z41" s="12">
        <f>_xlfn.XLOOKUP(Cleaned_data[[#This Row],[SKU]],Products[SKU],Products[Standard_Cost])</f>
        <v>14</v>
      </c>
      <c r="AA41" s="10">
        <f>Cleaned_data[[#This Row],[Quantity]]*Cleaned_data[[#This Row],[Unit_Price]]</f>
        <v>114.96</v>
      </c>
      <c r="AB41" s="10">
        <f>Cleaned_data[[#This Row],[Unit_Price]]*Cleaned_data[[#This Row],[Discount_Pct]]</f>
        <v>8.6219999999999999</v>
      </c>
      <c r="AC41" s="10">
        <f>Cleaned_data[[#This Row],[Gross Sales]]-Cleaned_data[[#This Row],[Discount amount]]</f>
        <v>106.33799999999999</v>
      </c>
      <c r="AD41" s="10">
        <f>Cleaned_data[[#This Row],[Product Cost]]*Cleaned_data[[#This Row],[Quantity]]</f>
        <v>56</v>
      </c>
      <c r="AE41" s="10">
        <f>Cleaned_data[[#This Row],[Net Sales]]-Cleaned_data[[#This Row],[COGS]]</f>
        <v>50.337999999999994</v>
      </c>
      <c r="AF41" s="11">
        <f>Cleaned_data[[#This Row],[Gross Profit]]/Cleaned_data[[#This Row],[Net Sales]]</f>
        <v>0.47337734394101821</v>
      </c>
      <c r="AG41">
        <f>Cleaned_data[[#This Row],[Ship_Date]]-Cleaned_data[[#This Row],[Order_Date]]</f>
        <v>3</v>
      </c>
      <c r="AH41" t="str">
        <f>IF(Cleaned_data[[#This Row],[Delivery Days]]&gt;10,"late","on time")</f>
        <v>on time</v>
      </c>
      <c r="AI41" t="str">
        <f>TEXT(Cleaned_data[[#This Row],[Order_Date]],"mmmm")</f>
        <v>February</v>
      </c>
      <c r="AJ41" s="9" t="str">
        <f>"Q"&amp;ROUNDUP(MONTH(Cleaned_data[[#This Row],[Order_Date]])/3,0)</f>
        <v>Q1</v>
      </c>
    </row>
    <row r="42" spans="1:36">
      <c r="A42" t="s">
        <v>293</v>
      </c>
      <c r="B42" s="9">
        <v>45329</v>
      </c>
      <c r="C42" s="9">
        <v>45330</v>
      </c>
      <c r="D42" t="s">
        <v>294</v>
      </c>
      <c r="E42" t="s">
        <v>146</v>
      </c>
      <c r="F42" t="s">
        <v>152</v>
      </c>
      <c r="G42" t="s">
        <v>194</v>
      </c>
      <c r="H42" t="s">
        <v>225</v>
      </c>
      <c r="I42" t="s">
        <v>226</v>
      </c>
      <c r="J42" t="s">
        <v>78</v>
      </c>
      <c r="K42" t="s">
        <v>100</v>
      </c>
      <c r="L42" t="s">
        <v>249</v>
      </c>
      <c r="M42" t="s">
        <v>250</v>
      </c>
      <c r="N42" t="s">
        <v>103</v>
      </c>
      <c r="O42" t="s">
        <v>251</v>
      </c>
      <c r="P42" s="8">
        <v>6</v>
      </c>
      <c r="Q42" s="10">
        <v>20.97</v>
      </c>
      <c r="R42" s="11">
        <v>0.09</v>
      </c>
      <c r="S42" s="10">
        <v>11.4</v>
      </c>
      <c r="T42" t="s">
        <v>122</v>
      </c>
      <c r="U42" t="s">
        <v>85</v>
      </c>
      <c r="V42" s="8">
        <v>3</v>
      </c>
      <c r="W42" t="s">
        <v>1270</v>
      </c>
      <c r="X42" t="str">
        <f>_xlfn.XLOOKUP(Cleaned_data[[#This Row],[Customer_ID]],Customers[S],Customers[Loyalty_Tier])</f>
        <v>Bronze</v>
      </c>
      <c r="Y42" s="9">
        <f>_xlfn.XLOOKUP(Cleaned_data[[#This Row],[Customer_ID]],Customers[S],Customers[Signup_Date])</f>
        <v>45149</v>
      </c>
      <c r="Z42" s="12">
        <f>_xlfn.XLOOKUP(Cleaned_data[[#This Row],[SKU]],Products[SKU],Products[Standard_Cost])</f>
        <v>10</v>
      </c>
      <c r="AA42" s="10">
        <f>Cleaned_data[[#This Row],[Quantity]]*Cleaned_data[[#This Row],[Unit_Price]]</f>
        <v>125.82</v>
      </c>
      <c r="AB42" s="10">
        <f>Cleaned_data[[#This Row],[Unit_Price]]*Cleaned_data[[#This Row],[Discount_Pct]]</f>
        <v>1.8872999999999998</v>
      </c>
      <c r="AC42" s="10">
        <f>Cleaned_data[[#This Row],[Gross Sales]]-Cleaned_data[[#This Row],[Discount amount]]</f>
        <v>123.9327</v>
      </c>
      <c r="AD42" s="10">
        <f>Cleaned_data[[#This Row],[Product Cost]]*Cleaned_data[[#This Row],[Quantity]]</f>
        <v>60</v>
      </c>
      <c r="AE42" s="10">
        <f>Cleaned_data[[#This Row],[Net Sales]]-Cleaned_data[[#This Row],[COGS]]</f>
        <v>63.932699999999997</v>
      </c>
      <c r="AF42" s="11">
        <f>Cleaned_data[[#This Row],[Gross Profit]]/Cleaned_data[[#This Row],[Net Sales]]</f>
        <v>0.5158662725818125</v>
      </c>
      <c r="AG42">
        <f>Cleaned_data[[#This Row],[Ship_Date]]-Cleaned_data[[#This Row],[Order_Date]]</f>
        <v>1</v>
      </c>
      <c r="AH42" t="str">
        <f>IF(Cleaned_data[[#This Row],[Delivery Days]]&gt;10,"late","on time")</f>
        <v>on time</v>
      </c>
      <c r="AI42" t="str">
        <f>TEXT(Cleaned_data[[#This Row],[Order_Date]],"mmmm")</f>
        <v>February</v>
      </c>
      <c r="AJ42" s="9" t="str">
        <f>"Q"&amp;ROUNDUP(MONTH(Cleaned_data[[#This Row],[Order_Date]])/3,0)</f>
        <v>Q1</v>
      </c>
    </row>
    <row r="43" spans="1:36">
      <c r="A43" t="s">
        <v>295</v>
      </c>
      <c r="B43" s="9">
        <v>45329</v>
      </c>
      <c r="C43" s="9">
        <v>45337</v>
      </c>
      <c r="D43" t="s">
        <v>282</v>
      </c>
      <c r="E43" t="s">
        <v>283</v>
      </c>
      <c r="F43" t="s">
        <v>89</v>
      </c>
      <c r="G43" t="s">
        <v>75</v>
      </c>
      <c r="H43" t="s">
        <v>273</v>
      </c>
      <c r="I43" t="s">
        <v>274</v>
      </c>
      <c r="J43" t="s">
        <v>78</v>
      </c>
      <c r="K43" t="s">
        <v>90</v>
      </c>
      <c r="L43" t="s">
        <v>242</v>
      </c>
      <c r="M43" t="s">
        <v>243</v>
      </c>
      <c r="N43" t="s">
        <v>120</v>
      </c>
      <c r="O43" t="s">
        <v>133</v>
      </c>
      <c r="P43" s="8">
        <v>4</v>
      </c>
      <c r="Q43" s="10">
        <v>185.14</v>
      </c>
      <c r="R43" s="11">
        <v>0.09</v>
      </c>
      <c r="S43" s="10">
        <v>12.24</v>
      </c>
      <c r="T43" t="s">
        <v>122</v>
      </c>
      <c r="U43" t="s">
        <v>85</v>
      </c>
      <c r="V43" s="8">
        <v>2</v>
      </c>
      <c r="W43" t="s">
        <v>1270</v>
      </c>
      <c r="X43" t="str">
        <f>_xlfn.XLOOKUP(Cleaned_data[[#This Row],[Customer_ID]],Customers[S],Customers[Loyalty_Tier])</f>
        <v>Platinum</v>
      </c>
      <c r="Y43" s="9">
        <f>_xlfn.XLOOKUP(Cleaned_data[[#This Row],[Customer_ID]],Customers[S],Customers[Signup_Date])</f>
        <v>44737</v>
      </c>
      <c r="Z43" s="12">
        <f>_xlfn.XLOOKUP(Cleaned_data[[#This Row],[SKU]],Products[SKU],Products[Standard_Cost])</f>
        <v>96</v>
      </c>
      <c r="AA43" s="10">
        <f>Cleaned_data[[#This Row],[Quantity]]*Cleaned_data[[#This Row],[Unit_Price]]</f>
        <v>740.56</v>
      </c>
      <c r="AB43" s="10">
        <f>Cleaned_data[[#This Row],[Unit_Price]]*Cleaned_data[[#This Row],[Discount_Pct]]</f>
        <v>16.662599999999998</v>
      </c>
      <c r="AC43" s="10">
        <f>Cleaned_data[[#This Row],[Gross Sales]]-Cleaned_data[[#This Row],[Discount amount]]</f>
        <v>723.89739999999995</v>
      </c>
      <c r="AD43" s="10">
        <f>Cleaned_data[[#This Row],[Product Cost]]*Cleaned_data[[#This Row],[Quantity]]</f>
        <v>384</v>
      </c>
      <c r="AE43" s="10">
        <f>Cleaned_data[[#This Row],[Net Sales]]-Cleaned_data[[#This Row],[COGS]]</f>
        <v>339.89739999999995</v>
      </c>
      <c r="AF43" s="11">
        <f>Cleaned_data[[#This Row],[Gross Profit]]/Cleaned_data[[#This Row],[Net Sales]]</f>
        <v>0.46953808647468548</v>
      </c>
      <c r="AG43">
        <f>Cleaned_data[[#This Row],[Ship_Date]]-Cleaned_data[[#This Row],[Order_Date]]</f>
        <v>8</v>
      </c>
      <c r="AH43" t="str">
        <f>IF(Cleaned_data[[#This Row],[Delivery Days]]&gt;10,"late","on time")</f>
        <v>on time</v>
      </c>
      <c r="AI43" t="str">
        <f>TEXT(Cleaned_data[[#This Row],[Order_Date]],"mmmm")</f>
        <v>February</v>
      </c>
      <c r="AJ43" s="9" t="str">
        <f>"Q"&amp;ROUNDUP(MONTH(Cleaned_data[[#This Row],[Order_Date]])/3,0)</f>
        <v>Q1</v>
      </c>
    </row>
    <row r="44" spans="1:36">
      <c r="A44" t="s">
        <v>296</v>
      </c>
      <c r="B44" s="9">
        <v>45329</v>
      </c>
      <c r="C44" s="9">
        <v>45333</v>
      </c>
      <c r="D44" t="s">
        <v>297</v>
      </c>
      <c r="E44" t="s">
        <v>298</v>
      </c>
      <c r="F44" t="s">
        <v>74</v>
      </c>
      <c r="G44" t="s">
        <v>126</v>
      </c>
      <c r="H44" t="s">
        <v>291</v>
      </c>
      <c r="I44" t="s">
        <v>292</v>
      </c>
      <c r="J44" t="s">
        <v>219</v>
      </c>
      <c r="K44" t="s">
        <v>168</v>
      </c>
      <c r="L44" t="s">
        <v>214</v>
      </c>
      <c r="M44" t="s">
        <v>215</v>
      </c>
      <c r="N44" t="s">
        <v>103</v>
      </c>
      <c r="O44" t="s">
        <v>171</v>
      </c>
      <c r="P44" s="8">
        <v>10</v>
      </c>
      <c r="Q44" s="10">
        <v>12.69</v>
      </c>
      <c r="R44" s="11">
        <v>0.05</v>
      </c>
      <c r="S44" s="10">
        <v>15.4</v>
      </c>
      <c r="T44" t="s">
        <v>134</v>
      </c>
      <c r="U44" t="s">
        <v>85</v>
      </c>
      <c r="V44" s="8">
        <v>2</v>
      </c>
      <c r="W44" t="s">
        <v>1270</v>
      </c>
      <c r="X44" t="str">
        <f>_xlfn.XLOOKUP(Cleaned_data[[#This Row],[Customer_ID]],Customers[S],Customers[Loyalty_Tier])</f>
        <v>Bronze</v>
      </c>
      <c r="Y44" s="9">
        <f>_xlfn.XLOOKUP(Cleaned_data[[#This Row],[Customer_ID]],Customers[S],Customers[Signup_Date])</f>
        <v>44911</v>
      </c>
      <c r="Z44" s="12">
        <f>_xlfn.XLOOKUP(Cleaned_data[[#This Row],[SKU]],Products[SKU],Products[Standard_Cost])</f>
        <v>5</v>
      </c>
      <c r="AA44" s="10">
        <f>Cleaned_data[[#This Row],[Quantity]]*Cleaned_data[[#This Row],[Unit_Price]]</f>
        <v>126.89999999999999</v>
      </c>
      <c r="AB44" s="10">
        <f>Cleaned_data[[#This Row],[Unit_Price]]*Cleaned_data[[#This Row],[Discount_Pct]]</f>
        <v>0.63450000000000006</v>
      </c>
      <c r="AC44" s="10">
        <f>Cleaned_data[[#This Row],[Gross Sales]]-Cleaned_data[[#This Row],[Discount amount]]</f>
        <v>126.26549999999999</v>
      </c>
      <c r="AD44" s="10">
        <f>Cleaned_data[[#This Row],[Product Cost]]*Cleaned_data[[#This Row],[Quantity]]</f>
        <v>50</v>
      </c>
      <c r="AE44" s="10">
        <f>Cleaned_data[[#This Row],[Net Sales]]-Cleaned_data[[#This Row],[COGS]]</f>
        <v>76.265499999999989</v>
      </c>
      <c r="AF44" s="11">
        <f>Cleaned_data[[#This Row],[Gross Profit]]/Cleaned_data[[#This Row],[Net Sales]]</f>
        <v>0.60400901275486962</v>
      </c>
      <c r="AG44">
        <f>Cleaned_data[[#This Row],[Ship_Date]]-Cleaned_data[[#This Row],[Order_Date]]</f>
        <v>4</v>
      </c>
      <c r="AH44" t="str">
        <f>IF(Cleaned_data[[#This Row],[Delivery Days]]&gt;10,"late","on time")</f>
        <v>on time</v>
      </c>
      <c r="AI44" t="str">
        <f>TEXT(Cleaned_data[[#This Row],[Order_Date]],"mmmm")</f>
        <v>February</v>
      </c>
      <c r="AJ44" s="9" t="str">
        <f>"Q"&amp;ROUNDUP(MONTH(Cleaned_data[[#This Row],[Order_Date]])/3,0)</f>
        <v>Q1</v>
      </c>
    </row>
    <row r="45" spans="1:36">
      <c r="A45" t="s">
        <v>299</v>
      </c>
      <c r="B45" s="9">
        <v>45331</v>
      </c>
      <c r="C45" s="9">
        <v>45334</v>
      </c>
      <c r="D45" t="s">
        <v>300</v>
      </c>
      <c r="E45" t="s">
        <v>151</v>
      </c>
      <c r="F45" t="s">
        <v>152</v>
      </c>
      <c r="G45" t="s">
        <v>75</v>
      </c>
      <c r="H45" t="s">
        <v>98</v>
      </c>
      <c r="I45" t="s">
        <v>99</v>
      </c>
      <c r="J45" t="s">
        <v>129</v>
      </c>
      <c r="K45" t="s">
        <v>100</v>
      </c>
      <c r="L45" t="s">
        <v>301</v>
      </c>
      <c r="M45" t="s">
        <v>302</v>
      </c>
      <c r="N45" t="s">
        <v>120</v>
      </c>
      <c r="O45" t="s">
        <v>190</v>
      </c>
      <c r="P45" s="8">
        <v>3</v>
      </c>
      <c r="Q45" s="10">
        <v>132.36000000000001</v>
      </c>
      <c r="R45" s="11">
        <v>0.06</v>
      </c>
      <c r="S45" s="10">
        <v>11.25</v>
      </c>
      <c r="T45" t="s">
        <v>84</v>
      </c>
      <c r="U45" t="s">
        <v>85</v>
      </c>
      <c r="V45" s="8">
        <v>1</v>
      </c>
      <c r="W45" t="s">
        <v>1270</v>
      </c>
      <c r="X45" t="str">
        <f>_xlfn.XLOOKUP(Cleaned_data[[#This Row],[Customer_ID]],Customers[S],Customers[Loyalty_Tier])</f>
        <v>Gold</v>
      </c>
      <c r="Y45" s="9">
        <f>_xlfn.XLOOKUP(Cleaned_data[[#This Row],[Customer_ID]],Customers[S],Customers[Signup_Date])</f>
        <v>44995</v>
      </c>
      <c r="Z45" s="12">
        <f>_xlfn.XLOOKUP(Cleaned_data[[#This Row],[SKU]],Products[SKU],Products[Standard_Cost])</f>
        <v>72</v>
      </c>
      <c r="AA45" s="10">
        <f>Cleaned_data[[#This Row],[Quantity]]*Cleaned_data[[#This Row],[Unit_Price]]</f>
        <v>397.08000000000004</v>
      </c>
      <c r="AB45" s="10">
        <f>Cleaned_data[[#This Row],[Unit_Price]]*Cleaned_data[[#This Row],[Discount_Pct]]</f>
        <v>7.9416000000000002</v>
      </c>
      <c r="AC45" s="10">
        <f>Cleaned_data[[#This Row],[Gross Sales]]-Cleaned_data[[#This Row],[Discount amount]]</f>
        <v>389.13840000000005</v>
      </c>
      <c r="AD45" s="10">
        <f>Cleaned_data[[#This Row],[Product Cost]]*Cleaned_data[[#This Row],[Quantity]]</f>
        <v>216</v>
      </c>
      <c r="AE45" s="10">
        <f>Cleaned_data[[#This Row],[Net Sales]]-Cleaned_data[[#This Row],[COGS]]</f>
        <v>173.13840000000005</v>
      </c>
      <c r="AF45" s="11">
        <f>Cleaned_data[[#This Row],[Gross Profit]]/Cleaned_data[[#This Row],[Net Sales]]</f>
        <v>0.44492756304697767</v>
      </c>
      <c r="AG45">
        <f>Cleaned_data[[#This Row],[Ship_Date]]-Cleaned_data[[#This Row],[Order_Date]]</f>
        <v>3</v>
      </c>
      <c r="AH45" t="str">
        <f>IF(Cleaned_data[[#This Row],[Delivery Days]]&gt;10,"late","on time")</f>
        <v>on time</v>
      </c>
      <c r="AI45" t="str">
        <f>TEXT(Cleaned_data[[#This Row],[Order_Date]],"mmmm")</f>
        <v>February</v>
      </c>
      <c r="AJ45" s="9" t="str">
        <f>"Q"&amp;ROUNDUP(MONTH(Cleaned_data[[#This Row],[Order_Date]])/3,0)</f>
        <v>Q1</v>
      </c>
    </row>
    <row r="46" spans="1:36">
      <c r="A46" t="s">
        <v>303</v>
      </c>
      <c r="B46" s="9">
        <v>45331</v>
      </c>
      <c r="C46" s="9">
        <v>45332</v>
      </c>
      <c r="D46" t="s">
        <v>205</v>
      </c>
      <c r="E46" t="s">
        <v>206</v>
      </c>
      <c r="F46" t="s">
        <v>74</v>
      </c>
      <c r="G46" t="s">
        <v>194</v>
      </c>
      <c r="H46" t="s">
        <v>202</v>
      </c>
      <c r="I46" t="s">
        <v>203</v>
      </c>
      <c r="J46" t="s">
        <v>78</v>
      </c>
      <c r="K46" t="s">
        <v>100</v>
      </c>
      <c r="L46" t="s">
        <v>234</v>
      </c>
      <c r="M46" t="s">
        <v>235</v>
      </c>
      <c r="N46" t="s">
        <v>93</v>
      </c>
      <c r="O46" t="s">
        <v>236</v>
      </c>
      <c r="P46" s="8">
        <v>2</v>
      </c>
      <c r="Q46" s="10">
        <v>151.59</v>
      </c>
      <c r="R46" s="11">
        <v>0.08</v>
      </c>
      <c r="S46" s="10">
        <v>29.7</v>
      </c>
      <c r="T46" t="s">
        <v>134</v>
      </c>
      <c r="U46" t="s">
        <v>85</v>
      </c>
      <c r="V46" s="8">
        <v>3</v>
      </c>
      <c r="W46" t="s">
        <v>1270</v>
      </c>
      <c r="X46" t="str">
        <f>_xlfn.XLOOKUP(Cleaned_data[[#This Row],[Customer_ID]],Customers[S],Customers[Loyalty_Tier])</f>
        <v>Silver</v>
      </c>
      <c r="Y46" s="9">
        <f>_xlfn.XLOOKUP(Cleaned_data[[#This Row],[Customer_ID]],Customers[S],Customers[Signup_Date])</f>
        <v>45725</v>
      </c>
      <c r="Z46" s="12">
        <f>_xlfn.XLOOKUP(Cleaned_data[[#This Row],[SKU]],Products[SKU],Products[Standard_Cost])</f>
        <v>82</v>
      </c>
      <c r="AA46" s="10">
        <f>Cleaned_data[[#This Row],[Quantity]]*Cleaned_data[[#This Row],[Unit_Price]]</f>
        <v>303.18</v>
      </c>
      <c r="AB46" s="10">
        <f>Cleaned_data[[#This Row],[Unit_Price]]*Cleaned_data[[#This Row],[Discount_Pct]]</f>
        <v>12.1272</v>
      </c>
      <c r="AC46" s="10">
        <f>Cleaned_data[[#This Row],[Gross Sales]]-Cleaned_data[[#This Row],[Discount amount]]</f>
        <v>291.05279999999999</v>
      </c>
      <c r="AD46" s="10">
        <f>Cleaned_data[[#This Row],[Product Cost]]*Cleaned_data[[#This Row],[Quantity]]</f>
        <v>164</v>
      </c>
      <c r="AE46" s="10">
        <f>Cleaned_data[[#This Row],[Net Sales]]-Cleaned_data[[#This Row],[COGS]]</f>
        <v>127.05279999999999</v>
      </c>
      <c r="AF46" s="11">
        <f>Cleaned_data[[#This Row],[Gross Profit]]/Cleaned_data[[#This Row],[Net Sales]]</f>
        <v>0.43652835499263359</v>
      </c>
      <c r="AG46">
        <f>Cleaned_data[[#This Row],[Ship_Date]]-Cleaned_data[[#This Row],[Order_Date]]</f>
        <v>1</v>
      </c>
      <c r="AH46" t="str">
        <f>IF(Cleaned_data[[#This Row],[Delivery Days]]&gt;10,"late","on time")</f>
        <v>on time</v>
      </c>
      <c r="AI46" t="str">
        <f>TEXT(Cleaned_data[[#This Row],[Order_Date]],"mmmm")</f>
        <v>February</v>
      </c>
      <c r="AJ46" s="9" t="str">
        <f>"Q"&amp;ROUNDUP(MONTH(Cleaned_data[[#This Row],[Order_Date]])/3,0)</f>
        <v>Q1</v>
      </c>
    </row>
    <row r="47" spans="1:36">
      <c r="A47" t="s">
        <v>304</v>
      </c>
      <c r="B47" s="9">
        <v>45332</v>
      </c>
      <c r="C47" s="9">
        <v>45339</v>
      </c>
      <c r="D47" t="s">
        <v>305</v>
      </c>
      <c r="E47" t="s">
        <v>306</v>
      </c>
      <c r="F47" t="s">
        <v>152</v>
      </c>
      <c r="G47" t="s">
        <v>138</v>
      </c>
      <c r="H47" t="s">
        <v>186</v>
      </c>
      <c r="I47" t="s">
        <v>187</v>
      </c>
      <c r="J47" t="s">
        <v>109</v>
      </c>
      <c r="K47" t="s">
        <v>130</v>
      </c>
      <c r="L47" t="s">
        <v>80</v>
      </c>
      <c r="M47" t="s">
        <v>81</v>
      </c>
      <c r="N47" t="s">
        <v>82</v>
      </c>
      <c r="O47" t="s">
        <v>83</v>
      </c>
      <c r="P47" s="8">
        <v>10</v>
      </c>
      <c r="Q47" s="10">
        <v>228.33</v>
      </c>
      <c r="R47" s="11">
        <v>0.08</v>
      </c>
      <c r="S47" s="10">
        <v>7.56</v>
      </c>
      <c r="T47" t="s">
        <v>134</v>
      </c>
      <c r="U47" t="s">
        <v>85</v>
      </c>
      <c r="W47" t="s">
        <v>1270</v>
      </c>
      <c r="X47" t="str">
        <f>_xlfn.XLOOKUP(Cleaned_data[[#This Row],[Customer_ID]],Customers[S],Customers[Loyalty_Tier])</f>
        <v>Gold</v>
      </c>
      <c r="Y47" s="9">
        <f>_xlfn.XLOOKUP(Cleaned_data[[#This Row],[Customer_ID]],Customers[S],Customers[Signup_Date])</f>
        <v>45333</v>
      </c>
      <c r="Z47" s="12">
        <f>_xlfn.XLOOKUP(Cleaned_data[[#This Row],[SKU]],Products[SKU],Products[Standard_Cost])</f>
        <v>125</v>
      </c>
      <c r="AA47" s="10">
        <f>Cleaned_data[[#This Row],[Quantity]]*Cleaned_data[[#This Row],[Unit_Price]]</f>
        <v>2283.3000000000002</v>
      </c>
      <c r="AB47" s="10">
        <f>Cleaned_data[[#This Row],[Unit_Price]]*Cleaned_data[[#This Row],[Discount_Pct]]</f>
        <v>18.266400000000001</v>
      </c>
      <c r="AC47" s="10">
        <f>Cleaned_data[[#This Row],[Gross Sales]]-Cleaned_data[[#This Row],[Discount amount]]</f>
        <v>2265.0336000000002</v>
      </c>
      <c r="AD47" s="10">
        <f>Cleaned_data[[#This Row],[Product Cost]]*Cleaned_data[[#This Row],[Quantity]]</f>
        <v>1250</v>
      </c>
      <c r="AE47" s="10">
        <f>Cleaned_data[[#This Row],[Net Sales]]-Cleaned_data[[#This Row],[COGS]]</f>
        <v>1015.0336000000002</v>
      </c>
      <c r="AF47" s="11">
        <f>Cleaned_data[[#This Row],[Gross Profit]]/Cleaned_data[[#This Row],[Net Sales]]</f>
        <v>0.44813180696304022</v>
      </c>
      <c r="AG47">
        <f>Cleaned_data[[#This Row],[Ship_Date]]-Cleaned_data[[#This Row],[Order_Date]]</f>
        <v>7</v>
      </c>
      <c r="AH47" t="str">
        <f>IF(Cleaned_data[[#This Row],[Delivery Days]]&gt;10,"late","on time")</f>
        <v>on time</v>
      </c>
      <c r="AI47" t="str">
        <f>TEXT(Cleaned_data[[#This Row],[Order_Date]],"mmmm")</f>
        <v>February</v>
      </c>
      <c r="AJ47" s="9" t="str">
        <f>"Q"&amp;ROUNDUP(MONTH(Cleaned_data[[#This Row],[Order_Date]])/3,0)</f>
        <v>Q1</v>
      </c>
    </row>
    <row r="48" spans="1:36">
      <c r="A48" t="s">
        <v>307</v>
      </c>
      <c r="B48" s="9">
        <v>45334</v>
      </c>
      <c r="C48" s="9">
        <v>45342</v>
      </c>
      <c r="D48" t="s">
        <v>276</v>
      </c>
      <c r="E48" t="s">
        <v>277</v>
      </c>
      <c r="F48" t="s">
        <v>152</v>
      </c>
      <c r="G48" t="s">
        <v>75</v>
      </c>
      <c r="H48" t="s">
        <v>212</v>
      </c>
      <c r="I48" t="s">
        <v>213</v>
      </c>
      <c r="J48" t="s">
        <v>78</v>
      </c>
      <c r="K48" t="s">
        <v>79</v>
      </c>
      <c r="L48" t="s">
        <v>301</v>
      </c>
      <c r="M48" t="s">
        <v>302</v>
      </c>
      <c r="N48" t="s">
        <v>120</v>
      </c>
      <c r="O48" t="s">
        <v>190</v>
      </c>
      <c r="P48" s="8">
        <v>3</v>
      </c>
      <c r="Q48" s="10">
        <v>133.84</v>
      </c>
      <c r="R48" s="11">
        <v>0.04</v>
      </c>
      <c r="S48" s="10">
        <v>20.59</v>
      </c>
      <c r="T48" t="s">
        <v>122</v>
      </c>
      <c r="U48" t="s">
        <v>85</v>
      </c>
      <c r="W48" t="s">
        <v>1270</v>
      </c>
      <c r="X48" t="str">
        <f>_xlfn.XLOOKUP(Cleaned_data[[#This Row],[Customer_ID]],Customers[S],Customers[Loyalty_Tier])</f>
        <v>Silver</v>
      </c>
      <c r="Y48" s="9">
        <f>_xlfn.XLOOKUP(Cleaned_data[[#This Row],[Customer_ID]],Customers[S],Customers[Signup_Date])</f>
        <v>44291</v>
      </c>
      <c r="Z48" s="12">
        <f>_xlfn.XLOOKUP(Cleaned_data[[#This Row],[SKU]],Products[SKU],Products[Standard_Cost])</f>
        <v>72</v>
      </c>
      <c r="AA48" s="10">
        <f>Cleaned_data[[#This Row],[Quantity]]*Cleaned_data[[#This Row],[Unit_Price]]</f>
        <v>401.52</v>
      </c>
      <c r="AB48" s="10">
        <f>Cleaned_data[[#This Row],[Unit_Price]]*Cleaned_data[[#This Row],[Discount_Pct]]</f>
        <v>5.3536000000000001</v>
      </c>
      <c r="AC48" s="10">
        <f>Cleaned_data[[#This Row],[Gross Sales]]-Cleaned_data[[#This Row],[Discount amount]]</f>
        <v>396.16639999999995</v>
      </c>
      <c r="AD48" s="10">
        <f>Cleaned_data[[#This Row],[Product Cost]]*Cleaned_data[[#This Row],[Quantity]]</f>
        <v>216</v>
      </c>
      <c r="AE48" s="10">
        <f>Cleaned_data[[#This Row],[Net Sales]]-Cleaned_data[[#This Row],[COGS]]</f>
        <v>180.16639999999995</v>
      </c>
      <c r="AF48" s="11">
        <f>Cleaned_data[[#This Row],[Gross Profit]]/Cleaned_data[[#This Row],[Net Sales]]</f>
        <v>0.45477455937706979</v>
      </c>
      <c r="AG48">
        <f>Cleaned_data[[#This Row],[Ship_Date]]-Cleaned_data[[#This Row],[Order_Date]]</f>
        <v>8</v>
      </c>
      <c r="AH48" t="str">
        <f>IF(Cleaned_data[[#This Row],[Delivery Days]]&gt;10,"late","on time")</f>
        <v>on time</v>
      </c>
      <c r="AI48" t="str">
        <f>TEXT(Cleaned_data[[#This Row],[Order_Date]],"mmmm")</f>
        <v>February</v>
      </c>
      <c r="AJ48" s="9" t="str">
        <f>"Q"&amp;ROUNDUP(MONTH(Cleaned_data[[#This Row],[Order_Date]])/3,0)</f>
        <v>Q1</v>
      </c>
    </row>
    <row r="49" spans="1:36">
      <c r="A49" t="s">
        <v>308</v>
      </c>
      <c r="B49" s="9">
        <v>45334</v>
      </c>
      <c r="C49" s="9">
        <v>45343</v>
      </c>
      <c r="D49" t="s">
        <v>309</v>
      </c>
      <c r="E49" t="s">
        <v>310</v>
      </c>
      <c r="F49" t="s">
        <v>89</v>
      </c>
      <c r="G49" t="s">
        <v>75</v>
      </c>
      <c r="H49" t="s">
        <v>76</v>
      </c>
      <c r="I49" t="s">
        <v>77</v>
      </c>
      <c r="J49" t="s">
        <v>109</v>
      </c>
      <c r="K49" t="s">
        <v>79</v>
      </c>
      <c r="L49" t="s">
        <v>188</v>
      </c>
      <c r="M49" t="s">
        <v>189</v>
      </c>
      <c r="N49" t="s">
        <v>120</v>
      </c>
      <c r="O49" t="s">
        <v>190</v>
      </c>
      <c r="P49" s="8">
        <v>1</v>
      </c>
      <c r="Q49" s="10">
        <v>60.19</v>
      </c>
      <c r="R49" s="11">
        <v>0.06</v>
      </c>
      <c r="S49" s="10">
        <v>10.42</v>
      </c>
      <c r="T49" t="s">
        <v>122</v>
      </c>
      <c r="U49" t="s">
        <v>85</v>
      </c>
      <c r="V49" s="8">
        <v>2</v>
      </c>
      <c r="W49" t="s">
        <v>1270</v>
      </c>
      <c r="X49" t="str">
        <f>_xlfn.XLOOKUP(Cleaned_data[[#This Row],[Customer_ID]],Customers[S],Customers[Loyalty_Tier])</f>
        <v>Platinum</v>
      </c>
      <c r="Y49" s="9">
        <f>_xlfn.XLOOKUP(Cleaned_data[[#This Row],[Customer_ID]],Customers[S],Customers[Signup_Date])</f>
        <v>44518</v>
      </c>
      <c r="Z49" s="12">
        <f>_xlfn.XLOOKUP(Cleaned_data[[#This Row],[SKU]],Products[SKU],Products[Standard_Cost])</f>
        <v>28</v>
      </c>
      <c r="AA49" s="10">
        <f>Cleaned_data[[#This Row],[Quantity]]*Cleaned_data[[#This Row],[Unit_Price]]</f>
        <v>60.19</v>
      </c>
      <c r="AB49" s="10">
        <f>Cleaned_data[[#This Row],[Unit_Price]]*Cleaned_data[[#This Row],[Discount_Pct]]</f>
        <v>3.6113999999999997</v>
      </c>
      <c r="AC49" s="10">
        <f>Cleaned_data[[#This Row],[Gross Sales]]-Cleaned_data[[#This Row],[Discount amount]]</f>
        <v>56.578599999999994</v>
      </c>
      <c r="AD49" s="10">
        <f>Cleaned_data[[#This Row],[Product Cost]]*Cleaned_data[[#This Row],[Quantity]]</f>
        <v>28</v>
      </c>
      <c r="AE49" s="10">
        <f>Cleaned_data[[#This Row],[Net Sales]]-Cleaned_data[[#This Row],[COGS]]</f>
        <v>28.578599999999994</v>
      </c>
      <c r="AF49" s="11">
        <f>Cleaned_data[[#This Row],[Gross Profit]]/Cleaned_data[[#This Row],[Net Sales]]</f>
        <v>0.5051132406952451</v>
      </c>
      <c r="AG49">
        <f>Cleaned_data[[#This Row],[Ship_Date]]-Cleaned_data[[#This Row],[Order_Date]]</f>
        <v>9</v>
      </c>
      <c r="AH49" t="str">
        <f>IF(Cleaned_data[[#This Row],[Delivery Days]]&gt;10,"late","on time")</f>
        <v>on time</v>
      </c>
      <c r="AI49" t="str">
        <f>TEXT(Cleaned_data[[#This Row],[Order_Date]],"mmmm")</f>
        <v>February</v>
      </c>
      <c r="AJ49" s="9" t="str">
        <f>"Q"&amp;ROUNDUP(MONTH(Cleaned_data[[#This Row],[Order_Date]])/3,0)</f>
        <v>Q1</v>
      </c>
    </row>
    <row r="50" spans="1:36">
      <c r="A50" t="s">
        <v>311</v>
      </c>
      <c r="B50" s="9">
        <v>45335</v>
      </c>
      <c r="C50" s="9">
        <v>45340</v>
      </c>
      <c r="D50" t="s">
        <v>312</v>
      </c>
      <c r="E50" t="s">
        <v>313</v>
      </c>
      <c r="F50" t="s">
        <v>74</v>
      </c>
      <c r="G50" t="s">
        <v>194</v>
      </c>
      <c r="H50" t="s">
        <v>225</v>
      </c>
      <c r="I50" t="s">
        <v>226</v>
      </c>
      <c r="J50" t="s">
        <v>129</v>
      </c>
      <c r="K50" t="s">
        <v>130</v>
      </c>
      <c r="L50" t="s">
        <v>169</v>
      </c>
      <c r="M50" t="s">
        <v>170</v>
      </c>
      <c r="N50" t="s">
        <v>103</v>
      </c>
      <c r="O50" t="s">
        <v>171</v>
      </c>
      <c r="P50" s="8">
        <v>1</v>
      </c>
      <c r="Q50" s="10">
        <v>15.29</v>
      </c>
      <c r="R50" s="11">
        <v>0.08</v>
      </c>
      <c r="S50" s="10">
        <v>10.14</v>
      </c>
      <c r="T50" t="s">
        <v>122</v>
      </c>
      <c r="U50" t="s">
        <v>148</v>
      </c>
      <c r="V50" s="8">
        <v>4</v>
      </c>
      <c r="W50" t="s">
        <v>1270</v>
      </c>
      <c r="X50" t="str">
        <f>_xlfn.XLOOKUP(Cleaned_data[[#This Row],[Customer_ID]],Customers[S],Customers[Loyalty_Tier])</f>
        <v>Gold</v>
      </c>
      <c r="Y50" s="9">
        <f>_xlfn.XLOOKUP(Cleaned_data[[#This Row],[Customer_ID]],Customers[S],Customers[Signup_Date])</f>
        <v>44694</v>
      </c>
      <c r="Z50" s="12">
        <f>_xlfn.XLOOKUP(Cleaned_data[[#This Row],[SKU]],Products[SKU],Products[Standard_Cost])</f>
        <v>6</v>
      </c>
      <c r="AA50" s="10">
        <f>Cleaned_data[[#This Row],[Quantity]]*Cleaned_data[[#This Row],[Unit_Price]]</f>
        <v>15.29</v>
      </c>
      <c r="AB50" s="10">
        <f>Cleaned_data[[#This Row],[Unit_Price]]*Cleaned_data[[#This Row],[Discount_Pct]]</f>
        <v>1.2232000000000001</v>
      </c>
      <c r="AC50" s="10">
        <f>Cleaned_data[[#This Row],[Gross Sales]]-Cleaned_data[[#This Row],[Discount amount]]</f>
        <v>14.066799999999999</v>
      </c>
      <c r="AD50" s="10">
        <f>Cleaned_data[[#This Row],[Product Cost]]*Cleaned_data[[#This Row],[Quantity]]</f>
        <v>6</v>
      </c>
      <c r="AE50" s="10">
        <f>Cleaned_data[[#This Row],[Net Sales]]-Cleaned_data[[#This Row],[COGS]]</f>
        <v>8.0667999999999989</v>
      </c>
      <c r="AF50" s="11">
        <f>Cleaned_data[[#This Row],[Gross Profit]]/Cleaned_data[[#This Row],[Net Sales]]</f>
        <v>0.57346375863735888</v>
      </c>
      <c r="AG50">
        <f>Cleaned_data[[#This Row],[Ship_Date]]-Cleaned_data[[#This Row],[Order_Date]]</f>
        <v>5</v>
      </c>
      <c r="AH50" t="str">
        <f>IF(Cleaned_data[[#This Row],[Delivery Days]]&gt;10,"late","on time")</f>
        <v>on time</v>
      </c>
      <c r="AI50" t="str">
        <f>TEXT(Cleaned_data[[#This Row],[Order_Date]],"mmmm")</f>
        <v>February</v>
      </c>
      <c r="AJ50" s="9" t="str">
        <f>"Q"&amp;ROUNDUP(MONTH(Cleaned_data[[#This Row],[Order_Date]])/3,0)</f>
        <v>Q1</v>
      </c>
    </row>
    <row r="51" spans="1:36">
      <c r="A51" t="s">
        <v>314</v>
      </c>
      <c r="B51" s="9">
        <v>45335</v>
      </c>
      <c r="C51" s="9">
        <v>45336</v>
      </c>
      <c r="D51" t="s">
        <v>315</v>
      </c>
      <c r="E51" t="s">
        <v>316</v>
      </c>
      <c r="F51" t="s">
        <v>89</v>
      </c>
      <c r="G51" t="s">
        <v>75</v>
      </c>
      <c r="H51" t="s">
        <v>273</v>
      </c>
      <c r="I51" t="s">
        <v>274</v>
      </c>
      <c r="J51" t="s">
        <v>219</v>
      </c>
      <c r="K51" t="s">
        <v>130</v>
      </c>
      <c r="L51" t="s">
        <v>242</v>
      </c>
      <c r="M51" t="s">
        <v>243</v>
      </c>
      <c r="N51" t="s">
        <v>120</v>
      </c>
      <c r="O51" t="s">
        <v>133</v>
      </c>
      <c r="P51" s="8">
        <v>2</v>
      </c>
      <c r="Q51" s="10">
        <v>184.7</v>
      </c>
      <c r="R51" s="11">
        <v>0.32</v>
      </c>
      <c r="S51" s="10">
        <v>6.33</v>
      </c>
      <c r="T51" t="s">
        <v>134</v>
      </c>
      <c r="U51" t="s">
        <v>85</v>
      </c>
      <c r="V51" s="8">
        <v>4</v>
      </c>
      <c r="W51" t="s">
        <v>1270</v>
      </c>
      <c r="X51" t="str">
        <f>_xlfn.XLOOKUP(Cleaned_data[[#This Row],[Customer_ID]],Customers[S],Customers[Loyalty_Tier])</f>
        <v>Bronze</v>
      </c>
      <c r="Y51" s="9">
        <f>_xlfn.XLOOKUP(Cleaned_data[[#This Row],[Customer_ID]],Customers[S],Customers[Signup_Date])</f>
        <v>45787</v>
      </c>
      <c r="Z51" s="12">
        <f>_xlfn.XLOOKUP(Cleaned_data[[#This Row],[SKU]],Products[SKU],Products[Standard_Cost])</f>
        <v>96</v>
      </c>
      <c r="AA51" s="10">
        <f>Cleaned_data[[#This Row],[Quantity]]*Cleaned_data[[#This Row],[Unit_Price]]</f>
        <v>369.4</v>
      </c>
      <c r="AB51" s="10">
        <f>Cleaned_data[[#This Row],[Unit_Price]]*Cleaned_data[[#This Row],[Discount_Pct]]</f>
        <v>59.103999999999999</v>
      </c>
      <c r="AC51" s="10">
        <f>Cleaned_data[[#This Row],[Gross Sales]]-Cleaned_data[[#This Row],[Discount amount]]</f>
        <v>310.29599999999999</v>
      </c>
      <c r="AD51" s="10">
        <f>Cleaned_data[[#This Row],[Product Cost]]*Cleaned_data[[#This Row],[Quantity]]</f>
        <v>192</v>
      </c>
      <c r="AE51" s="10">
        <f>Cleaned_data[[#This Row],[Net Sales]]-Cleaned_data[[#This Row],[COGS]]</f>
        <v>118.29599999999999</v>
      </c>
      <c r="AF51" s="11">
        <f>Cleaned_data[[#This Row],[Gross Profit]]/Cleaned_data[[#This Row],[Net Sales]]</f>
        <v>0.38123598112769741</v>
      </c>
      <c r="AG51">
        <f>Cleaned_data[[#This Row],[Ship_Date]]-Cleaned_data[[#This Row],[Order_Date]]</f>
        <v>1</v>
      </c>
      <c r="AH51" t="str">
        <f>IF(Cleaned_data[[#This Row],[Delivery Days]]&gt;10,"late","on time")</f>
        <v>on time</v>
      </c>
      <c r="AI51" t="str">
        <f>TEXT(Cleaned_data[[#This Row],[Order_Date]],"mmmm")</f>
        <v>February</v>
      </c>
      <c r="AJ51" s="9" t="str">
        <f>"Q"&amp;ROUNDUP(MONTH(Cleaned_data[[#This Row],[Order_Date]])/3,0)</f>
        <v>Q1</v>
      </c>
    </row>
    <row r="52" spans="1:36">
      <c r="A52" t="s">
        <v>317</v>
      </c>
      <c r="B52" s="9">
        <v>45337</v>
      </c>
      <c r="C52" s="9">
        <v>45345</v>
      </c>
      <c r="D52" t="s">
        <v>248</v>
      </c>
      <c r="E52" t="s">
        <v>137</v>
      </c>
      <c r="F52" t="s">
        <v>74</v>
      </c>
      <c r="G52" t="s">
        <v>75</v>
      </c>
      <c r="H52" t="s">
        <v>98</v>
      </c>
      <c r="I52" t="s">
        <v>99</v>
      </c>
      <c r="J52" t="s">
        <v>109</v>
      </c>
      <c r="K52" t="s">
        <v>130</v>
      </c>
      <c r="L52" t="s">
        <v>118</v>
      </c>
      <c r="M52" t="s">
        <v>119</v>
      </c>
      <c r="N52" t="s">
        <v>120</v>
      </c>
      <c r="O52" t="s">
        <v>121</v>
      </c>
      <c r="P52" s="8">
        <v>3</v>
      </c>
      <c r="Q52" s="10">
        <v>297.42</v>
      </c>
      <c r="R52" s="11">
        <v>0.06</v>
      </c>
      <c r="S52" s="10">
        <v>8.17</v>
      </c>
      <c r="T52" t="s">
        <v>84</v>
      </c>
      <c r="U52" t="s">
        <v>148</v>
      </c>
      <c r="V52" s="8">
        <v>1</v>
      </c>
      <c r="W52" t="s">
        <v>1270</v>
      </c>
      <c r="X52" t="str">
        <f>_xlfn.XLOOKUP(Cleaned_data[[#This Row],[Customer_ID]],Customers[S],Customers[Loyalty_Tier])</f>
        <v>Gold</v>
      </c>
      <c r="Y52" s="9">
        <f>_xlfn.XLOOKUP(Cleaned_data[[#This Row],[Customer_ID]],Customers[S],Customers[Signup_Date])</f>
        <v>45204</v>
      </c>
      <c r="Z52" s="12">
        <f>_xlfn.XLOOKUP(Cleaned_data[[#This Row],[SKU]],Products[SKU],Products[Standard_Cost])</f>
        <v>168</v>
      </c>
      <c r="AA52" s="10">
        <f>Cleaned_data[[#This Row],[Quantity]]*Cleaned_data[[#This Row],[Unit_Price]]</f>
        <v>892.26</v>
      </c>
      <c r="AB52" s="10">
        <f>Cleaned_data[[#This Row],[Unit_Price]]*Cleaned_data[[#This Row],[Discount_Pct]]</f>
        <v>17.845200000000002</v>
      </c>
      <c r="AC52" s="10">
        <f>Cleaned_data[[#This Row],[Gross Sales]]-Cleaned_data[[#This Row],[Discount amount]]</f>
        <v>874.41480000000001</v>
      </c>
      <c r="AD52" s="10">
        <f>Cleaned_data[[#This Row],[Product Cost]]*Cleaned_data[[#This Row],[Quantity]]</f>
        <v>504</v>
      </c>
      <c r="AE52" s="10">
        <f>Cleaned_data[[#This Row],[Net Sales]]-Cleaned_data[[#This Row],[COGS]]</f>
        <v>370.41480000000001</v>
      </c>
      <c r="AF52" s="11">
        <f>Cleaned_data[[#This Row],[Gross Profit]]/Cleaned_data[[#This Row],[Net Sales]]</f>
        <v>0.42361451338655293</v>
      </c>
      <c r="AG52">
        <f>Cleaned_data[[#This Row],[Ship_Date]]-Cleaned_data[[#This Row],[Order_Date]]</f>
        <v>8</v>
      </c>
      <c r="AH52" t="str">
        <f>IF(Cleaned_data[[#This Row],[Delivery Days]]&gt;10,"late","on time")</f>
        <v>on time</v>
      </c>
      <c r="AI52" t="str">
        <f>TEXT(Cleaned_data[[#This Row],[Order_Date]],"mmmm")</f>
        <v>February</v>
      </c>
      <c r="AJ52" s="9" t="str">
        <f>"Q"&amp;ROUNDUP(MONTH(Cleaned_data[[#This Row],[Order_Date]])/3,0)</f>
        <v>Q1</v>
      </c>
    </row>
    <row r="53" spans="1:36">
      <c r="A53" t="s">
        <v>318</v>
      </c>
      <c r="B53" s="9">
        <v>45338</v>
      </c>
      <c r="C53" s="9">
        <v>45348</v>
      </c>
      <c r="D53" t="s">
        <v>319</v>
      </c>
      <c r="E53" t="s">
        <v>320</v>
      </c>
      <c r="F53" t="s">
        <v>152</v>
      </c>
      <c r="G53" t="s">
        <v>75</v>
      </c>
      <c r="H53" t="s">
        <v>212</v>
      </c>
      <c r="I53" t="s">
        <v>213</v>
      </c>
      <c r="J53" t="s">
        <v>78</v>
      </c>
      <c r="K53" t="s">
        <v>90</v>
      </c>
      <c r="L53" t="s">
        <v>301</v>
      </c>
      <c r="M53" t="s">
        <v>302</v>
      </c>
      <c r="N53" t="s">
        <v>120</v>
      </c>
      <c r="O53" t="s">
        <v>190</v>
      </c>
      <c r="P53" s="8">
        <v>1</v>
      </c>
      <c r="Q53" s="10">
        <v>141.49</v>
      </c>
      <c r="R53" s="11">
        <v>0.1</v>
      </c>
      <c r="S53" s="10">
        <v>9.4700000000000006</v>
      </c>
      <c r="T53" t="s">
        <v>84</v>
      </c>
      <c r="U53" t="s">
        <v>85</v>
      </c>
      <c r="V53" s="8">
        <v>5</v>
      </c>
      <c r="W53" t="s">
        <v>1270</v>
      </c>
      <c r="X53" t="str">
        <f>_xlfn.XLOOKUP(Cleaned_data[[#This Row],[Customer_ID]],Customers[S],Customers[Loyalty_Tier])</f>
        <v>Platinum</v>
      </c>
      <c r="Y53" s="9">
        <f>_xlfn.XLOOKUP(Cleaned_data[[#This Row],[Customer_ID]],Customers[S],Customers[Signup_Date])</f>
        <v>44545</v>
      </c>
      <c r="Z53" s="12">
        <f>_xlfn.XLOOKUP(Cleaned_data[[#This Row],[SKU]],Products[SKU],Products[Standard_Cost])</f>
        <v>72</v>
      </c>
      <c r="AA53" s="10">
        <f>Cleaned_data[[#This Row],[Quantity]]*Cleaned_data[[#This Row],[Unit_Price]]</f>
        <v>141.49</v>
      </c>
      <c r="AB53" s="10">
        <f>Cleaned_data[[#This Row],[Unit_Price]]*Cleaned_data[[#This Row],[Discount_Pct]]</f>
        <v>14.149000000000001</v>
      </c>
      <c r="AC53" s="10">
        <f>Cleaned_data[[#This Row],[Gross Sales]]-Cleaned_data[[#This Row],[Discount amount]]</f>
        <v>127.34100000000001</v>
      </c>
      <c r="AD53" s="10">
        <f>Cleaned_data[[#This Row],[Product Cost]]*Cleaned_data[[#This Row],[Quantity]]</f>
        <v>72</v>
      </c>
      <c r="AE53" s="10">
        <f>Cleaned_data[[#This Row],[Net Sales]]-Cleaned_data[[#This Row],[COGS]]</f>
        <v>55.341000000000008</v>
      </c>
      <c r="AF53" s="11">
        <f>Cleaned_data[[#This Row],[Gross Profit]]/Cleaned_data[[#This Row],[Net Sales]]</f>
        <v>0.43458901689165313</v>
      </c>
      <c r="AG53">
        <f>Cleaned_data[[#This Row],[Ship_Date]]-Cleaned_data[[#This Row],[Order_Date]]</f>
        <v>10</v>
      </c>
      <c r="AH53" t="str">
        <f>IF(Cleaned_data[[#This Row],[Delivery Days]]&gt;10,"late","on time")</f>
        <v>on time</v>
      </c>
      <c r="AI53" t="str">
        <f>TEXT(Cleaned_data[[#This Row],[Order_Date]],"mmmm")</f>
        <v>February</v>
      </c>
      <c r="AJ53" s="9" t="str">
        <f>"Q"&amp;ROUNDUP(MONTH(Cleaned_data[[#This Row],[Order_Date]])/3,0)</f>
        <v>Q1</v>
      </c>
    </row>
    <row r="54" spans="1:36">
      <c r="A54" t="s">
        <v>321</v>
      </c>
      <c r="B54" s="9">
        <v>45338</v>
      </c>
      <c r="C54" s="9">
        <v>45344</v>
      </c>
      <c r="D54" t="s">
        <v>322</v>
      </c>
      <c r="E54" t="s">
        <v>323</v>
      </c>
      <c r="F54" t="s">
        <v>74</v>
      </c>
      <c r="G54" t="s">
        <v>194</v>
      </c>
      <c r="H54" t="s">
        <v>240</v>
      </c>
      <c r="I54" t="s">
        <v>241</v>
      </c>
      <c r="J54" t="s">
        <v>78</v>
      </c>
      <c r="K54" t="s">
        <v>100</v>
      </c>
      <c r="L54" t="s">
        <v>214</v>
      </c>
      <c r="M54" t="s">
        <v>215</v>
      </c>
      <c r="N54" t="s">
        <v>103</v>
      </c>
      <c r="O54" t="s">
        <v>171</v>
      </c>
      <c r="P54" s="8">
        <v>1</v>
      </c>
      <c r="Q54" s="10">
        <v>12.02</v>
      </c>
      <c r="R54" s="11">
        <v>0.03</v>
      </c>
      <c r="S54" s="10">
        <v>12.66</v>
      </c>
      <c r="T54" t="s">
        <v>134</v>
      </c>
      <c r="U54" t="s">
        <v>85</v>
      </c>
      <c r="V54" s="8">
        <v>1</v>
      </c>
      <c r="W54" t="s">
        <v>1270</v>
      </c>
      <c r="X54" t="str">
        <f>_xlfn.XLOOKUP(Cleaned_data[[#This Row],[Customer_ID]],Customers[S],Customers[Loyalty_Tier])</f>
        <v>Silver</v>
      </c>
      <c r="Y54" s="9">
        <f>_xlfn.XLOOKUP(Cleaned_data[[#This Row],[Customer_ID]],Customers[S],Customers[Signup_Date])</f>
        <v>44540</v>
      </c>
      <c r="Z54" s="12">
        <f>_xlfn.XLOOKUP(Cleaned_data[[#This Row],[SKU]],Products[SKU],Products[Standard_Cost])</f>
        <v>5</v>
      </c>
      <c r="AA54" s="10">
        <f>Cleaned_data[[#This Row],[Quantity]]*Cleaned_data[[#This Row],[Unit_Price]]</f>
        <v>12.02</v>
      </c>
      <c r="AB54" s="10">
        <f>Cleaned_data[[#This Row],[Unit_Price]]*Cleaned_data[[#This Row],[Discount_Pct]]</f>
        <v>0.36059999999999998</v>
      </c>
      <c r="AC54" s="10">
        <f>Cleaned_data[[#This Row],[Gross Sales]]-Cleaned_data[[#This Row],[Discount amount]]</f>
        <v>11.6594</v>
      </c>
      <c r="AD54" s="10">
        <f>Cleaned_data[[#This Row],[Product Cost]]*Cleaned_data[[#This Row],[Quantity]]</f>
        <v>5</v>
      </c>
      <c r="AE54" s="10">
        <f>Cleaned_data[[#This Row],[Net Sales]]-Cleaned_data[[#This Row],[COGS]]</f>
        <v>6.6593999999999998</v>
      </c>
      <c r="AF54" s="11">
        <f>Cleaned_data[[#This Row],[Gross Profit]]/Cleaned_data[[#This Row],[Net Sales]]</f>
        <v>0.57116146628471443</v>
      </c>
      <c r="AG54">
        <f>Cleaned_data[[#This Row],[Ship_Date]]-Cleaned_data[[#This Row],[Order_Date]]</f>
        <v>6</v>
      </c>
      <c r="AH54" t="str">
        <f>IF(Cleaned_data[[#This Row],[Delivery Days]]&gt;10,"late","on time")</f>
        <v>on time</v>
      </c>
      <c r="AI54" t="str">
        <f>TEXT(Cleaned_data[[#This Row],[Order_Date]],"mmmm")</f>
        <v>February</v>
      </c>
      <c r="AJ54" s="9" t="str">
        <f>"Q"&amp;ROUNDUP(MONTH(Cleaned_data[[#This Row],[Order_Date]])/3,0)</f>
        <v>Q1</v>
      </c>
    </row>
    <row r="55" spans="1:36">
      <c r="A55" t="s">
        <v>324</v>
      </c>
      <c r="B55" s="9">
        <v>45339</v>
      </c>
      <c r="C55" s="9">
        <v>45348</v>
      </c>
      <c r="D55" t="s">
        <v>325</v>
      </c>
      <c r="E55" t="s">
        <v>326</v>
      </c>
      <c r="F55" t="s">
        <v>74</v>
      </c>
      <c r="G55" t="s">
        <v>75</v>
      </c>
      <c r="H55" t="s">
        <v>273</v>
      </c>
      <c r="I55" t="s">
        <v>274</v>
      </c>
      <c r="J55" t="s">
        <v>78</v>
      </c>
      <c r="K55" t="s">
        <v>168</v>
      </c>
      <c r="L55" t="s">
        <v>169</v>
      </c>
      <c r="M55" t="s">
        <v>170</v>
      </c>
      <c r="N55" t="s">
        <v>103</v>
      </c>
      <c r="O55" t="s">
        <v>171</v>
      </c>
      <c r="P55" s="8">
        <v>8</v>
      </c>
      <c r="Q55" s="10">
        <v>14.43</v>
      </c>
      <c r="R55" s="11">
        <v>0.04</v>
      </c>
      <c r="S55" s="10">
        <v>7.61</v>
      </c>
      <c r="T55" t="s">
        <v>84</v>
      </c>
      <c r="U55" t="s">
        <v>85</v>
      </c>
      <c r="V55" s="8">
        <v>4</v>
      </c>
      <c r="W55" t="s">
        <v>1270</v>
      </c>
      <c r="X55" t="str">
        <f>_xlfn.XLOOKUP(Cleaned_data[[#This Row],[Customer_ID]],Customers[S],Customers[Loyalty_Tier])</f>
        <v>Bronze</v>
      </c>
      <c r="Y55" s="9">
        <f>_xlfn.XLOOKUP(Cleaned_data[[#This Row],[Customer_ID]],Customers[S],Customers[Signup_Date])</f>
        <v>44795</v>
      </c>
      <c r="Z55" s="12">
        <f>_xlfn.XLOOKUP(Cleaned_data[[#This Row],[SKU]],Products[SKU],Products[Standard_Cost])</f>
        <v>6</v>
      </c>
      <c r="AA55" s="10">
        <f>Cleaned_data[[#This Row],[Quantity]]*Cleaned_data[[#This Row],[Unit_Price]]</f>
        <v>115.44</v>
      </c>
      <c r="AB55" s="10">
        <f>Cleaned_data[[#This Row],[Unit_Price]]*Cleaned_data[[#This Row],[Discount_Pct]]</f>
        <v>0.57720000000000005</v>
      </c>
      <c r="AC55" s="10">
        <f>Cleaned_data[[#This Row],[Gross Sales]]-Cleaned_data[[#This Row],[Discount amount]]</f>
        <v>114.86279999999999</v>
      </c>
      <c r="AD55" s="10">
        <f>Cleaned_data[[#This Row],[Product Cost]]*Cleaned_data[[#This Row],[Quantity]]</f>
        <v>48</v>
      </c>
      <c r="AE55" s="10">
        <f>Cleaned_data[[#This Row],[Net Sales]]-Cleaned_data[[#This Row],[COGS]]</f>
        <v>66.862799999999993</v>
      </c>
      <c r="AF55" s="11">
        <f>Cleaned_data[[#This Row],[Gross Profit]]/Cleaned_data[[#This Row],[Net Sales]]</f>
        <v>0.58211013487395391</v>
      </c>
      <c r="AG55">
        <f>Cleaned_data[[#This Row],[Ship_Date]]-Cleaned_data[[#This Row],[Order_Date]]</f>
        <v>9</v>
      </c>
      <c r="AH55" t="str">
        <f>IF(Cleaned_data[[#This Row],[Delivery Days]]&gt;10,"late","on time")</f>
        <v>on time</v>
      </c>
      <c r="AI55" t="str">
        <f>TEXT(Cleaned_data[[#This Row],[Order_Date]],"mmmm")</f>
        <v>February</v>
      </c>
      <c r="AJ55" s="9" t="str">
        <f>"Q"&amp;ROUNDUP(MONTH(Cleaned_data[[#This Row],[Order_Date]])/3,0)</f>
        <v>Q1</v>
      </c>
    </row>
    <row r="56" spans="1:36">
      <c r="A56" t="s">
        <v>327</v>
      </c>
      <c r="B56" s="9">
        <v>45342</v>
      </c>
      <c r="C56" s="9">
        <v>45353</v>
      </c>
      <c r="D56" t="s">
        <v>328</v>
      </c>
      <c r="E56" t="s">
        <v>329</v>
      </c>
      <c r="F56" t="s">
        <v>89</v>
      </c>
      <c r="G56" t="s">
        <v>75</v>
      </c>
      <c r="H56" t="s">
        <v>116</v>
      </c>
      <c r="I56" t="s">
        <v>117</v>
      </c>
      <c r="J56" t="s">
        <v>129</v>
      </c>
      <c r="K56" t="s">
        <v>130</v>
      </c>
      <c r="L56" t="s">
        <v>101</v>
      </c>
      <c r="M56" t="s">
        <v>102</v>
      </c>
      <c r="N56" t="s">
        <v>103</v>
      </c>
      <c r="O56" t="s">
        <v>104</v>
      </c>
      <c r="P56" s="8">
        <v>10</v>
      </c>
      <c r="Q56" s="10">
        <v>70.91</v>
      </c>
      <c r="R56" s="11">
        <v>0.05</v>
      </c>
      <c r="S56" s="10">
        <v>7.36</v>
      </c>
      <c r="T56" t="s">
        <v>105</v>
      </c>
      <c r="U56" t="s">
        <v>85</v>
      </c>
      <c r="W56" t="s">
        <v>1270</v>
      </c>
      <c r="X56" t="str">
        <f>_xlfn.XLOOKUP(Cleaned_data[[#This Row],[Customer_ID]],Customers[S],Customers[Loyalty_Tier])</f>
        <v>Silver</v>
      </c>
      <c r="Y56" s="9">
        <f>_xlfn.XLOOKUP(Cleaned_data[[#This Row],[Customer_ID]],Customers[S],Customers[Signup_Date])</f>
        <v>45451</v>
      </c>
      <c r="Z56" s="12">
        <f>_xlfn.XLOOKUP(Cleaned_data[[#This Row],[SKU]],Products[SKU],Products[Standard_Cost])</f>
        <v>36</v>
      </c>
      <c r="AA56" s="10">
        <f>Cleaned_data[[#This Row],[Quantity]]*Cleaned_data[[#This Row],[Unit_Price]]</f>
        <v>709.09999999999991</v>
      </c>
      <c r="AB56" s="10">
        <f>Cleaned_data[[#This Row],[Unit_Price]]*Cleaned_data[[#This Row],[Discount_Pct]]</f>
        <v>3.5455000000000001</v>
      </c>
      <c r="AC56" s="10">
        <f>Cleaned_data[[#This Row],[Gross Sales]]-Cleaned_data[[#This Row],[Discount amount]]</f>
        <v>705.55449999999996</v>
      </c>
      <c r="AD56" s="10">
        <f>Cleaned_data[[#This Row],[Product Cost]]*Cleaned_data[[#This Row],[Quantity]]</f>
        <v>360</v>
      </c>
      <c r="AE56" s="10">
        <f>Cleaned_data[[#This Row],[Net Sales]]-Cleaned_data[[#This Row],[COGS]]</f>
        <v>345.55449999999996</v>
      </c>
      <c r="AF56" s="11">
        <f>Cleaned_data[[#This Row],[Gross Profit]]/Cleaned_data[[#This Row],[Net Sales]]</f>
        <v>0.4897630161808903</v>
      </c>
      <c r="AG56">
        <f>Cleaned_data[[#This Row],[Ship_Date]]-Cleaned_data[[#This Row],[Order_Date]]</f>
        <v>11</v>
      </c>
      <c r="AH56" t="str">
        <f>IF(Cleaned_data[[#This Row],[Delivery Days]]&gt;10,"late","on time")</f>
        <v>late</v>
      </c>
      <c r="AI56" t="str">
        <f>TEXT(Cleaned_data[[#This Row],[Order_Date]],"mmmm")</f>
        <v>February</v>
      </c>
      <c r="AJ56" s="9" t="str">
        <f>"Q"&amp;ROUNDUP(MONTH(Cleaned_data[[#This Row],[Order_Date]])/3,0)</f>
        <v>Q1</v>
      </c>
    </row>
    <row r="57" spans="1:36">
      <c r="A57" t="s">
        <v>330</v>
      </c>
      <c r="B57" s="9">
        <v>45344</v>
      </c>
      <c r="C57" s="9">
        <v>45349</v>
      </c>
      <c r="D57" t="s">
        <v>124</v>
      </c>
      <c r="E57" t="s">
        <v>125</v>
      </c>
      <c r="F57" t="s">
        <v>74</v>
      </c>
      <c r="G57" t="s">
        <v>126</v>
      </c>
      <c r="H57" t="s">
        <v>127</v>
      </c>
      <c r="I57" t="s">
        <v>128</v>
      </c>
      <c r="J57" t="s">
        <v>219</v>
      </c>
      <c r="K57" t="s">
        <v>168</v>
      </c>
      <c r="L57" t="s">
        <v>110</v>
      </c>
      <c r="M57" t="s">
        <v>111</v>
      </c>
      <c r="N57" t="s">
        <v>82</v>
      </c>
      <c r="O57" t="s">
        <v>112</v>
      </c>
      <c r="P57" s="8">
        <v>1</v>
      </c>
      <c r="Q57" s="10">
        <v>316.75</v>
      </c>
      <c r="R57" s="11">
        <v>0.3</v>
      </c>
      <c r="S57" s="10">
        <v>10.88</v>
      </c>
      <c r="T57" t="s">
        <v>122</v>
      </c>
      <c r="U57" t="s">
        <v>85</v>
      </c>
      <c r="V57" s="8">
        <v>1</v>
      </c>
      <c r="W57" t="s">
        <v>1270</v>
      </c>
      <c r="X57" t="str">
        <f>_xlfn.XLOOKUP(Cleaned_data[[#This Row],[Customer_ID]],Customers[S],Customers[Loyalty_Tier])</f>
        <v>Silver</v>
      </c>
      <c r="Y57" s="9">
        <f>_xlfn.XLOOKUP(Cleaned_data[[#This Row],[Customer_ID]],Customers[S],Customers[Signup_Date])</f>
        <v>45033</v>
      </c>
      <c r="Z57" s="12">
        <f>_xlfn.XLOOKUP(Cleaned_data[[#This Row],[SKU]],Products[SKU],Products[Standard_Cost])</f>
        <v>165</v>
      </c>
      <c r="AA57" s="10">
        <f>Cleaned_data[[#This Row],[Quantity]]*Cleaned_data[[#This Row],[Unit_Price]]</f>
        <v>316.75</v>
      </c>
      <c r="AB57" s="10">
        <f>Cleaned_data[[#This Row],[Unit_Price]]*Cleaned_data[[#This Row],[Discount_Pct]]</f>
        <v>95.024999999999991</v>
      </c>
      <c r="AC57" s="10">
        <f>Cleaned_data[[#This Row],[Gross Sales]]-Cleaned_data[[#This Row],[Discount amount]]</f>
        <v>221.72500000000002</v>
      </c>
      <c r="AD57" s="10">
        <f>Cleaned_data[[#This Row],[Product Cost]]*Cleaned_data[[#This Row],[Quantity]]</f>
        <v>165</v>
      </c>
      <c r="AE57" s="10">
        <f>Cleaned_data[[#This Row],[Net Sales]]-Cleaned_data[[#This Row],[COGS]]</f>
        <v>56.725000000000023</v>
      </c>
      <c r="AF57" s="11">
        <f>Cleaned_data[[#This Row],[Gross Profit]]/Cleaned_data[[#This Row],[Net Sales]]</f>
        <v>0.25583493065734586</v>
      </c>
      <c r="AG57">
        <f>Cleaned_data[[#This Row],[Ship_Date]]-Cleaned_data[[#This Row],[Order_Date]]</f>
        <v>5</v>
      </c>
      <c r="AH57" t="str">
        <f>IF(Cleaned_data[[#This Row],[Delivery Days]]&gt;10,"late","on time")</f>
        <v>on time</v>
      </c>
      <c r="AI57" t="str">
        <f>TEXT(Cleaned_data[[#This Row],[Order_Date]],"mmmm")</f>
        <v>February</v>
      </c>
      <c r="AJ57" s="9" t="str">
        <f>"Q"&amp;ROUNDUP(MONTH(Cleaned_data[[#This Row],[Order_Date]])/3,0)</f>
        <v>Q1</v>
      </c>
    </row>
    <row r="58" spans="1:36">
      <c r="A58" t="s">
        <v>331</v>
      </c>
      <c r="B58" s="9">
        <v>45344</v>
      </c>
      <c r="C58" s="9">
        <v>45354</v>
      </c>
      <c r="D58" t="s">
        <v>332</v>
      </c>
      <c r="E58" t="s">
        <v>333</v>
      </c>
      <c r="F58" t="s">
        <v>74</v>
      </c>
      <c r="G58" t="s">
        <v>126</v>
      </c>
      <c r="H58" t="s">
        <v>127</v>
      </c>
      <c r="I58" t="s">
        <v>128</v>
      </c>
      <c r="J58" t="s">
        <v>109</v>
      </c>
      <c r="K58" t="s">
        <v>168</v>
      </c>
      <c r="L58" t="s">
        <v>80</v>
      </c>
      <c r="M58" t="s">
        <v>81</v>
      </c>
      <c r="N58" t="s">
        <v>82</v>
      </c>
      <c r="O58" t="s">
        <v>83</v>
      </c>
      <c r="P58" s="8">
        <v>1</v>
      </c>
      <c r="Q58" s="10">
        <v>239.42</v>
      </c>
      <c r="R58" s="11">
        <v>0.11</v>
      </c>
      <c r="S58" s="10">
        <v>9.5</v>
      </c>
      <c r="T58" t="s">
        <v>105</v>
      </c>
      <c r="U58" t="s">
        <v>85</v>
      </c>
      <c r="V58" s="8">
        <v>2</v>
      </c>
      <c r="W58" t="s">
        <v>1270</v>
      </c>
      <c r="X58" t="str">
        <f>_xlfn.XLOOKUP(Cleaned_data[[#This Row],[Customer_ID]],Customers[S],Customers[Loyalty_Tier])</f>
        <v>Silver</v>
      </c>
      <c r="Y58" s="9">
        <f>_xlfn.XLOOKUP(Cleaned_data[[#This Row],[Customer_ID]],Customers[S],Customers[Signup_Date])</f>
        <v>45373</v>
      </c>
      <c r="Z58" s="12">
        <f>_xlfn.XLOOKUP(Cleaned_data[[#This Row],[SKU]],Products[SKU],Products[Standard_Cost])</f>
        <v>125</v>
      </c>
      <c r="AA58" s="10">
        <f>Cleaned_data[[#This Row],[Quantity]]*Cleaned_data[[#This Row],[Unit_Price]]</f>
        <v>239.42</v>
      </c>
      <c r="AB58" s="10">
        <f>Cleaned_data[[#This Row],[Unit_Price]]*Cleaned_data[[#This Row],[Discount_Pct]]</f>
        <v>26.336199999999998</v>
      </c>
      <c r="AC58" s="10">
        <f>Cleaned_data[[#This Row],[Gross Sales]]-Cleaned_data[[#This Row],[Discount amount]]</f>
        <v>213.0838</v>
      </c>
      <c r="AD58" s="10">
        <f>Cleaned_data[[#This Row],[Product Cost]]*Cleaned_data[[#This Row],[Quantity]]</f>
        <v>125</v>
      </c>
      <c r="AE58" s="10">
        <f>Cleaned_data[[#This Row],[Net Sales]]-Cleaned_data[[#This Row],[COGS]]</f>
        <v>88.083799999999997</v>
      </c>
      <c r="AF58" s="11">
        <f>Cleaned_data[[#This Row],[Gross Profit]]/Cleaned_data[[#This Row],[Net Sales]]</f>
        <v>0.41337633363024312</v>
      </c>
      <c r="AG58">
        <f>Cleaned_data[[#This Row],[Ship_Date]]-Cleaned_data[[#This Row],[Order_Date]]</f>
        <v>10</v>
      </c>
      <c r="AH58" t="str">
        <f>IF(Cleaned_data[[#This Row],[Delivery Days]]&gt;10,"late","on time")</f>
        <v>on time</v>
      </c>
      <c r="AI58" t="str">
        <f>TEXT(Cleaned_data[[#This Row],[Order_Date]],"mmmm")</f>
        <v>February</v>
      </c>
      <c r="AJ58" s="9" t="str">
        <f>"Q"&amp;ROUNDUP(MONTH(Cleaned_data[[#This Row],[Order_Date]])/3,0)</f>
        <v>Q1</v>
      </c>
    </row>
    <row r="59" spans="1:36">
      <c r="A59" t="s">
        <v>334</v>
      </c>
      <c r="B59" s="9">
        <v>45345</v>
      </c>
      <c r="C59" s="9">
        <v>45361</v>
      </c>
      <c r="D59" t="s">
        <v>335</v>
      </c>
      <c r="E59" t="s">
        <v>336</v>
      </c>
      <c r="F59" t="s">
        <v>74</v>
      </c>
      <c r="G59" t="s">
        <v>126</v>
      </c>
      <c r="H59" t="s">
        <v>291</v>
      </c>
      <c r="I59" t="s">
        <v>292</v>
      </c>
      <c r="J59" t="s">
        <v>78</v>
      </c>
      <c r="K59" t="s">
        <v>90</v>
      </c>
      <c r="L59" t="s">
        <v>337</v>
      </c>
      <c r="M59" t="s">
        <v>338</v>
      </c>
      <c r="N59" t="s">
        <v>93</v>
      </c>
      <c r="O59" t="s">
        <v>236</v>
      </c>
      <c r="P59" s="8">
        <v>3</v>
      </c>
      <c r="Q59" s="10">
        <v>277.39999999999998</v>
      </c>
      <c r="R59" s="11">
        <v>0.03</v>
      </c>
      <c r="S59" s="10">
        <v>21.75</v>
      </c>
      <c r="T59" t="s">
        <v>105</v>
      </c>
      <c r="U59" t="s">
        <v>148</v>
      </c>
      <c r="V59" s="8">
        <v>3</v>
      </c>
      <c r="W59" t="s">
        <v>1270</v>
      </c>
      <c r="X59" t="str">
        <f>_xlfn.XLOOKUP(Cleaned_data[[#This Row],[Customer_ID]],Customers[S],Customers[Loyalty_Tier])</f>
        <v>Bronze</v>
      </c>
      <c r="Y59" s="9">
        <f>_xlfn.XLOOKUP(Cleaned_data[[#This Row],[Customer_ID]],Customers[S],Customers[Signup_Date])</f>
        <v>44764</v>
      </c>
      <c r="Z59" s="12">
        <f>_xlfn.XLOOKUP(Cleaned_data[[#This Row],[SKU]],Products[SKU],Products[Standard_Cost])</f>
        <v>146</v>
      </c>
      <c r="AA59" s="10">
        <f>Cleaned_data[[#This Row],[Quantity]]*Cleaned_data[[#This Row],[Unit_Price]]</f>
        <v>832.19999999999993</v>
      </c>
      <c r="AB59" s="10">
        <f>Cleaned_data[[#This Row],[Unit_Price]]*Cleaned_data[[#This Row],[Discount_Pct]]</f>
        <v>8.3219999999999992</v>
      </c>
      <c r="AC59" s="10">
        <f>Cleaned_data[[#This Row],[Gross Sales]]-Cleaned_data[[#This Row],[Discount amount]]</f>
        <v>823.87799999999993</v>
      </c>
      <c r="AD59" s="10">
        <f>Cleaned_data[[#This Row],[Product Cost]]*Cleaned_data[[#This Row],[Quantity]]</f>
        <v>438</v>
      </c>
      <c r="AE59" s="10">
        <f>Cleaned_data[[#This Row],[Net Sales]]-Cleaned_data[[#This Row],[COGS]]</f>
        <v>385.87799999999993</v>
      </c>
      <c r="AF59" s="11">
        <f>Cleaned_data[[#This Row],[Gross Profit]]/Cleaned_data[[#This Row],[Net Sales]]</f>
        <v>0.46836788942052093</v>
      </c>
      <c r="AG59">
        <f>Cleaned_data[[#This Row],[Ship_Date]]-Cleaned_data[[#This Row],[Order_Date]]</f>
        <v>16</v>
      </c>
      <c r="AH59" t="str">
        <f>IF(Cleaned_data[[#This Row],[Delivery Days]]&gt;10,"late","on time")</f>
        <v>late</v>
      </c>
      <c r="AI59" t="str">
        <f>TEXT(Cleaned_data[[#This Row],[Order_Date]],"mmmm")</f>
        <v>February</v>
      </c>
      <c r="AJ59" s="9" t="str">
        <f>"Q"&amp;ROUNDUP(MONTH(Cleaned_data[[#This Row],[Order_Date]])/3,0)</f>
        <v>Q1</v>
      </c>
    </row>
    <row r="60" spans="1:36">
      <c r="A60" t="s">
        <v>339</v>
      </c>
      <c r="B60" s="9">
        <v>45346</v>
      </c>
      <c r="C60" s="9">
        <v>45355</v>
      </c>
      <c r="D60" t="s">
        <v>279</v>
      </c>
      <c r="E60" t="s">
        <v>280</v>
      </c>
      <c r="F60" t="s">
        <v>89</v>
      </c>
      <c r="G60" t="s">
        <v>126</v>
      </c>
      <c r="H60" t="s">
        <v>160</v>
      </c>
      <c r="I60" t="s">
        <v>182</v>
      </c>
      <c r="J60" t="s">
        <v>109</v>
      </c>
      <c r="K60" t="s">
        <v>79</v>
      </c>
      <c r="L60" t="s">
        <v>169</v>
      </c>
      <c r="M60" t="s">
        <v>170</v>
      </c>
      <c r="N60" t="s">
        <v>103</v>
      </c>
      <c r="O60" t="s">
        <v>171</v>
      </c>
      <c r="P60" s="8">
        <v>3</v>
      </c>
      <c r="Q60" s="10">
        <v>14.63</v>
      </c>
      <c r="R60" s="11">
        <v>0.03</v>
      </c>
      <c r="S60" s="10">
        <v>15.72</v>
      </c>
      <c r="T60" t="s">
        <v>122</v>
      </c>
      <c r="U60" t="s">
        <v>85</v>
      </c>
      <c r="V60" s="8">
        <v>1</v>
      </c>
      <c r="W60" t="s">
        <v>1270</v>
      </c>
      <c r="X60" t="str">
        <f>_xlfn.XLOOKUP(Cleaned_data[[#This Row],[Customer_ID]],Customers[S],Customers[Loyalty_Tier])</f>
        <v>Bronze</v>
      </c>
      <c r="Y60" s="9">
        <f>_xlfn.XLOOKUP(Cleaned_data[[#This Row],[Customer_ID]],Customers[S],Customers[Signup_Date])</f>
        <v>45772</v>
      </c>
      <c r="Z60" s="12">
        <f>_xlfn.XLOOKUP(Cleaned_data[[#This Row],[SKU]],Products[SKU],Products[Standard_Cost])</f>
        <v>6</v>
      </c>
      <c r="AA60" s="10">
        <f>Cleaned_data[[#This Row],[Quantity]]*Cleaned_data[[#This Row],[Unit_Price]]</f>
        <v>43.89</v>
      </c>
      <c r="AB60" s="10">
        <f>Cleaned_data[[#This Row],[Unit_Price]]*Cleaned_data[[#This Row],[Discount_Pct]]</f>
        <v>0.43890000000000001</v>
      </c>
      <c r="AC60" s="10">
        <f>Cleaned_data[[#This Row],[Gross Sales]]-Cleaned_data[[#This Row],[Discount amount]]</f>
        <v>43.451100000000004</v>
      </c>
      <c r="AD60" s="10">
        <f>Cleaned_data[[#This Row],[Product Cost]]*Cleaned_data[[#This Row],[Quantity]]</f>
        <v>18</v>
      </c>
      <c r="AE60" s="10">
        <f>Cleaned_data[[#This Row],[Net Sales]]-Cleaned_data[[#This Row],[COGS]]</f>
        <v>25.451100000000004</v>
      </c>
      <c r="AF60" s="11">
        <f>Cleaned_data[[#This Row],[Gross Profit]]/Cleaned_data[[#This Row],[Net Sales]]</f>
        <v>0.58574121253547096</v>
      </c>
      <c r="AG60">
        <f>Cleaned_data[[#This Row],[Ship_Date]]-Cleaned_data[[#This Row],[Order_Date]]</f>
        <v>9</v>
      </c>
      <c r="AH60" t="str">
        <f>IF(Cleaned_data[[#This Row],[Delivery Days]]&gt;10,"late","on time")</f>
        <v>on time</v>
      </c>
      <c r="AI60" t="str">
        <f>TEXT(Cleaned_data[[#This Row],[Order_Date]],"mmmm")</f>
        <v>February</v>
      </c>
      <c r="AJ60" s="9" t="str">
        <f>"Q"&amp;ROUNDUP(MONTH(Cleaned_data[[#This Row],[Order_Date]])/3,0)</f>
        <v>Q1</v>
      </c>
    </row>
    <row r="61" spans="1:36">
      <c r="A61" t="s">
        <v>340</v>
      </c>
      <c r="B61" s="9">
        <v>45348</v>
      </c>
      <c r="C61" s="9">
        <v>45354</v>
      </c>
      <c r="D61" t="s">
        <v>341</v>
      </c>
      <c r="E61" t="s">
        <v>342</v>
      </c>
      <c r="F61" t="s">
        <v>89</v>
      </c>
      <c r="G61" t="s">
        <v>138</v>
      </c>
      <c r="H61" t="s">
        <v>186</v>
      </c>
      <c r="I61" t="s">
        <v>187</v>
      </c>
      <c r="J61" t="s">
        <v>129</v>
      </c>
      <c r="K61" t="s">
        <v>130</v>
      </c>
      <c r="L61" t="s">
        <v>254</v>
      </c>
      <c r="M61" t="s">
        <v>255</v>
      </c>
      <c r="N61" t="s">
        <v>82</v>
      </c>
      <c r="O61" t="s">
        <v>83</v>
      </c>
      <c r="P61" s="8">
        <v>9</v>
      </c>
      <c r="Q61" s="10">
        <v>97.72</v>
      </c>
      <c r="R61" s="11">
        <v>0.06</v>
      </c>
      <c r="S61" s="10">
        <v>12.41</v>
      </c>
      <c r="T61" t="s">
        <v>122</v>
      </c>
      <c r="U61" t="s">
        <v>85</v>
      </c>
      <c r="V61" s="8">
        <v>2</v>
      </c>
      <c r="W61" t="s">
        <v>1270</v>
      </c>
      <c r="X61" t="str">
        <f>_xlfn.XLOOKUP(Cleaned_data[[#This Row],[Customer_ID]],Customers[S],Customers[Loyalty_Tier])</f>
        <v>Bronze</v>
      </c>
      <c r="Y61" s="9">
        <f>_xlfn.XLOOKUP(Cleaned_data[[#This Row],[Customer_ID]],Customers[S],Customers[Signup_Date])</f>
        <v>45282</v>
      </c>
      <c r="Z61" s="12">
        <f>_xlfn.XLOOKUP(Cleaned_data[[#This Row],[SKU]],Products[SKU],Products[Standard_Cost])</f>
        <v>48</v>
      </c>
      <c r="AA61" s="10">
        <f>Cleaned_data[[#This Row],[Quantity]]*Cleaned_data[[#This Row],[Unit_Price]]</f>
        <v>879.48</v>
      </c>
      <c r="AB61" s="10">
        <f>Cleaned_data[[#This Row],[Unit_Price]]*Cleaned_data[[#This Row],[Discount_Pct]]</f>
        <v>5.8632</v>
      </c>
      <c r="AC61" s="10">
        <f>Cleaned_data[[#This Row],[Gross Sales]]-Cleaned_data[[#This Row],[Discount amount]]</f>
        <v>873.61680000000001</v>
      </c>
      <c r="AD61" s="10">
        <f>Cleaned_data[[#This Row],[Product Cost]]*Cleaned_data[[#This Row],[Quantity]]</f>
        <v>432</v>
      </c>
      <c r="AE61" s="10">
        <f>Cleaned_data[[#This Row],[Net Sales]]-Cleaned_data[[#This Row],[COGS]]</f>
        <v>441.61680000000001</v>
      </c>
      <c r="AF61" s="11">
        <f>Cleaned_data[[#This Row],[Gross Profit]]/Cleaned_data[[#This Row],[Net Sales]]</f>
        <v>0.50550401503267794</v>
      </c>
      <c r="AG61">
        <f>Cleaned_data[[#This Row],[Ship_Date]]-Cleaned_data[[#This Row],[Order_Date]]</f>
        <v>6</v>
      </c>
      <c r="AH61" t="str">
        <f>IF(Cleaned_data[[#This Row],[Delivery Days]]&gt;10,"late","on time")</f>
        <v>on time</v>
      </c>
      <c r="AI61" t="str">
        <f>TEXT(Cleaned_data[[#This Row],[Order_Date]],"mmmm")</f>
        <v>February</v>
      </c>
      <c r="AJ61" s="9" t="str">
        <f>"Q"&amp;ROUNDUP(MONTH(Cleaned_data[[#This Row],[Order_Date]])/3,0)</f>
        <v>Q1</v>
      </c>
    </row>
    <row r="62" spans="1:36">
      <c r="A62" t="s">
        <v>343</v>
      </c>
      <c r="B62" s="9">
        <v>45348</v>
      </c>
      <c r="C62" s="9">
        <v>45353</v>
      </c>
      <c r="D62" t="s">
        <v>223</v>
      </c>
      <c r="E62" t="s">
        <v>224</v>
      </c>
      <c r="F62" t="s">
        <v>152</v>
      </c>
      <c r="G62" t="s">
        <v>194</v>
      </c>
      <c r="H62" t="s">
        <v>225</v>
      </c>
      <c r="I62" t="s">
        <v>226</v>
      </c>
      <c r="J62" t="s">
        <v>129</v>
      </c>
      <c r="K62" t="s">
        <v>168</v>
      </c>
      <c r="L62" t="s">
        <v>234</v>
      </c>
      <c r="M62" t="s">
        <v>235</v>
      </c>
      <c r="N62" t="s">
        <v>93</v>
      </c>
      <c r="O62" t="s">
        <v>236</v>
      </c>
      <c r="P62" s="8">
        <v>2</v>
      </c>
      <c r="Q62" s="10">
        <v>140.69999999999999</v>
      </c>
      <c r="R62" s="11">
        <v>0.23</v>
      </c>
      <c r="S62" s="10">
        <v>20.350000000000001</v>
      </c>
      <c r="T62" t="s">
        <v>134</v>
      </c>
      <c r="U62" t="s">
        <v>85</v>
      </c>
      <c r="V62" s="8">
        <v>5</v>
      </c>
      <c r="W62" t="s">
        <v>1270</v>
      </c>
      <c r="X62" t="str">
        <f>_xlfn.XLOOKUP(Cleaned_data[[#This Row],[Customer_ID]],Customers[S],Customers[Loyalty_Tier])</f>
        <v>Platinum</v>
      </c>
      <c r="Y62" s="9">
        <f>_xlfn.XLOOKUP(Cleaned_data[[#This Row],[Customer_ID]],Customers[S],Customers[Signup_Date])</f>
        <v>45171</v>
      </c>
      <c r="Z62" s="12">
        <f>_xlfn.XLOOKUP(Cleaned_data[[#This Row],[SKU]],Products[SKU],Products[Standard_Cost])</f>
        <v>82</v>
      </c>
      <c r="AA62" s="10">
        <f>Cleaned_data[[#This Row],[Quantity]]*Cleaned_data[[#This Row],[Unit_Price]]</f>
        <v>281.39999999999998</v>
      </c>
      <c r="AB62" s="10">
        <f>Cleaned_data[[#This Row],[Unit_Price]]*Cleaned_data[[#This Row],[Discount_Pct]]</f>
        <v>32.360999999999997</v>
      </c>
      <c r="AC62" s="10">
        <f>Cleaned_data[[#This Row],[Gross Sales]]-Cleaned_data[[#This Row],[Discount amount]]</f>
        <v>249.03899999999999</v>
      </c>
      <c r="AD62" s="10">
        <f>Cleaned_data[[#This Row],[Product Cost]]*Cleaned_data[[#This Row],[Quantity]]</f>
        <v>164</v>
      </c>
      <c r="AE62" s="10">
        <f>Cleaned_data[[#This Row],[Net Sales]]-Cleaned_data[[#This Row],[COGS]]</f>
        <v>85.038999999999987</v>
      </c>
      <c r="AF62" s="11">
        <f>Cleaned_data[[#This Row],[Gross Profit]]/Cleaned_data[[#This Row],[Net Sales]]</f>
        <v>0.3414686053188456</v>
      </c>
      <c r="AG62">
        <f>Cleaned_data[[#This Row],[Ship_Date]]-Cleaned_data[[#This Row],[Order_Date]]</f>
        <v>5</v>
      </c>
      <c r="AH62" t="str">
        <f>IF(Cleaned_data[[#This Row],[Delivery Days]]&gt;10,"late","on time")</f>
        <v>on time</v>
      </c>
      <c r="AI62" t="str">
        <f>TEXT(Cleaned_data[[#This Row],[Order_Date]],"mmmm")</f>
        <v>February</v>
      </c>
      <c r="AJ62" s="9" t="str">
        <f>"Q"&amp;ROUNDUP(MONTH(Cleaned_data[[#This Row],[Order_Date]])/3,0)</f>
        <v>Q1</v>
      </c>
    </row>
    <row r="63" spans="1:36">
      <c r="A63" t="s">
        <v>344</v>
      </c>
      <c r="B63" s="9">
        <v>45349</v>
      </c>
      <c r="C63" s="9">
        <v>45357</v>
      </c>
      <c r="D63" t="s">
        <v>345</v>
      </c>
      <c r="E63" t="s">
        <v>346</v>
      </c>
      <c r="F63" t="s">
        <v>89</v>
      </c>
      <c r="G63" t="s">
        <v>138</v>
      </c>
      <c r="H63" t="s">
        <v>347</v>
      </c>
      <c r="I63" t="s">
        <v>348</v>
      </c>
      <c r="J63" t="s">
        <v>219</v>
      </c>
      <c r="K63" t="s">
        <v>90</v>
      </c>
      <c r="L63" t="s">
        <v>197</v>
      </c>
      <c r="M63" t="s">
        <v>198</v>
      </c>
      <c r="N63" t="s">
        <v>120</v>
      </c>
      <c r="O63" t="s">
        <v>121</v>
      </c>
      <c r="P63" s="8">
        <v>2</v>
      </c>
      <c r="Q63" s="10">
        <v>525.45000000000005</v>
      </c>
      <c r="R63" s="11">
        <v>0.05</v>
      </c>
      <c r="S63" s="10">
        <v>22.79</v>
      </c>
      <c r="T63" t="s">
        <v>122</v>
      </c>
      <c r="U63" t="s">
        <v>85</v>
      </c>
      <c r="V63" s="8">
        <v>2</v>
      </c>
      <c r="W63" t="s">
        <v>1270</v>
      </c>
      <c r="X63" t="str">
        <f>_xlfn.XLOOKUP(Cleaned_data[[#This Row],[Customer_ID]],Customers[S],Customers[Loyalty_Tier])</f>
        <v>Gold</v>
      </c>
      <c r="Y63" s="9">
        <f>_xlfn.XLOOKUP(Cleaned_data[[#This Row],[Customer_ID]],Customers[S],Customers[Signup_Date])</f>
        <v>45997</v>
      </c>
      <c r="Z63" s="12">
        <f>_xlfn.XLOOKUP(Cleaned_data[[#This Row],[SKU]],Products[SKU],Products[Standard_Cost])</f>
        <v>310</v>
      </c>
      <c r="AA63" s="10">
        <f>Cleaned_data[[#This Row],[Quantity]]*Cleaned_data[[#This Row],[Unit_Price]]</f>
        <v>1050.9000000000001</v>
      </c>
      <c r="AB63" s="10">
        <f>Cleaned_data[[#This Row],[Unit_Price]]*Cleaned_data[[#This Row],[Discount_Pct]]</f>
        <v>26.272500000000004</v>
      </c>
      <c r="AC63" s="10">
        <f>Cleaned_data[[#This Row],[Gross Sales]]-Cleaned_data[[#This Row],[Discount amount]]</f>
        <v>1024.6275000000001</v>
      </c>
      <c r="AD63" s="10">
        <f>Cleaned_data[[#This Row],[Product Cost]]*Cleaned_data[[#This Row],[Quantity]]</f>
        <v>620</v>
      </c>
      <c r="AE63" s="10">
        <f>Cleaned_data[[#This Row],[Net Sales]]-Cleaned_data[[#This Row],[COGS]]</f>
        <v>404.62750000000005</v>
      </c>
      <c r="AF63" s="11">
        <f>Cleaned_data[[#This Row],[Gross Profit]]/Cleaned_data[[#This Row],[Net Sales]]</f>
        <v>0.39490204976930643</v>
      </c>
      <c r="AG63">
        <f>Cleaned_data[[#This Row],[Ship_Date]]-Cleaned_data[[#This Row],[Order_Date]]</f>
        <v>8</v>
      </c>
      <c r="AH63" t="str">
        <f>IF(Cleaned_data[[#This Row],[Delivery Days]]&gt;10,"late","on time")</f>
        <v>on time</v>
      </c>
      <c r="AI63" t="str">
        <f>TEXT(Cleaned_data[[#This Row],[Order_Date]],"mmmm")</f>
        <v>February</v>
      </c>
      <c r="AJ63" s="9" t="str">
        <f>"Q"&amp;ROUNDUP(MONTH(Cleaned_data[[#This Row],[Order_Date]])/3,0)</f>
        <v>Q1</v>
      </c>
    </row>
    <row r="64" spans="1:36">
      <c r="A64" t="s">
        <v>349</v>
      </c>
      <c r="B64" s="9">
        <v>45349</v>
      </c>
      <c r="C64" s="9">
        <v>45356</v>
      </c>
      <c r="D64" t="s">
        <v>350</v>
      </c>
      <c r="E64" t="s">
        <v>351</v>
      </c>
      <c r="F64" t="s">
        <v>152</v>
      </c>
      <c r="G64" t="s">
        <v>126</v>
      </c>
      <c r="H64" t="s">
        <v>160</v>
      </c>
      <c r="I64" t="s">
        <v>182</v>
      </c>
      <c r="J64" t="s">
        <v>109</v>
      </c>
      <c r="K64" t="s">
        <v>147</v>
      </c>
      <c r="L64" t="s">
        <v>197</v>
      </c>
      <c r="M64" t="s">
        <v>198</v>
      </c>
      <c r="N64" t="s">
        <v>120</v>
      </c>
      <c r="O64" t="s">
        <v>121</v>
      </c>
      <c r="P64" s="8">
        <v>2</v>
      </c>
      <c r="Q64" s="10">
        <v>510.19</v>
      </c>
      <c r="R64" s="11">
        <v>0.1</v>
      </c>
      <c r="S64" s="10">
        <v>10.49</v>
      </c>
      <c r="T64" t="s">
        <v>84</v>
      </c>
      <c r="U64" t="s">
        <v>85</v>
      </c>
      <c r="V64" s="8">
        <v>3</v>
      </c>
      <c r="W64" t="s">
        <v>1270</v>
      </c>
      <c r="X64" t="str">
        <f>_xlfn.XLOOKUP(Cleaned_data[[#This Row],[Customer_ID]],Customers[S],Customers[Loyalty_Tier])</f>
        <v>Bronze</v>
      </c>
      <c r="Y64" s="9">
        <f>_xlfn.XLOOKUP(Cleaned_data[[#This Row],[Customer_ID]],Customers[S],Customers[Signup_Date])</f>
        <v>45115</v>
      </c>
      <c r="Z64" s="12">
        <f>_xlfn.XLOOKUP(Cleaned_data[[#This Row],[SKU]],Products[SKU],Products[Standard_Cost])</f>
        <v>310</v>
      </c>
      <c r="AA64" s="10">
        <f>Cleaned_data[[#This Row],[Quantity]]*Cleaned_data[[#This Row],[Unit_Price]]</f>
        <v>1020.38</v>
      </c>
      <c r="AB64" s="10">
        <f>Cleaned_data[[#This Row],[Unit_Price]]*Cleaned_data[[#This Row],[Discount_Pct]]</f>
        <v>51.019000000000005</v>
      </c>
      <c r="AC64" s="10">
        <f>Cleaned_data[[#This Row],[Gross Sales]]-Cleaned_data[[#This Row],[Discount amount]]</f>
        <v>969.36099999999999</v>
      </c>
      <c r="AD64" s="10">
        <f>Cleaned_data[[#This Row],[Product Cost]]*Cleaned_data[[#This Row],[Quantity]]</f>
        <v>620</v>
      </c>
      <c r="AE64" s="10">
        <f>Cleaned_data[[#This Row],[Net Sales]]-Cleaned_data[[#This Row],[COGS]]</f>
        <v>349.36099999999999</v>
      </c>
      <c r="AF64" s="11">
        <f>Cleaned_data[[#This Row],[Gross Profit]]/Cleaned_data[[#This Row],[Net Sales]]</f>
        <v>0.36040339976541247</v>
      </c>
      <c r="AG64">
        <f>Cleaned_data[[#This Row],[Ship_Date]]-Cleaned_data[[#This Row],[Order_Date]]</f>
        <v>7</v>
      </c>
      <c r="AH64" t="str">
        <f>IF(Cleaned_data[[#This Row],[Delivery Days]]&gt;10,"late","on time")</f>
        <v>on time</v>
      </c>
      <c r="AI64" t="str">
        <f>TEXT(Cleaned_data[[#This Row],[Order_Date]],"mmmm")</f>
        <v>February</v>
      </c>
      <c r="AJ64" s="9" t="str">
        <f>"Q"&amp;ROUNDUP(MONTH(Cleaned_data[[#This Row],[Order_Date]])/3,0)</f>
        <v>Q1</v>
      </c>
    </row>
    <row r="65" spans="1:36">
      <c r="A65" t="s">
        <v>352</v>
      </c>
      <c r="B65" s="9">
        <v>45350</v>
      </c>
      <c r="C65" s="9">
        <v>45357</v>
      </c>
      <c r="D65" t="s">
        <v>353</v>
      </c>
      <c r="E65" t="s">
        <v>354</v>
      </c>
      <c r="F65" t="s">
        <v>74</v>
      </c>
      <c r="G65" t="s">
        <v>126</v>
      </c>
      <c r="H65" t="s">
        <v>160</v>
      </c>
      <c r="I65" t="s">
        <v>182</v>
      </c>
      <c r="J65" t="s">
        <v>219</v>
      </c>
      <c r="K65" t="s">
        <v>130</v>
      </c>
      <c r="L65" t="s">
        <v>80</v>
      </c>
      <c r="M65" t="s">
        <v>81</v>
      </c>
      <c r="N65" t="s">
        <v>82</v>
      </c>
      <c r="O65" t="s">
        <v>83</v>
      </c>
      <c r="P65" s="8">
        <v>9</v>
      </c>
      <c r="Q65" s="10">
        <v>252.78</v>
      </c>
      <c r="R65" s="11">
        <v>0.04</v>
      </c>
      <c r="S65" s="10">
        <v>14.4</v>
      </c>
      <c r="T65" t="s">
        <v>122</v>
      </c>
      <c r="U65" t="s">
        <v>85</v>
      </c>
      <c r="V65" s="8">
        <v>1</v>
      </c>
      <c r="W65" t="s">
        <v>1270</v>
      </c>
      <c r="X65" t="str">
        <f>_xlfn.XLOOKUP(Cleaned_data[[#This Row],[Customer_ID]],Customers[S],Customers[Loyalty_Tier])</f>
        <v>Bronze</v>
      </c>
      <c r="Y65" s="9">
        <f>_xlfn.XLOOKUP(Cleaned_data[[#This Row],[Customer_ID]],Customers[S],Customers[Signup_Date])</f>
        <v>44241</v>
      </c>
      <c r="Z65" s="12">
        <f>_xlfn.XLOOKUP(Cleaned_data[[#This Row],[SKU]],Products[SKU],Products[Standard_Cost])</f>
        <v>125</v>
      </c>
      <c r="AA65" s="10">
        <f>Cleaned_data[[#This Row],[Quantity]]*Cleaned_data[[#This Row],[Unit_Price]]</f>
        <v>2275.02</v>
      </c>
      <c r="AB65" s="10">
        <f>Cleaned_data[[#This Row],[Unit_Price]]*Cleaned_data[[#This Row],[Discount_Pct]]</f>
        <v>10.1112</v>
      </c>
      <c r="AC65" s="10">
        <f>Cleaned_data[[#This Row],[Gross Sales]]-Cleaned_data[[#This Row],[Discount amount]]</f>
        <v>2264.9088000000002</v>
      </c>
      <c r="AD65" s="10">
        <f>Cleaned_data[[#This Row],[Product Cost]]*Cleaned_data[[#This Row],[Quantity]]</f>
        <v>1125</v>
      </c>
      <c r="AE65" s="10">
        <f>Cleaned_data[[#This Row],[Net Sales]]-Cleaned_data[[#This Row],[COGS]]</f>
        <v>1139.9088000000002</v>
      </c>
      <c r="AF65" s="11">
        <f>Cleaned_data[[#This Row],[Gross Profit]]/Cleaned_data[[#This Row],[Net Sales]]</f>
        <v>0.5032912583500051</v>
      </c>
      <c r="AG65">
        <f>Cleaned_data[[#This Row],[Ship_Date]]-Cleaned_data[[#This Row],[Order_Date]]</f>
        <v>7</v>
      </c>
      <c r="AH65" t="str">
        <f>IF(Cleaned_data[[#This Row],[Delivery Days]]&gt;10,"late","on time")</f>
        <v>on time</v>
      </c>
      <c r="AI65" t="str">
        <f>TEXT(Cleaned_data[[#This Row],[Order_Date]],"mmmm")</f>
        <v>February</v>
      </c>
      <c r="AJ65" s="9" t="str">
        <f>"Q"&amp;ROUNDUP(MONTH(Cleaned_data[[#This Row],[Order_Date]])/3,0)</f>
        <v>Q1</v>
      </c>
    </row>
    <row r="66" spans="1:36">
      <c r="A66" t="s">
        <v>355</v>
      </c>
      <c r="B66" s="9">
        <v>45351</v>
      </c>
      <c r="C66" s="9">
        <v>45354</v>
      </c>
      <c r="D66" t="s">
        <v>228</v>
      </c>
      <c r="E66" t="s">
        <v>229</v>
      </c>
      <c r="F66" t="s">
        <v>74</v>
      </c>
      <c r="G66" t="s">
        <v>194</v>
      </c>
      <c r="H66" t="s">
        <v>230</v>
      </c>
      <c r="I66" t="s">
        <v>231</v>
      </c>
      <c r="J66" t="s">
        <v>109</v>
      </c>
      <c r="K66" t="s">
        <v>100</v>
      </c>
      <c r="L66" t="s">
        <v>197</v>
      </c>
      <c r="M66" t="s">
        <v>198</v>
      </c>
      <c r="N66" t="s">
        <v>120</v>
      </c>
      <c r="O66" t="s">
        <v>121</v>
      </c>
      <c r="P66" s="8">
        <v>3</v>
      </c>
      <c r="Q66" s="10">
        <v>512.74</v>
      </c>
      <c r="R66" s="11">
        <v>0.02</v>
      </c>
      <c r="S66" s="10">
        <v>11.44</v>
      </c>
      <c r="T66" t="s">
        <v>122</v>
      </c>
      <c r="U66" t="s">
        <v>148</v>
      </c>
      <c r="V66" s="8">
        <v>4</v>
      </c>
      <c r="W66" t="s">
        <v>1270</v>
      </c>
      <c r="X66" t="str">
        <f>_xlfn.XLOOKUP(Cleaned_data[[#This Row],[Customer_ID]],Customers[S],Customers[Loyalty_Tier])</f>
        <v>Silver</v>
      </c>
      <c r="Y66" s="9">
        <f>_xlfn.XLOOKUP(Cleaned_data[[#This Row],[Customer_ID]],Customers[S],Customers[Signup_Date])</f>
        <v>45843</v>
      </c>
      <c r="Z66" s="12">
        <f>_xlfn.XLOOKUP(Cleaned_data[[#This Row],[SKU]],Products[SKU],Products[Standard_Cost])</f>
        <v>310</v>
      </c>
      <c r="AA66" s="10">
        <f>Cleaned_data[[#This Row],[Quantity]]*Cleaned_data[[#This Row],[Unit_Price]]</f>
        <v>1538.22</v>
      </c>
      <c r="AB66" s="10">
        <f>Cleaned_data[[#This Row],[Unit_Price]]*Cleaned_data[[#This Row],[Discount_Pct]]</f>
        <v>10.254800000000001</v>
      </c>
      <c r="AC66" s="10">
        <f>Cleaned_data[[#This Row],[Gross Sales]]-Cleaned_data[[#This Row],[Discount amount]]</f>
        <v>1527.9652000000001</v>
      </c>
      <c r="AD66" s="10">
        <f>Cleaned_data[[#This Row],[Product Cost]]*Cleaned_data[[#This Row],[Quantity]]</f>
        <v>930</v>
      </c>
      <c r="AE66" s="10">
        <f>Cleaned_data[[#This Row],[Net Sales]]-Cleaned_data[[#This Row],[COGS]]</f>
        <v>597.9652000000001</v>
      </c>
      <c r="AF66" s="11">
        <f>Cleaned_data[[#This Row],[Gross Profit]]/Cleaned_data[[#This Row],[Net Sales]]</f>
        <v>0.39134739456108036</v>
      </c>
      <c r="AG66">
        <f>Cleaned_data[[#This Row],[Ship_Date]]-Cleaned_data[[#This Row],[Order_Date]]</f>
        <v>3</v>
      </c>
      <c r="AH66" t="str">
        <f>IF(Cleaned_data[[#This Row],[Delivery Days]]&gt;10,"late","on time")</f>
        <v>on time</v>
      </c>
      <c r="AI66" t="str">
        <f>TEXT(Cleaned_data[[#This Row],[Order_Date]],"mmmm")</f>
        <v>February</v>
      </c>
      <c r="AJ66" s="9" t="str">
        <f>"Q"&amp;ROUNDUP(MONTH(Cleaned_data[[#This Row],[Order_Date]])/3,0)</f>
        <v>Q1</v>
      </c>
    </row>
    <row r="67" spans="1:36">
      <c r="A67" t="s">
        <v>356</v>
      </c>
      <c r="B67" s="9">
        <v>45352</v>
      </c>
      <c r="C67" s="9">
        <v>45360</v>
      </c>
      <c r="D67" t="s">
        <v>357</v>
      </c>
      <c r="E67" t="s">
        <v>358</v>
      </c>
      <c r="F67" t="s">
        <v>74</v>
      </c>
      <c r="G67" t="s">
        <v>75</v>
      </c>
      <c r="H67" t="s">
        <v>98</v>
      </c>
      <c r="I67" t="s">
        <v>99</v>
      </c>
      <c r="J67" t="s">
        <v>109</v>
      </c>
      <c r="K67" t="s">
        <v>147</v>
      </c>
      <c r="L67" t="s">
        <v>359</v>
      </c>
      <c r="M67" t="s">
        <v>360</v>
      </c>
      <c r="N67" t="s">
        <v>93</v>
      </c>
      <c r="O67" t="s">
        <v>94</v>
      </c>
      <c r="P67" s="8">
        <v>2</v>
      </c>
      <c r="Q67" s="10">
        <v>434.18</v>
      </c>
      <c r="R67" s="11">
        <v>0.04</v>
      </c>
      <c r="S67" s="10">
        <v>29.52</v>
      </c>
      <c r="T67" t="s">
        <v>134</v>
      </c>
      <c r="U67" t="s">
        <v>85</v>
      </c>
      <c r="W67" t="s">
        <v>1270</v>
      </c>
      <c r="X67" t="str">
        <f>_xlfn.XLOOKUP(Cleaned_data[[#This Row],[Customer_ID]],Customers[S],Customers[Loyalty_Tier])</f>
        <v>Bronze</v>
      </c>
      <c r="Y67" s="9">
        <f>_xlfn.XLOOKUP(Cleaned_data[[#This Row],[Customer_ID]],Customers[S],Customers[Signup_Date])</f>
        <v>44916</v>
      </c>
      <c r="Z67" s="12">
        <f>_xlfn.XLOOKUP(Cleaned_data[[#This Row],[SKU]],Products[SKU],Products[Standard_Cost])</f>
        <v>265</v>
      </c>
      <c r="AA67" s="10">
        <f>Cleaned_data[[#This Row],[Quantity]]*Cleaned_data[[#This Row],[Unit_Price]]</f>
        <v>868.36</v>
      </c>
      <c r="AB67" s="10">
        <f>Cleaned_data[[#This Row],[Unit_Price]]*Cleaned_data[[#This Row],[Discount_Pct]]</f>
        <v>17.3672</v>
      </c>
      <c r="AC67" s="10">
        <f>Cleaned_data[[#This Row],[Gross Sales]]-Cleaned_data[[#This Row],[Discount amount]]</f>
        <v>850.99279999999999</v>
      </c>
      <c r="AD67" s="10">
        <f>Cleaned_data[[#This Row],[Product Cost]]*Cleaned_data[[#This Row],[Quantity]]</f>
        <v>530</v>
      </c>
      <c r="AE67" s="10">
        <f>Cleaned_data[[#This Row],[Net Sales]]-Cleaned_data[[#This Row],[COGS]]</f>
        <v>320.99279999999999</v>
      </c>
      <c r="AF67" s="11">
        <f>Cleaned_data[[#This Row],[Gross Profit]]/Cleaned_data[[#This Row],[Net Sales]]</f>
        <v>0.37719802094682819</v>
      </c>
      <c r="AG67">
        <f>Cleaned_data[[#This Row],[Ship_Date]]-Cleaned_data[[#This Row],[Order_Date]]</f>
        <v>8</v>
      </c>
      <c r="AH67" t="str">
        <f>IF(Cleaned_data[[#This Row],[Delivery Days]]&gt;10,"late","on time")</f>
        <v>on time</v>
      </c>
      <c r="AI67" t="str">
        <f>TEXT(Cleaned_data[[#This Row],[Order_Date]],"mmmm")</f>
        <v>March</v>
      </c>
      <c r="AJ67" s="9" t="str">
        <f>"Q"&amp;ROUNDUP(MONTH(Cleaned_data[[#This Row],[Order_Date]])/3,0)</f>
        <v>Q1</v>
      </c>
    </row>
    <row r="68" spans="1:36">
      <c r="A68" t="s">
        <v>361</v>
      </c>
      <c r="B68" s="9">
        <v>45352</v>
      </c>
      <c r="C68" s="9">
        <v>45353</v>
      </c>
      <c r="D68" t="s">
        <v>362</v>
      </c>
      <c r="E68" t="s">
        <v>363</v>
      </c>
      <c r="F68" t="s">
        <v>89</v>
      </c>
      <c r="G68" t="s">
        <v>194</v>
      </c>
      <c r="H68" t="s">
        <v>240</v>
      </c>
      <c r="I68" t="s">
        <v>241</v>
      </c>
      <c r="J68" t="s">
        <v>219</v>
      </c>
      <c r="K68" t="s">
        <v>100</v>
      </c>
      <c r="L68" t="s">
        <v>188</v>
      </c>
      <c r="M68" t="s">
        <v>189</v>
      </c>
      <c r="N68" t="s">
        <v>120</v>
      </c>
      <c r="O68" t="s">
        <v>190</v>
      </c>
      <c r="P68" s="8">
        <v>1</v>
      </c>
      <c r="Q68" s="10">
        <v>59.92</v>
      </c>
      <c r="R68" s="11">
        <v>0.08</v>
      </c>
      <c r="S68" s="10">
        <v>13.39</v>
      </c>
      <c r="T68" t="s">
        <v>134</v>
      </c>
      <c r="U68" t="s">
        <v>85</v>
      </c>
      <c r="W68" t="s">
        <v>1270</v>
      </c>
      <c r="X68" t="str">
        <f>_xlfn.XLOOKUP(Cleaned_data[[#This Row],[Customer_ID]],Customers[S],Customers[Loyalty_Tier])</f>
        <v>Silver</v>
      </c>
      <c r="Y68" s="9">
        <f>_xlfn.XLOOKUP(Cleaned_data[[#This Row],[Customer_ID]],Customers[S],Customers[Signup_Date])</f>
        <v>45026</v>
      </c>
      <c r="Z68" s="12">
        <f>_xlfn.XLOOKUP(Cleaned_data[[#This Row],[SKU]],Products[SKU],Products[Standard_Cost])</f>
        <v>28</v>
      </c>
      <c r="AA68" s="10">
        <f>Cleaned_data[[#This Row],[Quantity]]*Cleaned_data[[#This Row],[Unit_Price]]</f>
        <v>59.92</v>
      </c>
      <c r="AB68" s="10">
        <f>Cleaned_data[[#This Row],[Unit_Price]]*Cleaned_data[[#This Row],[Discount_Pct]]</f>
        <v>4.7936000000000005</v>
      </c>
      <c r="AC68" s="10">
        <f>Cleaned_data[[#This Row],[Gross Sales]]-Cleaned_data[[#This Row],[Discount amount]]</f>
        <v>55.126400000000004</v>
      </c>
      <c r="AD68" s="10">
        <f>Cleaned_data[[#This Row],[Product Cost]]*Cleaned_data[[#This Row],[Quantity]]</f>
        <v>28</v>
      </c>
      <c r="AE68" s="10">
        <f>Cleaned_data[[#This Row],[Net Sales]]-Cleaned_data[[#This Row],[COGS]]</f>
        <v>27.126400000000004</v>
      </c>
      <c r="AF68" s="11">
        <f>Cleaned_data[[#This Row],[Gross Profit]]/Cleaned_data[[#This Row],[Net Sales]]</f>
        <v>0.49207639171068673</v>
      </c>
      <c r="AG68">
        <f>Cleaned_data[[#This Row],[Ship_Date]]-Cleaned_data[[#This Row],[Order_Date]]</f>
        <v>1</v>
      </c>
      <c r="AH68" t="str">
        <f>IF(Cleaned_data[[#This Row],[Delivery Days]]&gt;10,"late","on time")</f>
        <v>on time</v>
      </c>
      <c r="AI68" t="str">
        <f>TEXT(Cleaned_data[[#This Row],[Order_Date]],"mmmm")</f>
        <v>March</v>
      </c>
      <c r="AJ68" s="9" t="str">
        <f>"Q"&amp;ROUNDUP(MONTH(Cleaned_data[[#This Row],[Order_Date]])/3,0)</f>
        <v>Q1</v>
      </c>
    </row>
    <row r="69" spans="1:36">
      <c r="A69" t="s">
        <v>364</v>
      </c>
      <c r="B69" s="9">
        <v>45352</v>
      </c>
      <c r="C69" s="9">
        <v>45357</v>
      </c>
      <c r="D69" t="s">
        <v>253</v>
      </c>
      <c r="E69" t="s">
        <v>167</v>
      </c>
      <c r="F69" t="s">
        <v>152</v>
      </c>
      <c r="G69" t="s">
        <v>75</v>
      </c>
      <c r="H69" t="s">
        <v>212</v>
      </c>
      <c r="I69" t="s">
        <v>213</v>
      </c>
      <c r="J69" t="s">
        <v>78</v>
      </c>
      <c r="K69" t="s">
        <v>90</v>
      </c>
      <c r="L69" t="s">
        <v>155</v>
      </c>
      <c r="M69" t="s">
        <v>156</v>
      </c>
      <c r="N69" t="s">
        <v>82</v>
      </c>
      <c r="O69" t="s">
        <v>112</v>
      </c>
      <c r="P69" s="8">
        <v>4</v>
      </c>
      <c r="Q69" s="10">
        <v>159.84</v>
      </c>
      <c r="R69" s="11">
        <v>0.05</v>
      </c>
      <c r="S69" s="10">
        <v>14.02</v>
      </c>
      <c r="T69" t="s">
        <v>122</v>
      </c>
      <c r="U69" t="s">
        <v>85</v>
      </c>
      <c r="V69" s="8">
        <v>4</v>
      </c>
      <c r="W69" t="s">
        <v>1270</v>
      </c>
      <c r="X69" t="str">
        <f>_xlfn.XLOOKUP(Cleaned_data[[#This Row],[Customer_ID]],Customers[S],Customers[Loyalty_Tier])</f>
        <v>Silver</v>
      </c>
      <c r="Y69" s="9">
        <f>_xlfn.XLOOKUP(Cleaned_data[[#This Row],[Customer_ID]],Customers[S],Customers[Signup_Date])</f>
        <v>45243</v>
      </c>
      <c r="Z69" s="12">
        <f>_xlfn.XLOOKUP(Cleaned_data[[#This Row],[SKU]],Products[SKU],Products[Standard_Cost])</f>
        <v>82</v>
      </c>
      <c r="AA69" s="10">
        <f>Cleaned_data[[#This Row],[Quantity]]*Cleaned_data[[#This Row],[Unit_Price]]</f>
        <v>639.36</v>
      </c>
      <c r="AB69" s="10">
        <f>Cleaned_data[[#This Row],[Unit_Price]]*Cleaned_data[[#This Row],[Discount_Pct]]</f>
        <v>7.9920000000000009</v>
      </c>
      <c r="AC69" s="10">
        <f>Cleaned_data[[#This Row],[Gross Sales]]-Cleaned_data[[#This Row],[Discount amount]]</f>
        <v>631.36800000000005</v>
      </c>
      <c r="AD69" s="10">
        <f>Cleaned_data[[#This Row],[Product Cost]]*Cleaned_data[[#This Row],[Quantity]]</f>
        <v>328</v>
      </c>
      <c r="AE69" s="10">
        <f>Cleaned_data[[#This Row],[Net Sales]]-Cleaned_data[[#This Row],[COGS]]</f>
        <v>303.36800000000005</v>
      </c>
      <c r="AF69" s="11">
        <f>Cleaned_data[[#This Row],[Gross Profit]]/Cleaned_data[[#This Row],[Net Sales]]</f>
        <v>0.48049315137922738</v>
      </c>
      <c r="AG69">
        <f>Cleaned_data[[#This Row],[Ship_Date]]-Cleaned_data[[#This Row],[Order_Date]]</f>
        <v>5</v>
      </c>
      <c r="AH69" t="str">
        <f>IF(Cleaned_data[[#This Row],[Delivery Days]]&gt;10,"late","on time")</f>
        <v>on time</v>
      </c>
      <c r="AI69" t="str">
        <f>TEXT(Cleaned_data[[#This Row],[Order_Date]],"mmmm")</f>
        <v>March</v>
      </c>
      <c r="AJ69" s="9" t="str">
        <f>"Q"&amp;ROUNDUP(MONTH(Cleaned_data[[#This Row],[Order_Date]])/3,0)</f>
        <v>Q1</v>
      </c>
    </row>
    <row r="70" spans="1:36">
      <c r="A70" t="s">
        <v>365</v>
      </c>
      <c r="B70" s="9">
        <v>45353</v>
      </c>
      <c r="C70" s="9">
        <v>45358</v>
      </c>
      <c r="D70" t="s">
        <v>366</v>
      </c>
      <c r="E70" t="s">
        <v>342</v>
      </c>
      <c r="F70" t="s">
        <v>89</v>
      </c>
      <c r="G70" t="s">
        <v>194</v>
      </c>
      <c r="H70" t="s">
        <v>230</v>
      </c>
      <c r="I70" t="s">
        <v>231</v>
      </c>
      <c r="J70" t="s">
        <v>78</v>
      </c>
      <c r="K70" t="s">
        <v>130</v>
      </c>
      <c r="L70" t="s">
        <v>197</v>
      </c>
      <c r="M70" t="s">
        <v>198</v>
      </c>
      <c r="N70" t="s">
        <v>120</v>
      </c>
      <c r="O70" t="s">
        <v>121</v>
      </c>
      <c r="P70" s="8">
        <v>2</v>
      </c>
      <c r="Q70" s="10">
        <v>507.33</v>
      </c>
      <c r="R70" s="11">
        <v>0.06</v>
      </c>
      <c r="S70" s="10">
        <v>14.85</v>
      </c>
      <c r="T70" t="s">
        <v>84</v>
      </c>
      <c r="U70" t="s">
        <v>85</v>
      </c>
      <c r="V70" s="8">
        <v>3</v>
      </c>
      <c r="W70" t="s">
        <v>1270</v>
      </c>
      <c r="X70" t="str">
        <f>_xlfn.XLOOKUP(Cleaned_data[[#This Row],[Customer_ID]],Customers[S],Customers[Loyalty_Tier])</f>
        <v>Silver</v>
      </c>
      <c r="Y70" s="9">
        <f>_xlfn.XLOOKUP(Cleaned_data[[#This Row],[Customer_ID]],Customers[S],Customers[Signup_Date])</f>
        <v>45549</v>
      </c>
      <c r="Z70" s="12">
        <f>_xlfn.XLOOKUP(Cleaned_data[[#This Row],[SKU]],Products[SKU],Products[Standard_Cost])</f>
        <v>310</v>
      </c>
      <c r="AA70" s="10">
        <f>Cleaned_data[[#This Row],[Quantity]]*Cleaned_data[[#This Row],[Unit_Price]]</f>
        <v>1014.66</v>
      </c>
      <c r="AB70" s="10">
        <f>Cleaned_data[[#This Row],[Unit_Price]]*Cleaned_data[[#This Row],[Discount_Pct]]</f>
        <v>30.439799999999998</v>
      </c>
      <c r="AC70" s="10">
        <f>Cleaned_data[[#This Row],[Gross Sales]]-Cleaned_data[[#This Row],[Discount amount]]</f>
        <v>984.22019999999998</v>
      </c>
      <c r="AD70" s="10">
        <f>Cleaned_data[[#This Row],[Product Cost]]*Cleaned_data[[#This Row],[Quantity]]</f>
        <v>620</v>
      </c>
      <c r="AE70" s="10">
        <f>Cleaned_data[[#This Row],[Net Sales]]-Cleaned_data[[#This Row],[COGS]]</f>
        <v>364.22019999999998</v>
      </c>
      <c r="AF70" s="11">
        <f>Cleaned_data[[#This Row],[Gross Profit]]/Cleaned_data[[#This Row],[Net Sales]]</f>
        <v>0.3700596675418773</v>
      </c>
      <c r="AG70">
        <f>Cleaned_data[[#This Row],[Ship_Date]]-Cleaned_data[[#This Row],[Order_Date]]</f>
        <v>5</v>
      </c>
      <c r="AH70" t="str">
        <f>IF(Cleaned_data[[#This Row],[Delivery Days]]&gt;10,"late","on time")</f>
        <v>on time</v>
      </c>
      <c r="AI70" t="str">
        <f>TEXT(Cleaned_data[[#This Row],[Order_Date]],"mmmm")</f>
        <v>March</v>
      </c>
      <c r="AJ70" s="9" t="str">
        <f>"Q"&amp;ROUNDUP(MONTH(Cleaned_data[[#This Row],[Order_Date]])/3,0)</f>
        <v>Q1</v>
      </c>
    </row>
    <row r="71" spans="1:36">
      <c r="A71" t="s">
        <v>367</v>
      </c>
      <c r="B71" s="9">
        <v>45354</v>
      </c>
      <c r="C71" s="9">
        <v>45361</v>
      </c>
      <c r="D71" t="s">
        <v>368</v>
      </c>
      <c r="E71" t="s">
        <v>369</v>
      </c>
      <c r="F71" t="s">
        <v>89</v>
      </c>
      <c r="G71" t="s">
        <v>194</v>
      </c>
      <c r="H71" t="s">
        <v>240</v>
      </c>
      <c r="I71" t="s">
        <v>241</v>
      </c>
      <c r="J71" t="s">
        <v>109</v>
      </c>
      <c r="K71" t="s">
        <v>79</v>
      </c>
      <c r="L71" t="s">
        <v>141</v>
      </c>
      <c r="M71" t="s">
        <v>142</v>
      </c>
      <c r="N71" t="s">
        <v>103</v>
      </c>
      <c r="O71" t="s">
        <v>143</v>
      </c>
      <c r="P71" s="8">
        <v>10</v>
      </c>
      <c r="Q71" s="10">
        <v>35.26</v>
      </c>
      <c r="R71" s="11">
        <v>0.02</v>
      </c>
      <c r="S71" s="10">
        <v>5.96</v>
      </c>
      <c r="T71" t="s">
        <v>134</v>
      </c>
      <c r="U71" t="s">
        <v>85</v>
      </c>
      <c r="V71" s="8">
        <v>2</v>
      </c>
      <c r="W71" t="s">
        <v>1270</v>
      </c>
      <c r="X71" t="str">
        <f>_xlfn.XLOOKUP(Cleaned_data[[#This Row],[Customer_ID]],Customers[S],Customers[Loyalty_Tier])</f>
        <v>Platinum</v>
      </c>
      <c r="Y71" s="9">
        <f>_xlfn.XLOOKUP(Cleaned_data[[#This Row],[Customer_ID]],Customers[S],Customers[Signup_Date])</f>
        <v>45670</v>
      </c>
      <c r="Z71" s="12">
        <f>_xlfn.XLOOKUP(Cleaned_data[[#This Row],[SKU]],Products[SKU],Products[Standard_Cost])</f>
        <v>18</v>
      </c>
      <c r="AA71" s="10">
        <f>Cleaned_data[[#This Row],[Quantity]]*Cleaned_data[[#This Row],[Unit_Price]]</f>
        <v>352.59999999999997</v>
      </c>
      <c r="AB71" s="10">
        <f>Cleaned_data[[#This Row],[Unit_Price]]*Cleaned_data[[#This Row],[Discount_Pct]]</f>
        <v>0.70519999999999994</v>
      </c>
      <c r="AC71" s="10">
        <f>Cleaned_data[[#This Row],[Gross Sales]]-Cleaned_data[[#This Row],[Discount amount]]</f>
        <v>351.89479999999998</v>
      </c>
      <c r="AD71" s="10">
        <f>Cleaned_data[[#This Row],[Product Cost]]*Cleaned_data[[#This Row],[Quantity]]</f>
        <v>180</v>
      </c>
      <c r="AE71" s="10">
        <f>Cleaned_data[[#This Row],[Net Sales]]-Cleaned_data[[#This Row],[COGS]]</f>
        <v>171.89479999999998</v>
      </c>
      <c r="AF71" s="11">
        <f>Cleaned_data[[#This Row],[Gross Profit]]/Cleaned_data[[#This Row],[Net Sales]]</f>
        <v>0.48848348995211066</v>
      </c>
      <c r="AG71">
        <f>Cleaned_data[[#This Row],[Ship_Date]]-Cleaned_data[[#This Row],[Order_Date]]</f>
        <v>7</v>
      </c>
      <c r="AH71" t="str">
        <f>IF(Cleaned_data[[#This Row],[Delivery Days]]&gt;10,"late","on time")</f>
        <v>on time</v>
      </c>
      <c r="AI71" t="str">
        <f>TEXT(Cleaned_data[[#This Row],[Order_Date]],"mmmm")</f>
        <v>March</v>
      </c>
      <c r="AJ71" s="9" t="str">
        <f>"Q"&amp;ROUNDUP(MONTH(Cleaned_data[[#This Row],[Order_Date]])/3,0)</f>
        <v>Q1</v>
      </c>
    </row>
    <row r="72" spans="1:36">
      <c r="A72" t="s">
        <v>370</v>
      </c>
      <c r="B72" s="9">
        <v>45354</v>
      </c>
      <c r="C72" s="9">
        <v>45362</v>
      </c>
      <c r="D72" t="s">
        <v>345</v>
      </c>
      <c r="E72" t="s">
        <v>346</v>
      </c>
      <c r="F72" t="s">
        <v>89</v>
      </c>
      <c r="G72" t="s">
        <v>138</v>
      </c>
      <c r="H72" t="s">
        <v>347</v>
      </c>
      <c r="I72" t="s">
        <v>348</v>
      </c>
      <c r="J72" t="s">
        <v>129</v>
      </c>
      <c r="K72" t="s">
        <v>130</v>
      </c>
      <c r="L72" t="s">
        <v>337</v>
      </c>
      <c r="M72" t="s">
        <v>338</v>
      </c>
      <c r="N72" t="s">
        <v>93</v>
      </c>
      <c r="O72" t="s">
        <v>236</v>
      </c>
      <c r="P72" s="8">
        <v>2</v>
      </c>
      <c r="Q72" s="10">
        <v>263</v>
      </c>
      <c r="R72" s="11">
        <v>0.03</v>
      </c>
      <c r="S72" s="10">
        <v>21.32</v>
      </c>
      <c r="T72" t="s">
        <v>84</v>
      </c>
      <c r="U72" t="s">
        <v>85</v>
      </c>
      <c r="V72" s="8">
        <v>4</v>
      </c>
      <c r="W72" t="s">
        <v>1270</v>
      </c>
      <c r="X72" t="str">
        <f>_xlfn.XLOOKUP(Cleaned_data[[#This Row],[Customer_ID]],Customers[S],Customers[Loyalty_Tier])</f>
        <v>Gold</v>
      </c>
      <c r="Y72" s="9">
        <f>_xlfn.XLOOKUP(Cleaned_data[[#This Row],[Customer_ID]],Customers[S],Customers[Signup_Date])</f>
        <v>45997</v>
      </c>
      <c r="Z72" s="12">
        <f>_xlfn.XLOOKUP(Cleaned_data[[#This Row],[SKU]],Products[SKU],Products[Standard_Cost])</f>
        <v>146</v>
      </c>
      <c r="AA72" s="10">
        <f>Cleaned_data[[#This Row],[Quantity]]*Cleaned_data[[#This Row],[Unit_Price]]</f>
        <v>526</v>
      </c>
      <c r="AB72" s="10">
        <f>Cleaned_data[[#This Row],[Unit_Price]]*Cleaned_data[[#This Row],[Discount_Pct]]</f>
        <v>7.89</v>
      </c>
      <c r="AC72" s="10">
        <f>Cleaned_data[[#This Row],[Gross Sales]]-Cleaned_data[[#This Row],[Discount amount]]</f>
        <v>518.11</v>
      </c>
      <c r="AD72" s="10">
        <f>Cleaned_data[[#This Row],[Product Cost]]*Cleaned_data[[#This Row],[Quantity]]</f>
        <v>292</v>
      </c>
      <c r="AE72" s="10">
        <f>Cleaned_data[[#This Row],[Net Sales]]-Cleaned_data[[#This Row],[COGS]]</f>
        <v>226.11</v>
      </c>
      <c r="AF72" s="11">
        <f>Cleaned_data[[#This Row],[Gross Profit]]/Cleaned_data[[#This Row],[Net Sales]]</f>
        <v>0.43641311690567641</v>
      </c>
      <c r="AG72">
        <f>Cleaned_data[[#This Row],[Ship_Date]]-Cleaned_data[[#This Row],[Order_Date]]</f>
        <v>8</v>
      </c>
      <c r="AH72" t="str">
        <f>IF(Cleaned_data[[#This Row],[Delivery Days]]&gt;10,"late","on time")</f>
        <v>on time</v>
      </c>
      <c r="AI72" t="str">
        <f>TEXT(Cleaned_data[[#This Row],[Order_Date]],"mmmm")</f>
        <v>March</v>
      </c>
      <c r="AJ72" s="9" t="str">
        <f>"Q"&amp;ROUNDUP(MONTH(Cleaned_data[[#This Row],[Order_Date]])/3,0)</f>
        <v>Q1</v>
      </c>
    </row>
    <row r="73" spans="1:36">
      <c r="A73" t="s">
        <v>371</v>
      </c>
      <c r="B73" s="9">
        <v>45354</v>
      </c>
      <c r="C73" s="9">
        <v>45360</v>
      </c>
      <c r="D73" t="s">
        <v>372</v>
      </c>
      <c r="E73" t="s">
        <v>373</v>
      </c>
      <c r="F73" t="s">
        <v>89</v>
      </c>
      <c r="G73" t="s">
        <v>138</v>
      </c>
      <c r="H73" t="s">
        <v>347</v>
      </c>
      <c r="I73" t="s">
        <v>348</v>
      </c>
      <c r="J73" t="s">
        <v>78</v>
      </c>
      <c r="K73" t="s">
        <v>90</v>
      </c>
      <c r="L73" t="s">
        <v>261</v>
      </c>
      <c r="M73" t="s">
        <v>262</v>
      </c>
      <c r="N73" t="s">
        <v>103</v>
      </c>
      <c r="O73" t="s">
        <v>104</v>
      </c>
      <c r="P73" s="8">
        <v>1</v>
      </c>
      <c r="Q73" s="10">
        <v>25.67</v>
      </c>
      <c r="R73" s="11">
        <v>0.34</v>
      </c>
      <c r="S73" s="10">
        <v>12.04</v>
      </c>
      <c r="T73" t="s">
        <v>105</v>
      </c>
      <c r="U73" t="s">
        <v>85</v>
      </c>
      <c r="V73" s="8">
        <v>3</v>
      </c>
      <c r="W73" t="s">
        <v>1270</v>
      </c>
      <c r="X73" t="str">
        <f>_xlfn.XLOOKUP(Cleaned_data[[#This Row],[Customer_ID]],Customers[S],Customers[Loyalty_Tier])</f>
        <v>Platinum</v>
      </c>
      <c r="Y73" s="9">
        <f>_xlfn.XLOOKUP(Cleaned_data[[#This Row],[Customer_ID]],Customers[S],Customers[Signup_Date])</f>
        <v>45697</v>
      </c>
      <c r="Z73" s="12">
        <f>_xlfn.XLOOKUP(Cleaned_data[[#This Row],[SKU]],Products[SKU],Products[Standard_Cost])</f>
        <v>12</v>
      </c>
      <c r="AA73" s="10">
        <f>Cleaned_data[[#This Row],[Quantity]]*Cleaned_data[[#This Row],[Unit_Price]]</f>
        <v>25.67</v>
      </c>
      <c r="AB73" s="10">
        <f>Cleaned_data[[#This Row],[Unit_Price]]*Cleaned_data[[#This Row],[Discount_Pct]]</f>
        <v>8.727800000000002</v>
      </c>
      <c r="AC73" s="10">
        <f>Cleaned_data[[#This Row],[Gross Sales]]-Cleaned_data[[#This Row],[Discount amount]]</f>
        <v>16.9422</v>
      </c>
      <c r="AD73" s="10">
        <f>Cleaned_data[[#This Row],[Product Cost]]*Cleaned_data[[#This Row],[Quantity]]</f>
        <v>12</v>
      </c>
      <c r="AE73" s="10">
        <f>Cleaned_data[[#This Row],[Net Sales]]-Cleaned_data[[#This Row],[COGS]]</f>
        <v>4.9421999999999997</v>
      </c>
      <c r="AF73" s="11">
        <f>Cleaned_data[[#This Row],[Gross Profit]]/Cleaned_data[[#This Row],[Net Sales]]</f>
        <v>0.29170945922017211</v>
      </c>
      <c r="AG73">
        <f>Cleaned_data[[#This Row],[Ship_Date]]-Cleaned_data[[#This Row],[Order_Date]]</f>
        <v>6</v>
      </c>
      <c r="AH73" t="str">
        <f>IF(Cleaned_data[[#This Row],[Delivery Days]]&gt;10,"late","on time")</f>
        <v>on time</v>
      </c>
      <c r="AI73" t="str">
        <f>TEXT(Cleaned_data[[#This Row],[Order_Date]],"mmmm")</f>
        <v>March</v>
      </c>
      <c r="AJ73" s="9" t="str">
        <f>"Q"&amp;ROUNDUP(MONTH(Cleaned_data[[#This Row],[Order_Date]])/3,0)</f>
        <v>Q1</v>
      </c>
    </row>
    <row r="74" spans="1:36">
      <c r="A74" t="s">
        <v>374</v>
      </c>
      <c r="B74" s="9">
        <v>45356</v>
      </c>
      <c r="C74" s="9">
        <v>45365</v>
      </c>
      <c r="D74" t="s">
        <v>362</v>
      </c>
      <c r="E74" t="s">
        <v>363</v>
      </c>
      <c r="F74" t="s">
        <v>89</v>
      </c>
      <c r="G74" t="s">
        <v>194</v>
      </c>
      <c r="H74" t="s">
        <v>240</v>
      </c>
      <c r="I74" t="s">
        <v>241</v>
      </c>
      <c r="J74" t="s">
        <v>78</v>
      </c>
      <c r="K74" t="s">
        <v>90</v>
      </c>
      <c r="L74" t="s">
        <v>254</v>
      </c>
      <c r="M74" t="s">
        <v>255</v>
      </c>
      <c r="N74" t="s">
        <v>82</v>
      </c>
      <c r="O74" t="s">
        <v>83</v>
      </c>
      <c r="P74" s="8">
        <v>6</v>
      </c>
      <c r="Q74" s="10">
        <v>94.64</v>
      </c>
      <c r="R74" s="11">
        <v>0.03</v>
      </c>
      <c r="S74" s="10">
        <v>11.25</v>
      </c>
      <c r="T74" t="s">
        <v>134</v>
      </c>
      <c r="U74" t="s">
        <v>85</v>
      </c>
      <c r="V74" s="8">
        <v>1</v>
      </c>
      <c r="W74" t="s">
        <v>1270</v>
      </c>
      <c r="X74" t="str">
        <f>_xlfn.XLOOKUP(Cleaned_data[[#This Row],[Customer_ID]],Customers[S],Customers[Loyalty_Tier])</f>
        <v>Silver</v>
      </c>
      <c r="Y74" s="9">
        <f>_xlfn.XLOOKUP(Cleaned_data[[#This Row],[Customer_ID]],Customers[S],Customers[Signup_Date])</f>
        <v>45026</v>
      </c>
      <c r="Z74" s="12">
        <f>_xlfn.XLOOKUP(Cleaned_data[[#This Row],[SKU]],Products[SKU],Products[Standard_Cost])</f>
        <v>48</v>
      </c>
      <c r="AA74" s="10">
        <f>Cleaned_data[[#This Row],[Quantity]]*Cleaned_data[[#This Row],[Unit_Price]]</f>
        <v>567.84</v>
      </c>
      <c r="AB74" s="10">
        <f>Cleaned_data[[#This Row],[Unit_Price]]*Cleaned_data[[#This Row],[Discount_Pct]]</f>
        <v>2.8391999999999999</v>
      </c>
      <c r="AC74" s="10">
        <f>Cleaned_data[[#This Row],[Gross Sales]]-Cleaned_data[[#This Row],[Discount amount]]</f>
        <v>565.00080000000003</v>
      </c>
      <c r="AD74" s="10">
        <f>Cleaned_data[[#This Row],[Product Cost]]*Cleaned_data[[#This Row],[Quantity]]</f>
        <v>288</v>
      </c>
      <c r="AE74" s="10">
        <f>Cleaned_data[[#This Row],[Net Sales]]-Cleaned_data[[#This Row],[COGS]]</f>
        <v>277.00080000000003</v>
      </c>
      <c r="AF74" s="11">
        <f>Cleaned_data[[#This Row],[Gross Profit]]/Cleaned_data[[#This Row],[Net Sales]]</f>
        <v>0.4902662084726252</v>
      </c>
      <c r="AG74">
        <f>Cleaned_data[[#This Row],[Ship_Date]]-Cleaned_data[[#This Row],[Order_Date]]</f>
        <v>9</v>
      </c>
      <c r="AH74" t="str">
        <f>IF(Cleaned_data[[#This Row],[Delivery Days]]&gt;10,"late","on time")</f>
        <v>on time</v>
      </c>
      <c r="AI74" t="str">
        <f>TEXT(Cleaned_data[[#This Row],[Order_Date]],"mmmm")</f>
        <v>March</v>
      </c>
      <c r="AJ74" s="9" t="str">
        <f>"Q"&amp;ROUNDUP(MONTH(Cleaned_data[[#This Row],[Order_Date]])/3,0)</f>
        <v>Q1</v>
      </c>
    </row>
    <row r="75" spans="1:36">
      <c r="A75" t="s">
        <v>375</v>
      </c>
      <c r="B75" s="9">
        <v>45358</v>
      </c>
      <c r="C75" s="9">
        <v>45369</v>
      </c>
      <c r="D75" t="s">
        <v>180</v>
      </c>
      <c r="E75" t="s">
        <v>181</v>
      </c>
      <c r="F75" t="s">
        <v>74</v>
      </c>
      <c r="G75" t="s">
        <v>126</v>
      </c>
      <c r="H75" t="s">
        <v>160</v>
      </c>
      <c r="I75" t="s">
        <v>182</v>
      </c>
      <c r="J75" t="s">
        <v>219</v>
      </c>
      <c r="K75" t="s">
        <v>168</v>
      </c>
      <c r="L75" t="s">
        <v>197</v>
      </c>
      <c r="M75" t="s">
        <v>198</v>
      </c>
      <c r="N75" t="s">
        <v>120</v>
      </c>
      <c r="O75" t="s">
        <v>121</v>
      </c>
      <c r="P75" s="8">
        <v>2</v>
      </c>
      <c r="Q75" s="10">
        <v>515.08000000000004</v>
      </c>
      <c r="R75" s="11">
        <v>0.08</v>
      </c>
      <c r="S75" s="10">
        <v>22.67</v>
      </c>
      <c r="T75" t="s">
        <v>84</v>
      </c>
      <c r="U75" t="s">
        <v>85</v>
      </c>
      <c r="V75" s="8">
        <v>3</v>
      </c>
      <c r="W75" t="s">
        <v>1270</v>
      </c>
      <c r="X75" t="str">
        <f>_xlfn.XLOOKUP(Cleaned_data[[#This Row],[Customer_ID]],Customers[S],Customers[Loyalty_Tier])</f>
        <v>Gold</v>
      </c>
      <c r="Y75" s="9">
        <f>_xlfn.XLOOKUP(Cleaned_data[[#This Row],[Customer_ID]],Customers[S],Customers[Signup_Date])</f>
        <v>45931</v>
      </c>
      <c r="Z75" s="12">
        <f>_xlfn.XLOOKUP(Cleaned_data[[#This Row],[SKU]],Products[SKU],Products[Standard_Cost])</f>
        <v>310</v>
      </c>
      <c r="AA75" s="10">
        <f>Cleaned_data[[#This Row],[Quantity]]*Cleaned_data[[#This Row],[Unit_Price]]</f>
        <v>1030.1600000000001</v>
      </c>
      <c r="AB75" s="10">
        <f>Cleaned_data[[#This Row],[Unit_Price]]*Cleaned_data[[#This Row],[Discount_Pct]]</f>
        <v>41.206400000000002</v>
      </c>
      <c r="AC75" s="10">
        <f>Cleaned_data[[#This Row],[Gross Sales]]-Cleaned_data[[#This Row],[Discount amount]]</f>
        <v>988.95360000000005</v>
      </c>
      <c r="AD75" s="10">
        <f>Cleaned_data[[#This Row],[Product Cost]]*Cleaned_data[[#This Row],[Quantity]]</f>
        <v>620</v>
      </c>
      <c r="AE75" s="10">
        <f>Cleaned_data[[#This Row],[Net Sales]]-Cleaned_data[[#This Row],[COGS]]</f>
        <v>368.95360000000005</v>
      </c>
      <c r="AF75" s="11">
        <f>Cleaned_data[[#This Row],[Gross Profit]]/Cleaned_data[[#This Row],[Net Sales]]</f>
        <v>0.37307473272760222</v>
      </c>
      <c r="AG75">
        <f>Cleaned_data[[#This Row],[Ship_Date]]-Cleaned_data[[#This Row],[Order_Date]]</f>
        <v>11</v>
      </c>
      <c r="AH75" t="str">
        <f>IF(Cleaned_data[[#This Row],[Delivery Days]]&gt;10,"late","on time")</f>
        <v>late</v>
      </c>
      <c r="AI75" t="str">
        <f>TEXT(Cleaned_data[[#This Row],[Order_Date]],"mmmm")</f>
        <v>March</v>
      </c>
      <c r="AJ75" s="9" t="str">
        <f>"Q"&amp;ROUNDUP(MONTH(Cleaned_data[[#This Row],[Order_Date]])/3,0)</f>
        <v>Q1</v>
      </c>
    </row>
    <row r="76" spans="1:36">
      <c r="A76" t="s">
        <v>377</v>
      </c>
      <c r="B76" s="9">
        <v>45359</v>
      </c>
      <c r="C76" s="9">
        <v>45368</v>
      </c>
      <c r="D76" t="s">
        <v>378</v>
      </c>
      <c r="E76" t="s">
        <v>379</v>
      </c>
      <c r="F76" t="s">
        <v>152</v>
      </c>
      <c r="G76" t="s">
        <v>126</v>
      </c>
      <c r="H76" t="s">
        <v>160</v>
      </c>
      <c r="I76" t="s">
        <v>161</v>
      </c>
      <c r="J76" t="s">
        <v>129</v>
      </c>
      <c r="K76" t="s">
        <v>90</v>
      </c>
      <c r="L76" t="s">
        <v>234</v>
      </c>
      <c r="M76" t="s">
        <v>235</v>
      </c>
      <c r="N76" t="s">
        <v>93</v>
      </c>
      <c r="O76" t="s">
        <v>236</v>
      </c>
      <c r="P76" s="8">
        <v>1</v>
      </c>
      <c r="Q76" s="10">
        <v>154.81</v>
      </c>
      <c r="R76" s="11">
        <v>0.03</v>
      </c>
      <c r="S76" s="10">
        <v>20.27</v>
      </c>
      <c r="T76" t="s">
        <v>134</v>
      </c>
      <c r="U76" t="s">
        <v>85</v>
      </c>
      <c r="V76" s="8">
        <v>2</v>
      </c>
      <c r="W76" t="s">
        <v>1270</v>
      </c>
      <c r="X76" t="str">
        <f>_xlfn.XLOOKUP(Cleaned_data[[#This Row],[Customer_ID]],Customers[S],Customers[Loyalty_Tier])</f>
        <v>Gold</v>
      </c>
      <c r="Y76" s="9">
        <f>_xlfn.XLOOKUP(Cleaned_data[[#This Row],[Customer_ID]],Customers[S],Customers[Signup_Date])</f>
        <v>45713</v>
      </c>
      <c r="Z76" s="12">
        <f>_xlfn.XLOOKUP(Cleaned_data[[#This Row],[SKU]],Products[SKU],Products[Standard_Cost])</f>
        <v>82</v>
      </c>
      <c r="AA76" s="10">
        <f>Cleaned_data[[#This Row],[Quantity]]*Cleaned_data[[#This Row],[Unit_Price]]</f>
        <v>154.81</v>
      </c>
      <c r="AB76" s="10">
        <f>Cleaned_data[[#This Row],[Unit_Price]]*Cleaned_data[[#This Row],[Discount_Pct]]</f>
        <v>4.6443000000000003</v>
      </c>
      <c r="AC76" s="10">
        <f>Cleaned_data[[#This Row],[Gross Sales]]-Cleaned_data[[#This Row],[Discount amount]]</f>
        <v>150.16570000000002</v>
      </c>
      <c r="AD76" s="10">
        <f>Cleaned_data[[#This Row],[Product Cost]]*Cleaned_data[[#This Row],[Quantity]]</f>
        <v>82</v>
      </c>
      <c r="AE76" s="10">
        <f>Cleaned_data[[#This Row],[Net Sales]]-Cleaned_data[[#This Row],[COGS]]</f>
        <v>68.165700000000015</v>
      </c>
      <c r="AF76" s="11">
        <f>Cleaned_data[[#This Row],[Gross Profit]]/Cleaned_data[[#This Row],[Net Sales]]</f>
        <v>0.4539365514228616</v>
      </c>
      <c r="AG76">
        <f>Cleaned_data[[#This Row],[Ship_Date]]-Cleaned_data[[#This Row],[Order_Date]]</f>
        <v>9</v>
      </c>
      <c r="AH76" t="str">
        <f>IF(Cleaned_data[[#This Row],[Delivery Days]]&gt;10,"late","on time")</f>
        <v>on time</v>
      </c>
      <c r="AI76" t="str">
        <f>TEXT(Cleaned_data[[#This Row],[Order_Date]],"mmmm")</f>
        <v>March</v>
      </c>
      <c r="AJ76" s="9" t="str">
        <f>"Q"&amp;ROUNDUP(MONTH(Cleaned_data[[#This Row],[Order_Date]])/3,0)</f>
        <v>Q1</v>
      </c>
    </row>
    <row r="77" spans="1:36">
      <c r="A77" t="s">
        <v>380</v>
      </c>
      <c r="B77" s="9">
        <v>45360</v>
      </c>
      <c r="C77" s="9">
        <v>45369</v>
      </c>
      <c r="D77" t="s">
        <v>381</v>
      </c>
      <c r="E77" t="s">
        <v>382</v>
      </c>
      <c r="F77" t="s">
        <v>152</v>
      </c>
      <c r="G77" t="s">
        <v>194</v>
      </c>
      <c r="H77" t="s">
        <v>202</v>
      </c>
      <c r="I77" t="s">
        <v>203</v>
      </c>
      <c r="J77" t="s">
        <v>219</v>
      </c>
      <c r="K77" t="s">
        <v>130</v>
      </c>
      <c r="L77" t="s">
        <v>197</v>
      </c>
      <c r="M77" t="s">
        <v>198</v>
      </c>
      <c r="N77" t="s">
        <v>120</v>
      </c>
      <c r="O77" t="s">
        <v>121</v>
      </c>
      <c r="P77" s="8">
        <v>2</v>
      </c>
      <c r="Q77" s="10">
        <v>539.53</v>
      </c>
      <c r="R77" s="11">
        <v>7.0000000000000007E-2</v>
      </c>
      <c r="S77" s="10">
        <v>10.88</v>
      </c>
      <c r="T77" t="s">
        <v>84</v>
      </c>
      <c r="U77" t="s">
        <v>85</v>
      </c>
      <c r="V77" s="8">
        <v>1</v>
      </c>
      <c r="W77" t="s">
        <v>1270</v>
      </c>
      <c r="X77" t="str">
        <f>_xlfn.XLOOKUP(Cleaned_data[[#This Row],[Customer_ID]],Customers[S],Customers[Loyalty_Tier])</f>
        <v>Gold</v>
      </c>
      <c r="Y77" s="9">
        <f>_xlfn.XLOOKUP(Cleaned_data[[#This Row],[Customer_ID]],Customers[S],Customers[Signup_Date])</f>
        <v>45919</v>
      </c>
      <c r="Z77" s="12">
        <f>_xlfn.XLOOKUP(Cleaned_data[[#This Row],[SKU]],Products[SKU],Products[Standard_Cost])</f>
        <v>310</v>
      </c>
      <c r="AA77" s="10">
        <f>Cleaned_data[[#This Row],[Quantity]]*Cleaned_data[[#This Row],[Unit_Price]]</f>
        <v>1079.06</v>
      </c>
      <c r="AB77" s="10">
        <f>Cleaned_data[[#This Row],[Unit_Price]]*Cleaned_data[[#This Row],[Discount_Pct]]</f>
        <v>37.767099999999999</v>
      </c>
      <c r="AC77" s="10">
        <f>Cleaned_data[[#This Row],[Gross Sales]]-Cleaned_data[[#This Row],[Discount amount]]</f>
        <v>1041.2928999999999</v>
      </c>
      <c r="AD77" s="10">
        <f>Cleaned_data[[#This Row],[Product Cost]]*Cleaned_data[[#This Row],[Quantity]]</f>
        <v>620</v>
      </c>
      <c r="AE77" s="10">
        <f>Cleaned_data[[#This Row],[Net Sales]]-Cleaned_data[[#This Row],[COGS]]</f>
        <v>421.29289999999992</v>
      </c>
      <c r="AF77" s="11">
        <f>Cleaned_data[[#This Row],[Gross Profit]]/Cleaned_data[[#This Row],[Net Sales]]</f>
        <v>0.40458635605793525</v>
      </c>
      <c r="AG77">
        <f>Cleaned_data[[#This Row],[Ship_Date]]-Cleaned_data[[#This Row],[Order_Date]]</f>
        <v>9</v>
      </c>
      <c r="AH77" t="str">
        <f>IF(Cleaned_data[[#This Row],[Delivery Days]]&gt;10,"late","on time")</f>
        <v>on time</v>
      </c>
      <c r="AI77" t="str">
        <f>TEXT(Cleaned_data[[#This Row],[Order_Date]],"mmmm")</f>
        <v>March</v>
      </c>
      <c r="AJ77" s="9" t="str">
        <f>"Q"&amp;ROUNDUP(MONTH(Cleaned_data[[#This Row],[Order_Date]])/3,0)</f>
        <v>Q1</v>
      </c>
    </row>
    <row r="78" spans="1:36">
      <c r="A78" t="s">
        <v>383</v>
      </c>
      <c r="B78" s="9">
        <v>45360</v>
      </c>
      <c r="C78" s="9">
        <v>45370</v>
      </c>
      <c r="D78" t="s">
        <v>384</v>
      </c>
      <c r="E78" t="s">
        <v>385</v>
      </c>
      <c r="F78" t="s">
        <v>74</v>
      </c>
      <c r="G78" t="s">
        <v>126</v>
      </c>
      <c r="H78" t="s">
        <v>291</v>
      </c>
      <c r="I78" t="s">
        <v>292</v>
      </c>
      <c r="J78" t="s">
        <v>219</v>
      </c>
      <c r="K78" t="s">
        <v>147</v>
      </c>
      <c r="L78" t="s">
        <v>162</v>
      </c>
      <c r="M78" t="s">
        <v>163</v>
      </c>
      <c r="N78" t="s">
        <v>120</v>
      </c>
      <c r="O78" t="s">
        <v>164</v>
      </c>
      <c r="P78" s="8">
        <v>1</v>
      </c>
      <c r="Q78" s="10">
        <v>853.71</v>
      </c>
      <c r="R78" s="11">
        <v>0</v>
      </c>
      <c r="S78" s="10">
        <v>7.66</v>
      </c>
      <c r="T78" t="s">
        <v>105</v>
      </c>
      <c r="U78" t="s">
        <v>85</v>
      </c>
      <c r="V78" s="8">
        <v>1</v>
      </c>
      <c r="W78" t="s">
        <v>1270</v>
      </c>
      <c r="X78" t="str">
        <f>_xlfn.XLOOKUP(Cleaned_data[[#This Row],[Customer_ID]],Customers[S],Customers[Loyalty_Tier])</f>
        <v>Silver</v>
      </c>
      <c r="Y78" s="9">
        <f>_xlfn.XLOOKUP(Cleaned_data[[#This Row],[Customer_ID]],Customers[S],Customers[Signup_Date])</f>
        <v>45870</v>
      </c>
      <c r="Z78" s="12">
        <f>_xlfn.XLOOKUP(Cleaned_data[[#This Row],[SKU]],Products[SKU],Products[Standard_Cost])</f>
        <v>585</v>
      </c>
      <c r="AA78" s="10">
        <f>Cleaned_data[[#This Row],[Quantity]]*Cleaned_data[[#This Row],[Unit_Price]]</f>
        <v>853.71</v>
      </c>
      <c r="AB78" s="10">
        <f>Cleaned_data[[#This Row],[Unit_Price]]*Cleaned_data[[#This Row],[Discount_Pct]]</f>
        <v>0</v>
      </c>
      <c r="AC78" s="10">
        <f>Cleaned_data[[#This Row],[Gross Sales]]-Cleaned_data[[#This Row],[Discount amount]]</f>
        <v>853.71</v>
      </c>
      <c r="AD78" s="10">
        <f>Cleaned_data[[#This Row],[Product Cost]]*Cleaned_data[[#This Row],[Quantity]]</f>
        <v>585</v>
      </c>
      <c r="AE78" s="10">
        <f>Cleaned_data[[#This Row],[Net Sales]]-Cleaned_data[[#This Row],[COGS]]</f>
        <v>268.71000000000004</v>
      </c>
      <c r="AF78" s="11">
        <f>Cleaned_data[[#This Row],[Gross Profit]]/Cleaned_data[[#This Row],[Net Sales]]</f>
        <v>0.31475559616263138</v>
      </c>
      <c r="AG78">
        <f>Cleaned_data[[#This Row],[Ship_Date]]-Cleaned_data[[#This Row],[Order_Date]]</f>
        <v>10</v>
      </c>
      <c r="AH78" t="str">
        <f>IF(Cleaned_data[[#This Row],[Delivery Days]]&gt;10,"late","on time")</f>
        <v>on time</v>
      </c>
      <c r="AI78" t="str">
        <f>TEXT(Cleaned_data[[#This Row],[Order_Date]],"mmmm")</f>
        <v>March</v>
      </c>
      <c r="AJ78" s="9" t="str">
        <f>"Q"&amp;ROUNDUP(MONTH(Cleaned_data[[#This Row],[Order_Date]])/3,0)</f>
        <v>Q1</v>
      </c>
    </row>
    <row r="79" spans="1:36">
      <c r="A79" t="s">
        <v>386</v>
      </c>
      <c r="B79" s="9">
        <v>45361</v>
      </c>
      <c r="C79" s="9">
        <v>45364</v>
      </c>
      <c r="D79" t="s">
        <v>180</v>
      </c>
      <c r="E79" t="s">
        <v>181</v>
      </c>
      <c r="F79" t="s">
        <v>74</v>
      </c>
      <c r="G79" t="s">
        <v>126</v>
      </c>
      <c r="H79" t="s">
        <v>160</v>
      </c>
      <c r="I79" t="s">
        <v>182</v>
      </c>
      <c r="J79" t="s">
        <v>78</v>
      </c>
      <c r="K79" t="s">
        <v>130</v>
      </c>
      <c r="L79" t="s">
        <v>101</v>
      </c>
      <c r="M79" t="s">
        <v>102</v>
      </c>
      <c r="N79" t="s">
        <v>103</v>
      </c>
      <c r="O79" t="s">
        <v>104</v>
      </c>
      <c r="P79" s="8">
        <v>9</v>
      </c>
      <c r="Q79" s="10">
        <v>72.599999999999994</v>
      </c>
      <c r="R79" s="11">
        <v>0.03</v>
      </c>
      <c r="S79" s="10">
        <v>12.16</v>
      </c>
      <c r="T79" t="s">
        <v>134</v>
      </c>
      <c r="U79" t="s">
        <v>85</v>
      </c>
      <c r="W79" t="s">
        <v>1270</v>
      </c>
      <c r="X79" t="str">
        <f>_xlfn.XLOOKUP(Cleaned_data[[#This Row],[Customer_ID]],Customers[S],Customers[Loyalty_Tier])</f>
        <v>Gold</v>
      </c>
      <c r="Y79" s="9">
        <f>_xlfn.XLOOKUP(Cleaned_data[[#This Row],[Customer_ID]],Customers[S],Customers[Signup_Date])</f>
        <v>45931</v>
      </c>
      <c r="Z79" s="12">
        <f>_xlfn.XLOOKUP(Cleaned_data[[#This Row],[SKU]],Products[SKU],Products[Standard_Cost])</f>
        <v>36</v>
      </c>
      <c r="AA79" s="10">
        <f>Cleaned_data[[#This Row],[Quantity]]*Cleaned_data[[#This Row],[Unit_Price]]</f>
        <v>653.4</v>
      </c>
      <c r="AB79" s="10">
        <f>Cleaned_data[[#This Row],[Unit_Price]]*Cleaned_data[[#This Row],[Discount_Pct]]</f>
        <v>2.1779999999999999</v>
      </c>
      <c r="AC79" s="10">
        <f>Cleaned_data[[#This Row],[Gross Sales]]-Cleaned_data[[#This Row],[Discount amount]]</f>
        <v>651.22199999999998</v>
      </c>
      <c r="AD79" s="10">
        <f>Cleaned_data[[#This Row],[Product Cost]]*Cleaned_data[[#This Row],[Quantity]]</f>
        <v>324</v>
      </c>
      <c r="AE79" s="10">
        <f>Cleaned_data[[#This Row],[Net Sales]]-Cleaned_data[[#This Row],[COGS]]</f>
        <v>327.22199999999998</v>
      </c>
      <c r="AF79" s="11">
        <f>Cleaned_data[[#This Row],[Gross Profit]]/Cleaned_data[[#This Row],[Net Sales]]</f>
        <v>0.50247381077420605</v>
      </c>
      <c r="AG79">
        <f>Cleaned_data[[#This Row],[Ship_Date]]-Cleaned_data[[#This Row],[Order_Date]]</f>
        <v>3</v>
      </c>
      <c r="AH79" t="str">
        <f>IF(Cleaned_data[[#This Row],[Delivery Days]]&gt;10,"late","on time")</f>
        <v>on time</v>
      </c>
      <c r="AI79" t="str">
        <f>TEXT(Cleaned_data[[#This Row],[Order_Date]],"mmmm")</f>
        <v>March</v>
      </c>
      <c r="AJ79" s="9" t="str">
        <f>"Q"&amp;ROUNDUP(MONTH(Cleaned_data[[#This Row],[Order_Date]])/3,0)</f>
        <v>Q1</v>
      </c>
    </row>
    <row r="80" spans="1:36">
      <c r="A80" t="s">
        <v>387</v>
      </c>
      <c r="B80" s="9">
        <v>45361</v>
      </c>
      <c r="C80" s="9">
        <v>45365</v>
      </c>
      <c r="D80" t="s">
        <v>217</v>
      </c>
      <c r="E80" t="s">
        <v>218</v>
      </c>
      <c r="F80" t="s">
        <v>89</v>
      </c>
      <c r="G80" t="s">
        <v>75</v>
      </c>
      <c r="H80" t="s">
        <v>98</v>
      </c>
      <c r="I80" t="s">
        <v>99</v>
      </c>
      <c r="J80" t="s">
        <v>109</v>
      </c>
      <c r="K80" t="s">
        <v>130</v>
      </c>
      <c r="L80" t="s">
        <v>242</v>
      </c>
      <c r="M80" t="s">
        <v>243</v>
      </c>
      <c r="N80" t="s">
        <v>120</v>
      </c>
      <c r="O80" t="s">
        <v>133</v>
      </c>
      <c r="P80" s="8">
        <v>3</v>
      </c>
      <c r="Q80" s="10">
        <v>192.5</v>
      </c>
      <c r="R80" s="11">
        <v>0.26</v>
      </c>
      <c r="S80" s="10">
        <v>10.37</v>
      </c>
      <c r="T80" t="s">
        <v>122</v>
      </c>
      <c r="U80" t="s">
        <v>85</v>
      </c>
      <c r="V80" s="8">
        <v>1</v>
      </c>
      <c r="W80" t="s">
        <v>1270</v>
      </c>
      <c r="X80" t="str">
        <f>_xlfn.XLOOKUP(Cleaned_data[[#This Row],[Customer_ID]],Customers[S],Customers[Loyalty_Tier])</f>
        <v>Bronze</v>
      </c>
      <c r="Y80" s="9">
        <f>_xlfn.XLOOKUP(Cleaned_data[[#This Row],[Customer_ID]],Customers[S],Customers[Signup_Date])</f>
        <v>45419</v>
      </c>
      <c r="Z80" s="12">
        <f>_xlfn.XLOOKUP(Cleaned_data[[#This Row],[SKU]],Products[SKU],Products[Standard_Cost])</f>
        <v>96</v>
      </c>
      <c r="AA80" s="10">
        <f>Cleaned_data[[#This Row],[Quantity]]*Cleaned_data[[#This Row],[Unit_Price]]</f>
        <v>577.5</v>
      </c>
      <c r="AB80" s="10">
        <f>Cleaned_data[[#This Row],[Unit_Price]]*Cleaned_data[[#This Row],[Discount_Pct]]</f>
        <v>50.050000000000004</v>
      </c>
      <c r="AC80" s="10">
        <f>Cleaned_data[[#This Row],[Gross Sales]]-Cleaned_data[[#This Row],[Discount amount]]</f>
        <v>527.45000000000005</v>
      </c>
      <c r="AD80" s="10">
        <f>Cleaned_data[[#This Row],[Product Cost]]*Cleaned_data[[#This Row],[Quantity]]</f>
        <v>288</v>
      </c>
      <c r="AE80" s="10">
        <f>Cleaned_data[[#This Row],[Net Sales]]-Cleaned_data[[#This Row],[COGS]]</f>
        <v>239.45000000000005</v>
      </c>
      <c r="AF80" s="11">
        <f>Cleaned_data[[#This Row],[Gross Profit]]/Cleaned_data[[#This Row],[Net Sales]]</f>
        <v>0.45397668025405258</v>
      </c>
      <c r="AG80">
        <f>Cleaned_data[[#This Row],[Ship_Date]]-Cleaned_data[[#This Row],[Order_Date]]</f>
        <v>4</v>
      </c>
      <c r="AH80" t="str">
        <f>IF(Cleaned_data[[#This Row],[Delivery Days]]&gt;10,"late","on time")</f>
        <v>on time</v>
      </c>
      <c r="AI80" t="str">
        <f>TEXT(Cleaned_data[[#This Row],[Order_Date]],"mmmm")</f>
        <v>March</v>
      </c>
      <c r="AJ80" s="9" t="str">
        <f>"Q"&amp;ROUNDUP(MONTH(Cleaned_data[[#This Row],[Order_Date]])/3,0)</f>
        <v>Q1</v>
      </c>
    </row>
    <row r="81" spans="1:36">
      <c r="A81" t="s">
        <v>388</v>
      </c>
      <c r="B81" s="9">
        <v>45365</v>
      </c>
      <c r="C81" s="9">
        <v>45370</v>
      </c>
      <c r="D81" t="s">
        <v>389</v>
      </c>
      <c r="E81" t="s">
        <v>390</v>
      </c>
      <c r="F81" t="s">
        <v>89</v>
      </c>
      <c r="G81" t="s">
        <v>138</v>
      </c>
      <c r="H81" t="s">
        <v>186</v>
      </c>
      <c r="I81" t="s">
        <v>187</v>
      </c>
      <c r="J81" t="s">
        <v>109</v>
      </c>
      <c r="K81" t="s">
        <v>130</v>
      </c>
      <c r="L81" t="s">
        <v>155</v>
      </c>
      <c r="M81" t="s">
        <v>156</v>
      </c>
      <c r="N81" t="s">
        <v>82</v>
      </c>
      <c r="O81" t="s">
        <v>112</v>
      </c>
      <c r="P81" s="8">
        <v>1</v>
      </c>
      <c r="Q81" s="10">
        <v>165.61</v>
      </c>
      <c r="R81" s="11">
        <v>0.21</v>
      </c>
      <c r="S81" s="10">
        <v>5.66</v>
      </c>
      <c r="T81" t="s">
        <v>134</v>
      </c>
      <c r="U81" t="s">
        <v>85</v>
      </c>
      <c r="V81" s="8">
        <v>2</v>
      </c>
      <c r="W81" t="s">
        <v>1270</v>
      </c>
      <c r="X81" t="str">
        <f>_xlfn.XLOOKUP(Cleaned_data[[#This Row],[Customer_ID]],Customers[S],Customers[Loyalty_Tier])</f>
        <v>Bronze</v>
      </c>
      <c r="Y81" s="9">
        <f>_xlfn.XLOOKUP(Cleaned_data[[#This Row],[Customer_ID]],Customers[S],Customers[Signup_Date])</f>
        <v>45493</v>
      </c>
      <c r="Z81" s="12">
        <f>_xlfn.XLOOKUP(Cleaned_data[[#This Row],[SKU]],Products[SKU],Products[Standard_Cost])</f>
        <v>82</v>
      </c>
      <c r="AA81" s="10">
        <f>Cleaned_data[[#This Row],[Quantity]]*Cleaned_data[[#This Row],[Unit_Price]]</f>
        <v>165.61</v>
      </c>
      <c r="AB81" s="10">
        <f>Cleaned_data[[#This Row],[Unit_Price]]*Cleaned_data[[#This Row],[Discount_Pct]]</f>
        <v>34.778100000000002</v>
      </c>
      <c r="AC81" s="10">
        <f>Cleaned_data[[#This Row],[Gross Sales]]-Cleaned_data[[#This Row],[Discount amount]]</f>
        <v>130.83190000000002</v>
      </c>
      <c r="AD81" s="10">
        <f>Cleaned_data[[#This Row],[Product Cost]]*Cleaned_data[[#This Row],[Quantity]]</f>
        <v>82</v>
      </c>
      <c r="AE81" s="10">
        <f>Cleaned_data[[#This Row],[Net Sales]]-Cleaned_data[[#This Row],[COGS]]</f>
        <v>48.831900000000019</v>
      </c>
      <c r="AF81" s="11">
        <f>Cleaned_data[[#This Row],[Gross Profit]]/Cleaned_data[[#This Row],[Net Sales]]</f>
        <v>0.37324154124491055</v>
      </c>
      <c r="AG81">
        <f>Cleaned_data[[#This Row],[Ship_Date]]-Cleaned_data[[#This Row],[Order_Date]]</f>
        <v>5</v>
      </c>
      <c r="AH81" t="str">
        <f>IF(Cleaned_data[[#This Row],[Delivery Days]]&gt;10,"late","on time")</f>
        <v>on time</v>
      </c>
      <c r="AI81" t="str">
        <f>TEXT(Cleaned_data[[#This Row],[Order_Date]],"mmmm")</f>
        <v>March</v>
      </c>
      <c r="AJ81" s="9" t="str">
        <f>"Q"&amp;ROUNDUP(MONTH(Cleaned_data[[#This Row],[Order_Date]])/3,0)</f>
        <v>Q1</v>
      </c>
    </row>
    <row r="82" spans="1:36">
      <c r="A82" t="s">
        <v>391</v>
      </c>
      <c r="B82" s="9">
        <v>45366</v>
      </c>
      <c r="C82" s="9">
        <v>45373</v>
      </c>
      <c r="D82" t="s">
        <v>392</v>
      </c>
      <c r="E82" t="s">
        <v>393</v>
      </c>
      <c r="F82" t="s">
        <v>74</v>
      </c>
      <c r="G82" t="s">
        <v>126</v>
      </c>
      <c r="H82" t="s">
        <v>160</v>
      </c>
      <c r="I82" t="s">
        <v>161</v>
      </c>
      <c r="J82" t="s">
        <v>109</v>
      </c>
      <c r="K82" t="s">
        <v>147</v>
      </c>
      <c r="L82" t="s">
        <v>110</v>
      </c>
      <c r="M82" t="s">
        <v>111</v>
      </c>
      <c r="N82" t="s">
        <v>82</v>
      </c>
      <c r="O82" t="s">
        <v>112</v>
      </c>
      <c r="P82" s="8">
        <v>1</v>
      </c>
      <c r="Q82" s="10">
        <v>329.47</v>
      </c>
      <c r="R82" s="11">
        <v>0.08</v>
      </c>
      <c r="S82" s="10">
        <v>12.77</v>
      </c>
      <c r="T82" t="s">
        <v>134</v>
      </c>
      <c r="U82" t="s">
        <v>85</v>
      </c>
      <c r="V82" s="8">
        <v>3</v>
      </c>
      <c r="W82" t="s">
        <v>1270</v>
      </c>
      <c r="X82" t="str">
        <f>_xlfn.XLOOKUP(Cleaned_data[[#This Row],[Customer_ID]],Customers[S],Customers[Loyalty_Tier])</f>
        <v>Gold</v>
      </c>
      <c r="Y82" s="9">
        <f>_xlfn.XLOOKUP(Cleaned_data[[#This Row],[Customer_ID]],Customers[S],Customers[Signup_Date])</f>
        <v>44236</v>
      </c>
      <c r="Z82" s="12">
        <f>_xlfn.XLOOKUP(Cleaned_data[[#This Row],[SKU]],Products[SKU],Products[Standard_Cost])</f>
        <v>165</v>
      </c>
      <c r="AA82" s="10">
        <f>Cleaned_data[[#This Row],[Quantity]]*Cleaned_data[[#This Row],[Unit_Price]]</f>
        <v>329.47</v>
      </c>
      <c r="AB82" s="10">
        <f>Cleaned_data[[#This Row],[Unit_Price]]*Cleaned_data[[#This Row],[Discount_Pct]]</f>
        <v>26.357600000000001</v>
      </c>
      <c r="AC82" s="10">
        <f>Cleaned_data[[#This Row],[Gross Sales]]-Cleaned_data[[#This Row],[Discount amount]]</f>
        <v>303.11240000000004</v>
      </c>
      <c r="AD82" s="10">
        <f>Cleaned_data[[#This Row],[Product Cost]]*Cleaned_data[[#This Row],[Quantity]]</f>
        <v>165</v>
      </c>
      <c r="AE82" s="10">
        <f>Cleaned_data[[#This Row],[Net Sales]]-Cleaned_data[[#This Row],[COGS]]</f>
        <v>138.11240000000004</v>
      </c>
      <c r="AF82" s="11">
        <f>Cleaned_data[[#This Row],[Gross Profit]]/Cleaned_data[[#This Row],[Net Sales]]</f>
        <v>0.45564747598580602</v>
      </c>
      <c r="AG82">
        <f>Cleaned_data[[#This Row],[Ship_Date]]-Cleaned_data[[#This Row],[Order_Date]]</f>
        <v>7</v>
      </c>
      <c r="AH82" t="str">
        <f>IF(Cleaned_data[[#This Row],[Delivery Days]]&gt;10,"late","on time")</f>
        <v>on time</v>
      </c>
      <c r="AI82" t="str">
        <f>TEXT(Cleaned_data[[#This Row],[Order_Date]],"mmmm")</f>
        <v>March</v>
      </c>
      <c r="AJ82" s="9" t="str">
        <f>"Q"&amp;ROUNDUP(MONTH(Cleaned_data[[#This Row],[Order_Date]])/3,0)</f>
        <v>Q1</v>
      </c>
    </row>
    <row r="83" spans="1:36">
      <c r="A83" t="s">
        <v>394</v>
      </c>
      <c r="B83" s="9">
        <v>45368</v>
      </c>
      <c r="C83" s="9">
        <v>45376</v>
      </c>
      <c r="D83" t="s">
        <v>271</v>
      </c>
      <c r="E83" t="s">
        <v>272</v>
      </c>
      <c r="F83" t="s">
        <v>89</v>
      </c>
      <c r="G83" t="s">
        <v>75</v>
      </c>
      <c r="H83" t="s">
        <v>273</v>
      </c>
      <c r="I83" t="s">
        <v>274</v>
      </c>
      <c r="J83" t="s">
        <v>129</v>
      </c>
      <c r="K83" t="s">
        <v>90</v>
      </c>
      <c r="L83" t="s">
        <v>359</v>
      </c>
      <c r="M83" t="s">
        <v>360</v>
      </c>
      <c r="N83" t="s">
        <v>93</v>
      </c>
      <c r="O83" t="s">
        <v>94</v>
      </c>
      <c r="P83" s="8">
        <v>1</v>
      </c>
      <c r="Q83" s="10">
        <v>470.49</v>
      </c>
      <c r="R83" s="11">
        <v>0.06</v>
      </c>
      <c r="S83" s="10">
        <v>22.76</v>
      </c>
      <c r="T83" t="s">
        <v>105</v>
      </c>
      <c r="U83" t="s">
        <v>85</v>
      </c>
      <c r="V83" s="8">
        <v>2</v>
      </c>
      <c r="W83" t="s">
        <v>1270</v>
      </c>
      <c r="X83" t="str">
        <f>_xlfn.XLOOKUP(Cleaned_data[[#This Row],[Customer_ID]],Customers[S],Customers[Loyalty_Tier])</f>
        <v>Silver</v>
      </c>
      <c r="Y83" s="9">
        <f>_xlfn.XLOOKUP(Cleaned_data[[#This Row],[Customer_ID]],Customers[S],Customers[Signup_Date])</f>
        <v>44909</v>
      </c>
      <c r="Z83" s="12">
        <f>_xlfn.XLOOKUP(Cleaned_data[[#This Row],[SKU]],Products[SKU],Products[Standard_Cost])</f>
        <v>265</v>
      </c>
      <c r="AA83" s="10">
        <f>Cleaned_data[[#This Row],[Quantity]]*Cleaned_data[[#This Row],[Unit_Price]]</f>
        <v>470.49</v>
      </c>
      <c r="AB83" s="10">
        <f>Cleaned_data[[#This Row],[Unit_Price]]*Cleaned_data[[#This Row],[Discount_Pct]]</f>
        <v>28.229399999999998</v>
      </c>
      <c r="AC83" s="10">
        <f>Cleaned_data[[#This Row],[Gross Sales]]-Cleaned_data[[#This Row],[Discount amount]]</f>
        <v>442.26060000000001</v>
      </c>
      <c r="AD83" s="10">
        <f>Cleaned_data[[#This Row],[Product Cost]]*Cleaned_data[[#This Row],[Quantity]]</f>
        <v>265</v>
      </c>
      <c r="AE83" s="10">
        <f>Cleaned_data[[#This Row],[Net Sales]]-Cleaned_data[[#This Row],[COGS]]</f>
        <v>177.26060000000001</v>
      </c>
      <c r="AF83" s="11">
        <f>Cleaned_data[[#This Row],[Gross Profit]]/Cleaned_data[[#This Row],[Net Sales]]</f>
        <v>0.40080576926816452</v>
      </c>
      <c r="AG83">
        <f>Cleaned_data[[#This Row],[Ship_Date]]-Cleaned_data[[#This Row],[Order_Date]]</f>
        <v>8</v>
      </c>
      <c r="AH83" t="str">
        <f>IF(Cleaned_data[[#This Row],[Delivery Days]]&gt;10,"late","on time")</f>
        <v>on time</v>
      </c>
      <c r="AI83" t="str">
        <f>TEXT(Cleaned_data[[#This Row],[Order_Date]],"mmmm")</f>
        <v>March</v>
      </c>
      <c r="AJ83" s="9" t="str">
        <f>"Q"&amp;ROUNDUP(MONTH(Cleaned_data[[#This Row],[Order_Date]])/3,0)</f>
        <v>Q1</v>
      </c>
    </row>
    <row r="84" spans="1:36">
      <c r="A84" t="s">
        <v>395</v>
      </c>
      <c r="B84" s="9">
        <v>45370</v>
      </c>
      <c r="C84" s="9">
        <v>45380</v>
      </c>
      <c r="D84" t="s">
        <v>396</v>
      </c>
      <c r="E84" t="s">
        <v>397</v>
      </c>
      <c r="F84" t="s">
        <v>152</v>
      </c>
      <c r="G84" t="s">
        <v>138</v>
      </c>
      <c r="H84" t="s">
        <v>186</v>
      </c>
      <c r="I84" t="s">
        <v>187</v>
      </c>
      <c r="J84" t="s">
        <v>129</v>
      </c>
      <c r="K84" t="s">
        <v>100</v>
      </c>
      <c r="L84" t="s">
        <v>155</v>
      </c>
      <c r="M84" t="s">
        <v>156</v>
      </c>
      <c r="N84" t="s">
        <v>82</v>
      </c>
      <c r="O84" t="s">
        <v>112</v>
      </c>
      <c r="P84" s="8">
        <v>5</v>
      </c>
      <c r="Q84" s="10">
        <v>165.36</v>
      </c>
      <c r="R84" s="11">
        <v>0.24</v>
      </c>
      <c r="S84" s="10">
        <v>11.66</v>
      </c>
      <c r="T84" t="s">
        <v>105</v>
      </c>
      <c r="U84" t="s">
        <v>85</v>
      </c>
      <c r="V84" s="8">
        <v>5</v>
      </c>
      <c r="W84" t="s">
        <v>1270</v>
      </c>
      <c r="X84" t="str">
        <f>_xlfn.XLOOKUP(Cleaned_data[[#This Row],[Customer_ID]],Customers[S],Customers[Loyalty_Tier])</f>
        <v>Gold</v>
      </c>
      <c r="Y84" s="9">
        <f>_xlfn.XLOOKUP(Cleaned_data[[#This Row],[Customer_ID]],Customers[S],Customers[Signup_Date])</f>
        <v>44818</v>
      </c>
      <c r="Z84" s="12">
        <f>_xlfn.XLOOKUP(Cleaned_data[[#This Row],[SKU]],Products[SKU],Products[Standard_Cost])</f>
        <v>82</v>
      </c>
      <c r="AA84" s="10">
        <f>Cleaned_data[[#This Row],[Quantity]]*Cleaned_data[[#This Row],[Unit_Price]]</f>
        <v>826.80000000000007</v>
      </c>
      <c r="AB84" s="10">
        <f>Cleaned_data[[#This Row],[Unit_Price]]*Cleaned_data[[#This Row],[Discount_Pct]]</f>
        <v>39.686399999999999</v>
      </c>
      <c r="AC84" s="10">
        <f>Cleaned_data[[#This Row],[Gross Sales]]-Cleaned_data[[#This Row],[Discount amount]]</f>
        <v>787.11360000000002</v>
      </c>
      <c r="AD84" s="10">
        <f>Cleaned_data[[#This Row],[Product Cost]]*Cleaned_data[[#This Row],[Quantity]]</f>
        <v>410</v>
      </c>
      <c r="AE84" s="10">
        <f>Cleaned_data[[#This Row],[Net Sales]]-Cleaned_data[[#This Row],[COGS]]</f>
        <v>377.11360000000002</v>
      </c>
      <c r="AF84" s="11">
        <f>Cleaned_data[[#This Row],[Gross Profit]]/Cleaned_data[[#This Row],[Net Sales]]</f>
        <v>0.47910949575766448</v>
      </c>
      <c r="AG84">
        <f>Cleaned_data[[#This Row],[Ship_Date]]-Cleaned_data[[#This Row],[Order_Date]]</f>
        <v>10</v>
      </c>
      <c r="AH84" t="str">
        <f>IF(Cleaned_data[[#This Row],[Delivery Days]]&gt;10,"late","on time")</f>
        <v>on time</v>
      </c>
      <c r="AI84" t="str">
        <f>TEXT(Cleaned_data[[#This Row],[Order_Date]],"mmmm")</f>
        <v>March</v>
      </c>
      <c r="AJ84" s="9" t="str">
        <f>"Q"&amp;ROUNDUP(MONTH(Cleaned_data[[#This Row],[Order_Date]])/3,0)</f>
        <v>Q1</v>
      </c>
    </row>
    <row r="85" spans="1:36">
      <c r="A85" t="s">
        <v>398</v>
      </c>
      <c r="B85" s="9">
        <v>45371</v>
      </c>
      <c r="C85" s="9">
        <v>45379</v>
      </c>
      <c r="D85" t="s">
        <v>322</v>
      </c>
      <c r="E85" t="s">
        <v>323</v>
      </c>
      <c r="F85" t="s">
        <v>74</v>
      </c>
      <c r="G85" t="s">
        <v>194</v>
      </c>
      <c r="H85" t="s">
        <v>240</v>
      </c>
      <c r="I85" t="s">
        <v>241</v>
      </c>
      <c r="J85" t="s">
        <v>219</v>
      </c>
      <c r="K85" t="s">
        <v>100</v>
      </c>
      <c r="L85" t="s">
        <v>261</v>
      </c>
      <c r="M85" t="s">
        <v>262</v>
      </c>
      <c r="N85" t="s">
        <v>103</v>
      </c>
      <c r="O85" t="s">
        <v>104</v>
      </c>
      <c r="P85" s="8">
        <v>5</v>
      </c>
      <c r="Q85" s="10">
        <v>25.83</v>
      </c>
      <c r="R85" s="11">
        <v>0.1</v>
      </c>
      <c r="S85" s="10">
        <v>16.88</v>
      </c>
      <c r="T85" t="s">
        <v>122</v>
      </c>
      <c r="U85" t="s">
        <v>85</v>
      </c>
      <c r="V85" s="8">
        <v>1</v>
      </c>
      <c r="W85" t="s">
        <v>1270</v>
      </c>
      <c r="X85" t="str">
        <f>_xlfn.XLOOKUP(Cleaned_data[[#This Row],[Customer_ID]],Customers[S],Customers[Loyalty_Tier])</f>
        <v>Silver</v>
      </c>
      <c r="Y85" s="9">
        <f>_xlfn.XLOOKUP(Cleaned_data[[#This Row],[Customer_ID]],Customers[S],Customers[Signup_Date])</f>
        <v>44540</v>
      </c>
      <c r="Z85" s="12">
        <f>_xlfn.XLOOKUP(Cleaned_data[[#This Row],[SKU]],Products[SKU],Products[Standard_Cost])</f>
        <v>12</v>
      </c>
      <c r="AA85" s="10">
        <f>Cleaned_data[[#This Row],[Quantity]]*Cleaned_data[[#This Row],[Unit_Price]]</f>
        <v>129.14999999999998</v>
      </c>
      <c r="AB85" s="10">
        <f>Cleaned_data[[#This Row],[Unit_Price]]*Cleaned_data[[#This Row],[Discount_Pct]]</f>
        <v>2.5830000000000002</v>
      </c>
      <c r="AC85" s="10">
        <f>Cleaned_data[[#This Row],[Gross Sales]]-Cleaned_data[[#This Row],[Discount amount]]</f>
        <v>126.56699999999998</v>
      </c>
      <c r="AD85" s="10">
        <f>Cleaned_data[[#This Row],[Product Cost]]*Cleaned_data[[#This Row],[Quantity]]</f>
        <v>60</v>
      </c>
      <c r="AE85" s="10">
        <f>Cleaned_data[[#This Row],[Net Sales]]-Cleaned_data[[#This Row],[COGS]]</f>
        <v>66.566999999999979</v>
      </c>
      <c r="AF85" s="11">
        <f>Cleaned_data[[#This Row],[Gross Profit]]/Cleaned_data[[#This Row],[Net Sales]]</f>
        <v>0.52594278129370209</v>
      </c>
      <c r="AG85">
        <f>Cleaned_data[[#This Row],[Ship_Date]]-Cleaned_data[[#This Row],[Order_Date]]</f>
        <v>8</v>
      </c>
      <c r="AH85" t="str">
        <f>IF(Cleaned_data[[#This Row],[Delivery Days]]&gt;10,"late","on time")</f>
        <v>on time</v>
      </c>
      <c r="AI85" t="str">
        <f>TEXT(Cleaned_data[[#This Row],[Order_Date]],"mmmm")</f>
        <v>March</v>
      </c>
      <c r="AJ85" s="9" t="str">
        <f>"Q"&amp;ROUNDUP(MONTH(Cleaned_data[[#This Row],[Order_Date]])/3,0)</f>
        <v>Q1</v>
      </c>
    </row>
    <row r="86" spans="1:36">
      <c r="A86" t="s">
        <v>399</v>
      </c>
      <c r="B86" s="9">
        <v>45372</v>
      </c>
      <c r="C86" s="9">
        <v>45374</v>
      </c>
      <c r="D86" t="s">
        <v>400</v>
      </c>
      <c r="E86" t="s">
        <v>316</v>
      </c>
      <c r="F86" t="s">
        <v>152</v>
      </c>
      <c r="G86" t="s">
        <v>75</v>
      </c>
      <c r="H86" t="s">
        <v>273</v>
      </c>
      <c r="I86" t="s">
        <v>274</v>
      </c>
      <c r="J86" t="s">
        <v>219</v>
      </c>
      <c r="K86" t="s">
        <v>147</v>
      </c>
      <c r="L86" t="s">
        <v>234</v>
      </c>
      <c r="M86" t="s">
        <v>235</v>
      </c>
      <c r="N86" t="s">
        <v>93</v>
      </c>
      <c r="O86" t="s">
        <v>236</v>
      </c>
      <c r="P86" s="8">
        <v>3</v>
      </c>
      <c r="Q86" s="10">
        <v>157.24</v>
      </c>
      <c r="R86" s="11">
        <v>0.08</v>
      </c>
      <c r="S86" s="10">
        <v>27.74</v>
      </c>
      <c r="T86" t="s">
        <v>105</v>
      </c>
      <c r="U86" t="s">
        <v>85</v>
      </c>
      <c r="V86" s="8">
        <v>4</v>
      </c>
      <c r="W86" t="s">
        <v>1270</v>
      </c>
      <c r="X86" t="str">
        <f>_xlfn.XLOOKUP(Cleaned_data[[#This Row],[Customer_ID]],Customers[S],Customers[Loyalty_Tier])</f>
        <v>Gold</v>
      </c>
      <c r="Y86" s="9">
        <f>_xlfn.XLOOKUP(Cleaned_data[[#This Row],[Customer_ID]],Customers[S],Customers[Signup_Date])</f>
        <v>44279</v>
      </c>
      <c r="Z86" s="12">
        <f>_xlfn.XLOOKUP(Cleaned_data[[#This Row],[SKU]],Products[SKU],Products[Standard_Cost])</f>
        <v>82</v>
      </c>
      <c r="AA86" s="10">
        <f>Cleaned_data[[#This Row],[Quantity]]*Cleaned_data[[#This Row],[Unit_Price]]</f>
        <v>471.72</v>
      </c>
      <c r="AB86" s="10">
        <f>Cleaned_data[[#This Row],[Unit_Price]]*Cleaned_data[[#This Row],[Discount_Pct]]</f>
        <v>12.5792</v>
      </c>
      <c r="AC86" s="10">
        <f>Cleaned_data[[#This Row],[Gross Sales]]-Cleaned_data[[#This Row],[Discount amount]]</f>
        <v>459.14080000000001</v>
      </c>
      <c r="AD86" s="10">
        <f>Cleaned_data[[#This Row],[Product Cost]]*Cleaned_data[[#This Row],[Quantity]]</f>
        <v>246</v>
      </c>
      <c r="AE86" s="10">
        <f>Cleaned_data[[#This Row],[Net Sales]]-Cleaned_data[[#This Row],[COGS]]</f>
        <v>213.14080000000001</v>
      </c>
      <c r="AF86" s="11">
        <f>Cleaned_data[[#This Row],[Gross Profit]]/Cleaned_data[[#This Row],[Net Sales]]</f>
        <v>0.46421664116976752</v>
      </c>
      <c r="AG86">
        <f>Cleaned_data[[#This Row],[Ship_Date]]-Cleaned_data[[#This Row],[Order_Date]]</f>
        <v>2</v>
      </c>
      <c r="AH86" t="str">
        <f>IF(Cleaned_data[[#This Row],[Delivery Days]]&gt;10,"late","on time")</f>
        <v>on time</v>
      </c>
      <c r="AI86" t="str">
        <f>TEXT(Cleaned_data[[#This Row],[Order_Date]],"mmmm")</f>
        <v>March</v>
      </c>
      <c r="AJ86" s="9" t="str">
        <f>"Q"&amp;ROUNDUP(MONTH(Cleaned_data[[#This Row],[Order_Date]])/3,0)</f>
        <v>Q1</v>
      </c>
    </row>
    <row r="87" spans="1:36">
      <c r="A87" t="s">
        <v>401</v>
      </c>
      <c r="B87" s="9">
        <v>45372</v>
      </c>
      <c r="C87" s="9">
        <v>45377</v>
      </c>
      <c r="D87" t="s">
        <v>402</v>
      </c>
      <c r="E87" t="s">
        <v>403</v>
      </c>
      <c r="F87" t="s">
        <v>74</v>
      </c>
      <c r="G87" t="s">
        <v>75</v>
      </c>
      <c r="H87" t="s">
        <v>212</v>
      </c>
      <c r="I87" t="s">
        <v>213</v>
      </c>
      <c r="J87" t="s">
        <v>78</v>
      </c>
      <c r="K87" t="s">
        <v>168</v>
      </c>
      <c r="L87" t="s">
        <v>249</v>
      </c>
      <c r="M87" t="s">
        <v>250</v>
      </c>
      <c r="N87" t="s">
        <v>103</v>
      </c>
      <c r="O87" t="s">
        <v>251</v>
      </c>
      <c r="P87" s="8">
        <v>7</v>
      </c>
      <c r="Q87" s="10">
        <v>22.89</v>
      </c>
      <c r="R87" s="11">
        <v>0.34</v>
      </c>
      <c r="S87" s="10">
        <v>12.54</v>
      </c>
      <c r="T87" t="s">
        <v>122</v>
      </c>
      <c r="U87" t="s">
        <v>85</v>
      </c>
      <c r="V87" s="8">
        <v>1</v>
      </c>
      <c r="W87" t="s">
        <v>1270</v>
      </c>
      <c r="X87" t="str">
        <f>_xlfn.XLOOKUP(Cleaned_data[[#This Row],[Customer_ID]],Customers[S],Customers[Loyalty_Tier])</f>
        <v>Bronze</v>
      </c>
      <c r="Y87" s="9">
        <f>_xlfn.XLOOKUP(Cleaned_data[[#This Row],[Customer_ID]],Customers[S],Customers[Signup_Date])</f>
        <v>45658</v>
      </c>
      <c r="Z87" s="12">
        <f>_xlfn.XLOOKUP(Cleaned_data[[#This Row],[SKU]],Products[SKU],Products[Standard_Cost])</f>
        <v>10</v>
      </c>
      <c r="AA87" s="10">
        <f>Cleaned_data[[#This Row],[Quantity]]*Cleaned_data[[#This Row],[Unit_Price]]</f>
        <v>160.23000000000002</v>
      </c>
      <c r="AB87" s="10">
        <f>Cleaned_data[[#This Row],[Unit_Price]]*Cleaned_data[[#This Row],[Discount_Pct]]</f>
        <v>7.7826000000000004</v>
      </c>
      <c r="AC87" s="10">
        <f>Cleaned_data[[#This Row],[Gross Sales]]-Cleaned_data[[#This Row],[Discount amount]]</f>
        <v>152.44740000000002</v>
      </c>
      <c r="AD87" s="10">
        <f>Cleaned_data[[#This Row],[Product Cost]]*Cleaned_data[[#This Row],[Quantity]]</f>
        <v>70</v>
      </c>
      <c r="AE87" s="10">
        <f>Cleaned_data[[#This Row],[Net Sales]]-Cleaned_data[[#This Row],[COGS]]</f>
        <v>82.447400000000016</v>
      </c>
      <c r="AF87" s="11">
        <f>Cleaned_data[[#This Row],[Gross Profit]]/Cleaned_data[[#This Row],[Net Sales]]</f>
        <v>0.54082522889862339</v>
      </c>
      <c r="AG87">
        <f>Cleaned_data[[#This Row],[Ship_Date]]-Cleaned_data[[#This Row],[Order_Date]]</f>
        <v>5</v>
      </c>
      <c r="AH87" t="str">
        <f>IF(Cleaned_data[[#This Row],[Delivery Days]]&gt;10,"late","on time")</f>
        <v>on time</v>
      </c>
      <c r="AI87" t="str">
        <f>TEXT(Cleaned_data[[#This Row],[Order_Date]],"mmmm")</f>
        <v>March</v>
      </c>
      <c r="AJ87" s="9" t="str">
        <f>"Q"&amp;ROUNDUP(MONTH(Cleaned_data[[#This Row],[Order_Date]])/3,0)</f>
        <v>Q1</v>
      </c>
    </row>
    <row r="88" spans="1:36">
      <c r="A88" t="s">
        <v>404</v>
      </c>
      <c r="B88" s="9">
        <v>45373</v>
      </c>
      <c r="C88" s="9">
        <v>45377</v>
      </c>
      <c r="D88" t="s">
        <v>315</v>
      </c>
      <c r="E88" t="s">
        <v>316</v>
      </c>
      <c r="F88" t="s">
        <v>89</v>
      </c>
      <c r="G88" t="s">
        <v>75</v>
      </c>
      <c r="H88" t="s">
        <v>273</v>
      </c>
      <c r="I88" t="s">
        <v>274</v>
      </c>
      <c r="J88" t="s">
        <v>109</v>
      </c>
      <c r="K88" t="s">
        <v>100</v>
      </c>
      <c r="L88" t="s">
        <v>261</v>
      </c>
      <c r="M88" t="s">
        <v>262</v>
      </c>
      <c r="N88" t="s">
        <v>103</v>
      </c>
      <c r="O88" t="s">
        <v>104</v>
      </c>
      <c r="P88" s="8">
        <v>5</v>
      </c>
      <c r="Q88" s="10">
        <v>26.76</v>
      </c>
      <c r="R88" s="11">
        <v>0.11</v>
      </c>
      <c r="S88" s="10">
        <v>6.05</v>
      </c>
      <c r="T88" t="s">
        <v>105</v>
      </c>
      <c r="U88" t="s">
        <v>85</v>
      </c>
      <c r="V88" s="8">
        <v>4</v>
      </c>
      <c r="W88" t="s">
        <v>1270</v>
      </c>
      <c r="X88" t="str">
        <f>_xlfn.XLOOKUP(Cleaned_data[[#This Row],[Customer_ID]],Customers[S],Customers[Loyalty_Tier])</f>
        <v>Bronze</v>
      </c>
      <c r="Y88" s="9">
        <f>_xlfn.XLOOKUP(Cleaned_data[[#This Row],[Customer_ID]],Customers[S],Customers[Signup_Date])</f>
        <v>45787</v>
      </c>
      <c r="Z88" s="12">
        <f>_xlfn.XLOOKUP(Cleaned_data[[#This Row],[SKU]],Products[SKU],Products[Standard_Cost])</f>
        <v>12</v>
      </c>
      <c r="AA88" s="10">
        <f>Cleaned_data[[#This Row],[Quantity]]*Cleaned_data[[#This Row],[Unit_Price]]</f>
        <v>133.80000000000001</v>
      </c>
      <c r="AB88" s="10">
        <f>Cleaned_data[[#This Row],[Unit_Price]]*Cleaned_data[[#This Row],[Discount_Pct]]</f>
        <v>2.9436</v>
      </c>
      <c r="AC88" s="10">
        <f>Cleaned_data[[#This Row],[Gross Sales]]-Cleaned_data[[#This Row],[Discount amount]]</f>
        <v>130.85640000000001</v>
      </c>
      <c r="AD88" s="10">
        <f>Cleaned_data[[#This Row],[Product Cost]]*Cleaned_data[[#This Row],[Quantity]]</f>
        <v>60</v>
      </c>
      <c r="AE88" s="10">
        <f>Cleaned_data[[#This Row],[Net Sales]]-Cleaned_data[[#This Row],[COGS]]</f>
        <v>70.856400000000008</v>
      </c>
      <c r="AF88" s="11">
        <f>Cleaned_data[[#This Row],[Gross Profit]]/Cleaned_data[[#This Row],[Net Sales]]</f>
        <v>0.5414821132172366</v>
      </c>
      <c r="AG88">
        <f>Cleaned_data[[#This Row],[Ship_Date]]-Cleaned_data[[#This Row],[Order_Date]]</f>
        <v>4</v>
      </c>
      <c r="AH88" t="str">
        <f>IF(Cleaned_data[[#This Row],[Delivery Days]]&gt;10,"late","on time")</f>
        <v>on time</v>
      </c>
      <c r="AI88" t="str">
        <f>TEXT(Cleaned_data[[#This Row],[Order_Date]],"mmmm")</f>
        <v>March</v>
      </c>
      <c r="AJ88" s="9" t="str">
        <f>"Q"&amp;ROUNDUP(MONTH(Cleaned_data[[#This Row],[Order_Date]])/3,0)</f>
        <v>Q1</v>
      </c>
    </row>
    <row r="89" spans="1:36">
      <c r="A89" t="s">
        <v>405</v>
      </c>
      <c r="B89" s="9">
        <v>45373</v>
      </c>
      <c r="C89" s="9">
        <v>45376</v>
      </c>
      <c r="D89" t="s">
        <v>406</v>
      </c>
      <c r="E89" t="s">
        <v>407</v>
      </c>
      <c r="F89" t="s">
        <v>89</v>
      </c>
      <c r="G89" t="s">
        <v>75</v>
      </c>
      <c r="H89" t="s">
        <v>116</v>
      </c>
      <c r="I89" t="s">
        <v>117</v>
      </c>
      <c r="J89" t="s">
        <v>78</v>
      </c>
      <c r="K89" t="s">
        <v>130</v>
      </c>
      <c r="L89" t="s">
        <v>249</v>
      </c>
      <c r="M89" t="s">
        <v>250</v>
      </c>
      <c r="N89" t="s">
        <v>103</v>
      </c>
      <c r="O89" t="s">
        <v>251</v>
      </c>
      <c r="P89" s="8">
        <v>4</v>
      </c>
      <c r="Q89" s="10">
        <v>23.29</v>
      </c>
      <c r="R89" s="11">
        <v>0.1</v>
      </c>
      <c r="S89" s="10">
        <v>13.32</v>
      </c>
      <c r="T89" t="s">
        <v>134</v>
      </c>
      <c r="U89" t="s">
        <v>85</v>
      </c>
      <c r="V89" s="8">
        <v>3</v>
      </c>
      <c r="W89" t="s">
        <v>1270</v>
      </c>
      <c r="X89" t="str">
        <f>_xlfn.XLOOKUP(Cleaned_data[[#This Row],[Customer_ID]],Customers[S],Customers[Loyalty_Tier])</f>
        <v>Bronze</v>
      </c>
      <c r="Y89" s="9">
        <f>_xlfn.XLOOKUP(Cleaned_data[[#This Row],[Customer_ID]],Customers[S],Customers[Signup_Date])</f>
        <v>45879</v>
      </c>
      <c r="Z89" s="12">
        <f>_xlfn.XLOOKUP(Cleaned_data[[#This Row],[SKU]],Products[SKU],Products[Standard_Cost])</f>
        <v>10</v>
      </c>
      <c r="AA89" s="10">
        <f>Cleaned_data[[#This Row],[Quantity]]*Cleaned_data[[#This Row],[Unit_Price]]</f>
        <v>93.16</v>
      </c>
      <c r="AB89" s="10">
        <f>Cleaned_data[[#This Row],[Unit_Price]]*Cleaned_data[[#This Row],[Discount_Pct]]</f>
        <v>2.3290000000000002</v>
      </c>
      <c r="AC89" s="10">
        <f>Cleaned_data[[#This Row],[Gross Sales]]-Cleaned_data[[#This Row],[Discount amount]]</f>
        <v>90.831000000000003</v>
      </c>
      <c r="AD89" s="10">
        <f>Cleaned_data[[#This Row],[Product Cost]]*Cleaned_data[[#This Row],[Quantity]]</f>
        <v>40</v>
      </c>
      <c r="AE89" s="10">
        <f>Cleaned_data[[#This Row],[Net Sales]]-Cleaned_data[[#This Row],[COGS]]</f>
        <v>50.831000000000003</v>
      </c>
      <c r="AF89" s="11">
        <f>Cleaned_data[[#This Row],[Gross Profit]]/Cleaned_data[[#This Row],[Net Sales]]</f>
        <v>0.55962171505323077</v>
      </c>
      <c r="AG89">
        <f>Cleaned_data[[#This Row],[Ship_Date]]-Cleaned_data[[#This Row],[Order_Date]]</f>
        <v>3</v>
      </c>
      <c r="AH89" t="str">
        <f>IF(Cleaned_data[[#This Row],[Delivery Days]]&gt;10,"late","on time")</f>
        <v>on time</v>
      </c>
      <c r="AI89" t="str">
        <f>TEXT(Cleaned_data[[#This Row],[Order_Date]],"mmmm")</f>
        <v>March</v>
      </c>
      <c r="AJ89" s="9" t="str">
        <f>"Q"&amp;ROUNDUP(MONTH(Cleaned_data[[#This Row],[Order_Date]])/3,0)</f>
        <v>Q1</v>
      </c>
    </row>
    <row r="90" spans="1:36">
      <c r="A90" t="s">
        <v>408</v>
      </c>
      <c r="B90" s="9">
        <v>45376</v>
      </c>
      <c r="C90" s="9">
        <v>45377</v>
      </c>
      <c r="D90" t="s">
        <v>392</v>
      </c>
      <c r="E90" t="s">
        <v>393</v>
      </c>
      <c r="F90" t="s">
        <v>74</v>
      </c>
      <c r="G90" t="s">
        <v>126</v>
      </c>
      <c r="H90" t="s">
        <v>160</v>
      </c>
      <c r="I90" t="s">
        <v>161</v>
      </c>
      <c r="J90" t="s">
        <v>109</v>
      </c>
      <c r="K90" t="s">
        <v>147</v>
      </c>
      <c r="L90" t="s">
        <v>337</v>
      </c>
      <c r="M90" t="s">
        <v>338</v>
      </c>
      <c r="N90" t="s">
        <v>93</v>
      </c>
      <c r="O90" t="s">
        <v>236</v>
      </c>
      <c r="P90" s="8">
        <v>4</v>
      </c>
      <c r="Q90" s="10">
        <v>262.31</v>
      </c>
      <c r="R90" s="11">
        <v>0.02</v>
      </c>
      <c r="S90" s="10">
        <v>29.45</v>
      </c>
      <c r="T90" t="s">
        <v>84</v>
      </c>
      <c r="U90" t="s">
        <v>85</v>
      </c>
      <c r="W90" t="s">
        <v>1270</v>
      </c>
      <c r="X90" t="str">
        <f>_xlfn.XLOOKUP(Cleaned_data[[#This Row],[Customer_ID]],Customers[S],Customers[Loyalty_Tier])</f>
        <v>Gold</v>
      </c>
      <c r="Y90" s="9">
        <f>_xlfn.XLOOKUP(Cleaned_data[[#This Row],[Customer_ID]],Customers[S],Customers[Signup_Date])</f>
        <v>44236</v>
      </c>
      <c r="Z90" s="12">
        <f>_xlfn.XLOOKUP(Cleaned_data[[#This Row],[SKU]],Products[SKU],Products[Standard_Cost])</f>
        <v>146</v>
      </c>
      <c r="AA90" s="10">
        <f>Cleaned_data[[#This Row],[Quantity]]*Cleaned_data[[#This Row],[Unit_Price]]</f>
        <v>1049.24</v>
      </c>
      <c r="AB90" s="10">
        <f>Cleaned_data[[#This Row],[Unit_Price]]*Cleaned_data[[#This Row],[Discount_Pct]]</f>
        <v>5.2462</v>
      </c>
      <c r="AC90" s="10">
        <f>Cleaned_data[[#This Row],[Gross Sales]]-Cleaned_data[[#This Row],[Discount amount]]</f>
        <v>1043.9938</v>
      </c>
      <c r="AD90" s="10">
        <f>Cleaned_data[[#This Row],[Product Cost]]*Cleaned_data[[#This Row],[Quantity]]</f>
        <v>584</v>
      </c>
      <c r="AE90" s="10">
        <f>Cleaned_data[[#This Row],[Net Sales]]-Cleaned_data[[#This Row],[COGS]]</f>
        <v>459.99379999999996</v>
      </c>
      <c r="AF90" s="11">
        <f>Cleaned_data[[#This Row],[Gross Profit]]/Cleaned_data[[#This Row],[Net Sales]]</f>
        <v>0.44060970477027733</v>
      </c>
      <c r="AG90">
        <f>Cleaned_data[[#This Row],[Ship_Date]]-Cleaned_data[[#This Row],[Order_Date]]</f>
        <v>1</v>
      </c>
      <c r="AH90" t="str">
        <f>IF(Cleaned_data[[#This Row],[Delivery Days]]&gt;10,"late","on time")</f>
        <v>on time</v>
      </c>
      <c r="AI90" t="str">
        <f>TEXT(Cleaned_data[[#This Row],[Order_Date]],"mmmm")</f>
        <v>March</v>
      </c>
      <c r="AJ90" s="9" t="str">
        <f>"Q"&amp;ROUNDUP(MONTH(Cleaned_data[[#This Row],[Order_Date]])/3,0)</f>
        <v>Q1</v>
      </c>
    </row>
    <row r="91" spans="1:36">
      <c r="A91" t="s">
        <v>409</v>
      </c>
      <c r="B91" s="9">
        <v>45376</v>
      </c>
      <c r="C91" s="9">
        <v>45380</v>
      </c>
      <c r="D91" t="s">
        <v>410</v>
      </c>
      <c r="E91" t="s">
        <v>411</v>
      </c>
      <c r="F91" t="s">
        <v>74</v>
      </c>
      <c r="G91" t="s">
        <v>126</v>
      </c>
      <c r="H91" t="s">
        <v>291</v>
      </c>
      <c r="I91" t="s">
        <v>292</v>
      </c>
      <c r="J91" t="s">
        <v>219</v>
      </c>
      <c r="K91" t="s">
        <v>130</v>
      </c>
      <c r="L91" t="s">
        <v>261</v>
      </c>
      <c r="M91" t="s">
        <v>262</v>
      </c>
      <c r="N91" t="s">
        <v>103</v>
      </c>
      <c r="O91" t="s">
        <v>104</v>
      </c>
      <c r="P91" s="8">
        <v>4</v>
      </c>
      <c r="Q91" s="10">
        <v>28.06</v>
      </c>
      <c r="R91" s="11">
        <v>0</v>
      </c>
      <c r="S91" s="10">
        <v>12.5</v>
      </c>
      <c r="T91" t="s">
        <v>84</v>
      </c>
      <c r="U91" t="s">
        <v>85</v>
      </c>
      <c r="V91" s="8">
        <v>2</v>
      </c>
      <c r="W91" t="s">
        <v>1270</v>
      </c>
      <c r="X91" t="str">
        <f>_xlfn.XLOOKUP(Cleaned_data[[#This Row],[Customer_ID]],Customers[S],Customers[Loyalty_Tier])</f>
        <v>Platinum</v>
      </c>
      <c r="Y91" s="9">
        <f>_xlfn.XLOOKUP(Cleaned_data[[#This Row],[Customer_ID]],Customers[S],Customers[Signup_Date])</f>
        <v>44421</v>
      </c>
      <c r="Z91" s="12">
        <f>_xlfn.XLOOKUP(Cleaned_data[[#This Row],[SKU]],Products[SKU],Products[Standard_Cost])</f>
        <v>12</v>
      </c>
      <c r="AA91" s="10">
        <f>Cleaned_data[[#This Row],[Quantity]]*Cleaned_data[[#This Row],[Unit_Price]]</f>
        <v>112.24</v>
      </c>
      <c r="AB91" s="10">
        <f>Cleaned_data[[#This Row],[Unit_Price]]*Cleaned_data[[#This Row],[Discount_Pct]]</f>
        <v>0</v>
      </c>
      <c r="AC91" s="10">
        <f>Cleaned_data[[#This Row],[Gross Sales]]-Cleaned_data[[#This Row],[Discount amount]]</f>
        <v>112.24</v>
      </c>
      <c r="AD91" s="10">
        <f>Cleaned_data[[#This Row],[Product Cost]]*Cleaned_data[[#This Row],[Quantity]]</f>
        <v>48</v>
      </c>
      <c r="AE91" s="10">
        <f>Cleaned_data[[#This Row],[Net Sales]]-Cleaned_data[[#This Row],[COGS]]</f>
        <v>64.239999999999995</v>
      </c>
      <c r="AF91" s="11">
        <f>Cleaned_data[[#This Row],[Gross Profit]]/Cleaned_data[[#This Row],[Net Sales]]</f>
        <v>0.57234497505345683</v>
      </c>
      <c r="AG91">
        <f>Cleaned_data[[#This Row],[Ship_Date]]-Cleaned_data[[#This Row],[Order_Date]]</f>
        <v>4</v>
      </c>
      <c r="AH91" t="str">
        <f>IF(Cleaned_data[[#This Row],[Delivery Days]]&gt;10,"late","on time")</f>
        <v>on time</v>
      </c>
      <c r="AI91" t="str">
        <f>TEXT(Cleaned_data[[#This Row],[Order_Date]],"mmmm")</f>
        <v>March</v>
      </c>
      <c r="AJ91" s="9" t="str">
        <f>"Q"&amp;ROUNDUP(MONTH(Cleaned_data[[#This Row],[Order_Date]])/3,0)</f>
        <v>Q1</v>
      </c>
    </row>
    <row r="92" spans="1:36">
      <c r="A92" t="s">
        <v>412</v>
      </c>
      <c r="B92" s="9">
        <v>45377</v>
      </c>
      <c r="C92" s="9">
        <v>45387</v>
      </c>
      <c r="D92" t="s">
        <v>413</v>
      </c>
      <c r="E92" t="s">
        <v>414</v>
      </c>
      <c r="F92" t="s">
        <v>89</v>
      </c>
      <c r="G92" t="s">
        <v>138</v>
      </c>
      <c r="H92" t="s">
        <v>139</v>
      </c>
      <c r="I92" t="s">
        <v>140</v>
      </c>
      <c r="J92" t="s">
        <v>78</v>
      </c>
      <c r="K92" t="s">
        <v>168</v>
      </c>
      <c r="L92" t="s">
        <v>214</v>
      </c>
      <c r="M92" t="s">
        <v>215</v>
      </c>
      <c r="N92" t="s">
        <v>103</v>
      </c>
      <c r="O92" t="s">
        <v>171</v>
      </c>
      <c r="P92" s="8">
        <v>8</v>
      </c>
      <c r="Q92" s="10">
        <v>12.01</v>
      </c>
      <c r="R92" s="11">
        <v>0.12</v>
      </c>
      <c r="S92" s="10">
        <v>11.03</v>
      </c>
      <c r="T92" t="s">
        <v>122</v>
      </c>
      <c r="U92" t="s">
        <v>85</v>
      </c>
      <c r="V92" s="8">
        <v>1</v>
      </c>
      <c r="W92" t="s">
        <v>1270</v>
      </c>
      <c r="X92" t="str">
        <f>_xlfn.XLOOKUP(Cleaned_data[[#This Row],[Customer_ID]],Customers[S],Customers[Loyalty_Tier])</f>
        <v>Platinum</v>
      </c>
      <c r="Y92" s="9">
        <f>_xlfn.XLOOKUP(Cleaned_data[[#This Row],[Customer_ID]],Customers[S],Customers[Signup_Date])</f>
        <v>44959</v>
      </c>
      <c r="Z92" s="12">
        <f>_xlfn.XLOOKUP(Cleaned_data[[#This Row],[SKU]],Products[SKU],Products[Standard_Cost])</f>
        <v>5</v>
      </c>
      <c r="AA92" s="10">
        <f>Cleaned_data[[#This Row],[Quantity]]*Cleaned_data[[#This Row],[Unit_Price]]</f>
        <v>96.08</v>
      </c>
      <c r="AB92" s="10">
        <f>Cleaned_data[[#This Row],[Unit_Price]]*Cleaned_data[[#This Row],[Discount_Pct]]</f>
        <v>1.4411999999999998</v>
      </c>
      <c r="AC92" s="10">
        <f>Cleaned_data[[#This Row],[Gross Sales]]-Cleaned_data[[#This Row],[Discount amount]]</f>
        <v>94.638800000000003</v>
      </c>
      <c r="AD92" s="10">
        <f>Cleaned_data[[#This Row],[Product Cost]]*Cleaned_data[[#This Row],[Quantity]]</f>
        <v>40</v>
      </c>
      <c r="AE92" s="10">
        <f>Cleaned_data[[#This Row],[Net Sales]]-Cleaned_data[[#This Row],[COGS]]</f>
        <v>54.638800000000003</v>
      </c>
      <c r="AF92" s="11">
        <f>Cleaned_data[[#This Row],[Gross Profit]]/Cleaned_data[[#This Row],[Net Sales]]</f>
        <v>0.57734037202500454</v>
      </c>
      <c r="AG92">
        <f>Cleaned_data[[#This Row],[Ship_Date]]-Cleaned_data[[#This Row],[Order_Date]]</f>
        <v>10</v>
      </c>
      <c r="AH92" t="str">
        <f>IF(Cleaned_data[[#This Row],[Delivery Days]]&gt;10,"late","on time")</f>
        <v>on time</v>
      </c>
      <c r="AI92" t="str">
        <f>TEXT(Cleaned_data[[#This Row],[Order_Date]],"mmmm")</f>
        <v>March</v>
      </c>
      <c r="AJ92" s="9" t="str">
        <f>"Q"&amp;ROUNDUP(MONTH(Cleaned_data[[#This Row],[Order_Date]])/3,0)</f>
        <v>Q1</v>
      </c>
    </row>
    <row r="93" spans="1:36">
      <c r="A93" t="s">
        <v>415</v>
      </c>
      <c r="B93" s="9">
        <v>45377</v>
      </c>
      <c r="C93" s="9">
        <v>45381</v>
      </c>
      <c r="D93" t="s">
        <v>416</v>
      </c>
      <c r="E93" t="s">
        <v>417</v>
      </c>
      <c r="F93" t="s">
        <v>89</v>
      </c>
      <c r="G93" t="s">
        <v>138</v>
      </c>
      <c r="H93" t="s">
        <v>186</v>
      </c>
      <c r="I93" t="s">
        <v>187</v>
      </c>
      <c r="J93" t="s">
        <v>109</v>
      </c>
      <c r="K93" t="s">
        <v>168</v>
      </c>
      <c r="L93" t="s">
        <v>169</v>
      </c>
      <c r="M93" t="s">
        <v>170</v>
      </c>
      <c r="N93" t="s">
        <v>103</v>
      </c>
      <c r="O93" t="s">
        <v>171</v>
      </c>
      <c r="P93" s="8">
        <v>2</v>
      </c>
      <c r="Q93" s="10">
        <v>15.81</v>
      </c>
      <c r="R93" s="11">
        <v>0.21</v>
      </c>
      <c r="S93" s="10">
        <v>13.04</v>
      </c>
      <c r="T93" t="s">
        <v>122</v>
      </c>
      <c r="U93" t="s">
        <v>85</v>
      </c>
      <c r="V93" s="8">
        <v>5</v>
      </c>
      <c r="W93" t="s">
        <v>1270</v>
      </c>
      <c r="X93" t="str">
        <f>_xlfn.XLOOKUP(Cleaned_data[[#This Row],[Customer_ID]],Customers[S],Customers[Loyalty_Tier])</f>
        <v>Silver</v>
      </c>
      <c r="Y93" s="9">
        <f>_xlfn.XLOOKUP(Cleaned_data[[#This Row],[Customer_ID]],Customers[S],Customers[Signup_Date])</f>
        <v>44845</v>
      </c>
      <c r="Z93" s="12">
        <f>_xlfn.XLOOKUP(Cleaned_data[[#This Row],[SKU]],Products[SKU],Products[Standard_Cost])</f>
        <v>6</v>
      </c>
      <c r="AA93" s="10">
        <f>Cleaned_data[[#This Row],[Quantity]]*Cleaned_data[[#This Row],[Unit_Price]]</f>
        <v>31.62</v>
      </c>
      <c r="AB93" s="10">
        <f>Cleaned_data[[#This Row],[Unit_Price]]*Cleaned_data[[#This Row],[Discount_Pct]]</f>
        <v>3.3201000000000001</v>
      </c>
      <c r="AC93" s="10">
        <f>Cleaned_data[[#This Row],[Gross Sales]]-Cleaned_data[[#This Row],[Discount amount]]</f>
        <v>28.299900000000001</v>
      </c>
      <c r="AD93" s="10">
        <f>Cleaned_data[[#This Row],[Product Cost]]*Cleaned_data[[#This Row],[Quantity]]</f>
        <v>12</v>
      </c>
      <c r="AE93" s="10">
        <f>Cleaned_data[[#This Row],[Net Sales]]-Cleaned_data[[#This Row],[COGS]]</f>
        <v>16.299900000000001</v>
      </c>
      <c r="AF93" s="11">
        <f>Cleaned_data[[#This Row],[Gross Profit]]/Cleaned_data[[#This Row],[Net Sales]]</f>
        <v>0.57597023311036433</v>
      </c>
      <c r="AG93">
        <f>Cleaned_data[[#This Row],[Ship_Date]]-Cleaned_data[[#This Row],[Order_Date]]</f>
        <v>4</v>
      </c>
      <c r="AH93" t="str">
        <f>IF(Cleaned_data[[#This Row],[Delivery Days]]&gt;10,"late","on time")</f>
        <v>on time</v>
      </c>
      <c r="AI93" t="str">
        <f>TEXT(Cleaned_data[[#This Row],[Order_Date]],"mmmm")</f>
        <v>March</v>
      </c>
      <c r="AJ93" s="9" t="str">
        <f>"Q"&amp;ROUNDUP(MONTH(Cleaned_data[[#This Row],[Order_Date]])/3,0)</f>
        <v>Q1</v>
      </c>
    </row>
    <row r="94" spans="1:36">
      <c r="A94" t="s">
        <v>418</v>
      </c>
      <c r="B94" s="9">
        <v>45378</v>
      </c>
      <c r="C94" s="9">
        <v>45396</v>
      </c>
      <c r="D94" t="s">
        <v>419</v>
      </c>
      <c r="E94" t="s">
        <v>420</v>
      </c>
      <c r="F94" t="s">
        <v>74</v>
      </c>
      <c r="G94" t="s">
        <v>126</v>
      </c>
      <c r="H94" t="s">
        <v>160</v>
      </c>
      <c r="I94" t="s">
        <v>161</v>
      </c>
      <c r="J94" t="s">
        <v>219</v>
      </c>
      <c r="K94" t="s">
        <v>90</v>
      </c>
      <c r="L94" t="s">
        <v>214</v>
      </c>
      <c r="M94" t="s">
        <v>215</v>
      </c>
      <c r="N94" t="s">
        <v>103</v>
      </c>
      <c r="O94" t="s">
        <v>171</v>
      </c>
      <c r="P94" s="8">
        <v>5</v>
      </c>
      <c r="Q94" s="10">
        <v>12.01</v>
      </c>
      <c r="R94" s="11">
        <v>0.06</v>
      </c>
      <c r="S94" s="10">
        <v>5.98</v>
      </c>
      <c r="T94" t="s">
        <v>122</v>
      </c>
      <c r="U94" t="s">
        <v>85</v>
      </c>
      <c r="V94" s="8">
        <v>2</v>
      </c>
      <c r="W94" t="s">
        <v>1270</v>
      </c>
      <c r="X94" t="str">
        <f>_xlfn.XLOOKUP(Cleaned_data[[#This Row],[Customer_ID]],Customers[S],Customers[Loyalty_Tier])</f>
        <v>Silver</v>
      </c>
      <c r="Y94" s="9">
        <f>_xlfn.XLOOKUP(Cleaned_data[[#This Row],[Customer_ID]],Customers[S],Customers[Signup_Date])</f>
        <v>44752</v>
      </c>
      <c r="Z94" s="12">
        <f>_xlfn.XLOOKUP(Cleaned_data[[#This Row],[SKU]],Products[SKU],Products[Standard_Cost])</f>
        <v>5</v>
      </c>
      <c r="AA94" s="10">
        <f>Cleaned_data[[#This Row],[Quantity]]*Cleaned_data[[#This Row],[Unit_Price]]</f>
        <v>60.05</v>
      </c>
      <c r="AB94" s="10">
        <f>Cleaned_data[[#This Row],[Unit_Price]]*Cleaned_data[[#This Row],[Discount_Pct]]</f>
        <v>0.72059999999999991</v>
      </c>
      <c r="AC94" s="10">
        <f>Cleaned_data[[#This Row],[Gross Sales]]-Cleaned_data[[#This Row],[Discount amount]]</f>
        <v>59.3294</v>
      </c>
      <c r="AD94" s="10">
        <f>Cleaned_data[[#This Row],[Product Cost]]*Cleaned_data[[#This Row],[Quantity]]</f>
        <v>25</v>
      </c>
      <c r="AE94" s="10">
        <f>Cleaned_data[[#This Row],[Net Sales]]-Cleaned_data[[#This Row],[COGS]]</f>
        <v>34.3294</v>
      </c>
      <c r="AF94" s="11">
        <f>Cleaned_data[[#This Row],[Gross Profit]]/Cleaned_data[[#This Row],[Net Sales]]</f>
        <v>0.5786237514621756</v>
      </c>
      <c r="AG94">
        <f>Cleaned_data[[#This Row],[Ship_Date]]-Cleaned_data[[#This Row],[Order_Date]]</f>
        <v>18</v>
      </c>
      <c r="AH94" t="str">
        <f>IF(Cleaned_data[[#This Row],[Delivery Days]]&gt;10,"late","on time")</f>
        <v>late</v>
      </c>
      <c r="AI94" t="str">
        <f>TEXT(Cleaned_data[[#This Row],[Order_Date]],"mmmm")</f>
        <v>March</v>
      </c>
      <c r="AJ94" s="9" t="str">
        <f>"Q"&amp;ROUNDUP(MONTH(Cleaned_data[[#This Row],[Order_Date]])/3,0)</f>
        <v>Q1</v>
      </c>
    </row>
    <row r="95" spans="1:36">
      <c r="A95" t="s">
        <v>421</v>
      </c>
      <c r="B95" s="9">
        <v>45380</v>
      </c>
      <c r="C95" s="9">
        <v>45388</v>
      </c>
      <c r="D95" t="s">
        <v>300</v>
      </c>
      <c r="E95" t="s">
        <v>151</v>
      </c>
      <c r="F95" t="s">
        <v>152</v>
      </c>
      <c r="G95" t="s">
        <v>75</v>
      </c>
      <c r="H95" t="s">
        <v>98</v>
      </c>
      <c r="I95" t="s">
        <v>99</v>
      </c>
      <c r="J95" t="s">
        <v>219</v>
      </c>
      <c r="K95" t="s">
        <v>79</v>
      </c>
      <c r="L95" t="s">
        <v>91</v>
      </c>
      <c r="M95" t="s">
        <v>92</v>
      </c>
      <c r="N95" t="s">
        <v>93</v>
      </c>
      <c r="O95" t="s">
        <v>94</v>
      </c>
      <c r="P95" s="8">
        <v>4</v>
      </c>
      <c r="Q95" s="10">
        <v>335.39</v>
      </c>
      <c r="R95" s="11">
        <v>0.12</v>
      </c>
      <c r="S95" s="10">
        <v>21.25</v>
      </c>
      <c r="T95" t="s">
        <v>134</v>
      </c>
      <c r="U95" t="s">
        <v>85</v>
      </c>
      <c r="V95" s="8">
        <v>1</v>
      </c>
      <c r="W95" t="s">
        <v>1270</v>
      </c>
      <c r="X95" t="str">
        <f>_xlfn.XLOOKUP(Cleaned_data[[#This Row],[Customer_ID]],Customers[S],Customers[Loyalty_Tier])</f>
        <v>Gold</v>
      </c>
      <c r="Y95" s="9">
        <f>_xlfn.XLOOKUP(Cleaned_data[[#This Row],[Customer_ID]],Customers[S],Customers[Signup_Date])</f>
        <v>44995</v>
      </c>
      <c r="Z95" s="12">
        <f>_xlfn.XLOOKUP(Cleaned_data[[#This Row],[SKU]],Products[SKU],Products[Standard_Cost])</f>
        <v>184</v>
      </c>
      <c r="AA95" s="10">
        <f>Cleaned_data[[#This Row],[Quantity]]*Cleaned_data[[#This Row],[Unit_Price]]</f>
        <v>1341.56</v>
      </c>
      <c r="AB95" s="10">
        <f>Cleaned_data[[#This Row],[Unit_Price]]*Cleaned_data[[#This Row],[Discount_Pct]]</f>
        <v>40.2468</v>
      </c>
      <c r="AC95" s="10">
        <f>Cleaned_data[[#This Row],[Gross Sales]]-Cleaned_data[[#This Row],[Discount amount]]</f>
        <v>1301.3132000000001</v>
      </c>
      <c r="AD95" s="10">
        <f>Cleaned_data[[#This Row],[Product Cost]]*Cleaned_data[[#This Row],[Quantity]]</f>
        <v>736</v>
      </c>
      <c r="AE95" s="10">
        <f>Cleaned_data[[#This Row],[Net Sales]]-Cleaned_data[[#This Row],[COGS]]</f>
        <v>565.31320000000005</v>
      </c>
      <c r="AF95" s="11">
        <f>Cleaned_data[[#This Row],[Gross Profit]]/Cleaned_data[[#This Row],[Net Sales]]</f>
        <v>0.43441747920485246</v>
      </c>
      <c r="AG95">
        <f>Cleaned_data[[#This Row],[Ship_Date]]-Cleaned_data[[#This Row],[Order_Date]]</f>
        <v>8</v>
      </c>
      <c r="AH95" t="str">
        <f>IF(Cleaned_data[[#This Row],[Delivery Days]]&gt;10,"late","on time")</f>
        <v>on time</v>
      </c>
      <c r="AI95" t="str">
        <f>TEXT(Cleaned_data[[#This Row],[Order_Date]],"mmmm")</f>
        <v>March</v>
      </c>
      <c r="AJ95" s="9" t="str">
        <f>"Q"&amp;ROUNDUP(MONTH(Cleaned_data[[#This Row],[Order_Date]])/3,0)</f>
        <v>Q1</v>
      </c>
    </row>
    <row r="96" spans="1:36">
      <c r="A96" t="s">
        <v>422</v>
      </c>
      <c r="B96" s="9">
        <v>45381</v>
      </c>
      <c r="C96" s="9">
        <v>45385</v>
      </c>
      <c r="D96" t="s">
        <v>410</v>
      </c>
      <c r="E96" t="s">
        <v>411</v>
      </c>
      <c r="F96" t="s">
        <v>74</v>
      </c>
      <c r="G96" t="s">
        <v>126</v>
      </c>
      <c r="H96" t="s">
        <v>291</v>
      </c>
      <c r="I96" t="s">
        <v>292</v>
      </c>
      <c r="J96" t="s">
        <v>78</v>
      </c>
      <c r="K96" t="s">
        <v>79</v>
      </c>
      <c r="L96" t="s">
        <v>301</v>
      </c>
      <c r="M96" t="s">
        <v>302</v>
      </c>
      <c r="N96" t="s">
        <v>120</v>
      </c>
      <c r="O96" t="s">
        <v>190</v>
      </c>
      <c r="P96" s="8">
        <v>2</v>
      </c>
      <c r="Q96" s="10">
        <v>146.68</v>
      </c>
      <c r="R96" s="11">
        <v>0.1</v>
      </c>
      <c r="S96" s="10">
        <v>13.74</v>
      </c>
      <c r="T96" t="s">
        <v>122</v>
      </c>
      <c r="U96" t="s">
        <v>85</v>
      </c>
      <c r="V96" s="8">
        <v>1</v>
      </c>
      <c r="W96" t="s">
        <v>1270</v>
      </c>
      <c r="X96" t="str">
        <f>_xlfn.XLOOKUP(Cleaned_data[[#This Row],[Customer_ID]],Customers[S],Customers[Loyalty_Tier])</f>
        <v>Platinum</v>
      </c>
      <c r="Y96" s="9">
        <f>_xlfn.XLOOKUP(Cleaned_data[[#This Row],[Customer_ID]],Customers[S],Customers[Signup_Date])</f>
        <v>44421</v>
      </c>
      <c r="Z96" s="12">
        <f>_xlfn.XLOOKUP(Cleaned_data[[#This Row],[SKU]],Products[SKU],Products[Standard_Cost])</f>
        <v>72</v>
      </c>
      <c r="AA96" s="10">
        <f>Cleaned_data[[#This Row],[Quantity]]*Cleaned_data[[#This Row],[Unit_Price]]</f>
        <v>293.36</v>
      </c>
      <c r="AB96" s="10">
        <f>Cleaned_data[[#This Row],[Unit_Price]]*Cleaned_data[[#This Row],[Discount_Pct]]</f>
        <v>14.668000000000001</v>
      </c>
      <c r="AC96" s="10">
        <f>Cleaned_data[[#This Row],[Gross Sales]]-Cleaned_data[[#This Row],[Discount amount]]</f>
        <v>278.69200000000001</v>
      </c>
      <c r="AD96" s="10">
        <f>Cleaned_data[[#This Row],[Product Cost]]*Cleaned_data[[#This Row],[Quantity]]</f>
        <v>144</v>
      </c>
      <c r="AE96" s="10">
        <f>Cleaned_data[[#This Row],[Net Sales]]-Cleaned_data[[#This Row],[COGS]]</f>
        <v>134.69200000000001</v>
      </c>
      <c r="AF96" s="11">
        <f>Cleaned_data[[#This Row],[Gross Profit]]/Cleaned_data[[#This Row],[Net Sales]]</f>
        <v>0.48330056119300163</v>
      </c>
      <c r="AG96">
        <f>Cleaned_data[[#This Row],[Ship_Date]]-Cleaned_data[[#This Row],[Order_Date]]</f>
        <v>4</v>
      </c>
      <c r="AH96" t="str">
        <f>IF(Cleaned_data[[#This Row],[Delivery Days]]&gt;10,"late","on time")</f>
        <v>on time</v>
      </c>
      <c r="AI96" t="str">
        <f>TEXT(Cleaned_data[[#This Row],[Order_Date]],"mmmm")</f>
        <v>March</v>
      </c>
      <c r="AJ96" s="9" t="str">
        <f>"Q"&amp;ROUNDUP(MONTH(Cleaned_data[[#This Row],[Order_Date]])/3,0)</f>
        <v>Q1</v>
      </c>
    </row>
    <row r="97" spans="1:36">
      <c r="A97" t="s">
        <v>423</v>
      </c>
      <c r="B97" s="9">
        <v>45381</v>
      </c>
      <c r="C97" s="9">
        <v>45390</v>
      </c>
      <c r="D97" t="s">
        <v>424</v>
      </c>
      <c r="E97" t="s">
        <v>425</v>
      </c>
      <c r="F97" t="s">
        <v>152</v>
      </c>
      <c r="G97" t="s">
        <v>138</v>
      </c>
      <c r="H97" t="s">
        <v>347</v>
      </c>
      <c r="I97" t="s">
        <v>348</v>
      </c>
      <c r="J97" t="s">
        <v>219</v>
      </c>
      <c r="K97" t="s">
        <v>168</v>
      </c>
      <c r="L97" t="s">
        <v>80</v>
      </c>
      <c r="M97" t="s">
        <v>81</v>
      </c>
      <c r="N97" t="s">
        <v>82</v>
      </c>
      <c r="O97" t="s">
        <v>83</v>
      </c>
      <c r="P97" s="8">
        <v>6</v>
      </c>
      <c r="Q97" s="10">
        <v>247.22</v>
      </c>
      <c r="R97" s="11">
        <v>0.08</v>
      </c>
      <c r="S97" s="10">
        <v>10.050000000000001</v>
      </c>
      <c r="T97" t="s">
        <v>84</v>
      </c>
      <c r="U97" t="s">
        <v>85</v>
      </c>
      <c r="V97" s="8">
        <v>4</v>
      </c>
      <c r="W97" t="s">
        <v>1270</v>
      </c>
      <c r="X97" t="str">
        <f>_xlfn.XLOOKUP(Cleaned_data[[#This Row],[Customer_ID]],Customers[S],Customers[Loyalty_Tier])</f>
        <v>Bronze</v>
      </c>
      <c r="Y97" s="9">
        <f>_xlfn.XLOOKUP(Cleaned_data[[#This Row],[Customer_ID]],Customers[S],Customers[Signup_Date])</f>
        <v>45859</v>
      </c>
      <c r="Z97" s="12">
        <f>_xlfn.XLOOKUP(Cleaned_data[[#This Row],[SKU]],Products[SKU],Products[Standard_Cost])</f>
        <v>125</v>
      </c>
      <c r="AA97" s="10">
        <f>Cleaned_data[[#This Row],[Quantity]]*Cleaned_data[[#This Row],[Unit_Price]]</f>
        <v>1483.32</v>
      </c>
      <c r="AB97" s="10">
        <f>Cleaned_data[[#This Row],[Unit_Price]]*Cleaned_data[[#This Row],[Discount_Pct]]</f>
        <v>19.7776</v>
      </c>
      <c r="AC97" s="10">
        <f>Cleaned_data[[#This Row],[Gross Sales]]-Cleaned_data[[#This Row],[Discount amount]]</f>
        <v>1463.5424</v>
      </c>
      <c r="AD97" s="10">
        <f>Cleaned_data[[#This Row],[Product Cost]]*Cleaned_data[[#This Row],[Quantity]]</f>
        <v>750</v>
      </c>
      <c r="AE97" s="10">
        <f>Cleaned_data[[#This Row],[Net Sales]]-Cleaned_data[[#This Row],[COGS]]</f>
        <v>713.54240000000004</v>
      </c>
      <c r="AF97" s="11">
        <f>Cleaned_data[[#This Row],[Gross Profit]]/Cleaned_data[[#This Row],[Net Sales]]</f>
        <v>0.48754474076050003</v>
      </c>
      <c r="AG97">
        <f>Cleaned_data[[#This Row],[Ship_Date]]-Cleaned_data[[#This Row],[Order_Date]]</f>
        <v>9</v>
      </c>
      <c r="AH97" t="str">
        <f>IF(Cleaned_data[[#This Row],[Delivery Days]]&gt;10,"late","on time")</f>
        <v>on time</v>
      </c>
      <c r="AI97" t="str">
        <f>TEXT(Cleaned_data[[#This Row],[Order_Date]],"mmmm")</f>
        <v>March</v>
      </c>
      <c r="AJ97" s="9" t="str">
        <f>"Q"&amp;ROUNDUP(MONTH(Cleaned_data[[#This Row],[Order_Date]])/3,0)</f>
        <v>Q1</v>
      </c>
    </row>
    <row r="98" spans="1:36">
      <c r="A98" t="s">
        <v>426</v>
      </c>
      <c r="B98" s="9">
        <v>45381</v>
      </c>
      <c r="C98" s="9">
        <v>45391</v>
      </c>
      <c r="D98" t="s">
        <v>427</v>
      </c>
      <c r="E98" t="s">
        <v>428</v>
      </c>
      <c r="F98" t="s">
        <v>152</v>
      </c>
      <c r="G98" t="s">
        <v>194</v>
      </c>
      <c r="H98" t="s">
        <v>240</v>
      </c>
      <c r="I98" t="s">
        <v>241</v>
      </c>
      <c r="J98" t="s">
        <v>219</v>
      </c>
      <c r="K98" t="s">
        <v>100</v>
      </c>
      <c r="L98" t="s">
        <v>284</v>
      </c>
      <c r="M98" t="s">
        <v>285</v>
      </c>
      <c r="N98" t="s">
        <v>103</v>
      </c>
      <c r="O98" t="s">
        <v>143</v>
      </c>
      <c r="P98" s="8">
        <v>2</v>
      </c>
      <c r="Q98" s="10">
        <v>27.48</v>
      </c>
      <c r="R98" s="11">
        <v>0.19</v>
      </c>
      <c r="S98" s="10">
        <v>16.649999999999999</v>
      </c>
      <c r="T98" t="s">
        <v>134</v>
      </c>
      <c r="U98" t="s">
        <v>85</v>
      </c>
      <c r="V98" s="8">
        <v>5</v>
      </c>
      <c r="W98" t="s">
        <v>1270</v>
      </c>
      <c r="X98" t="str">
        <f>_xlfn.XLOOKUP(Cleaned_data[[#This Row],[Customer_ID]],Customers[S],Customers[Loyalty_Tier])</f>
        <v>Gold</v>
      </c>
      <c r="Y98" s="9">
        <f>_xlfn.XLOOKUP(Cleaned_data[[#This Row],[Customer_ID]],Customers[S],Customers[Signup_Date])</f>
        <v>45885</v>
      </c>
      <c r="Z98" s="12">
        <f>_xlfn.XLOOKUP(Cleaned_data[[#This Row],[SKU]],Products[SKU],Products[Standard_Cost])</f>
        <v>14</v>
      </c>
      <c r="AA98" s="10">
        <f>Cleaned_data[[#This Row],[Quantity]]*Cleaned_data[[#This Row],[Unit_Price]]</f>
        <v>54.96</v>
      </c>
      <c r="AB98" s="10">
        <f>Cleaned_data[[#This Row],[Unit_Price]]*Cleaned_data[[#This Row],[Discount_Pct]]</f>
        <v>5.2212000000000005</v>
      </c>
      <c r="AC98" s="10">
        <f>Cleaned_data[[#This Row],[Gross Sales]]-Cleaned_data[[#This Row],[Discount amount]]</f>
        <v>49.738799999999998</v>
      </c>
      <c r="AD98" s="10">
        <f>Cleaned_data[[#This Row],[Product Cost]]*Cleaned_data[[#This Row],[Quantity]]</f>
        <v>28</v>
      </c>
      <c r="AE98" s="10">
        <f>Cleaned_data[[#This Row],[Net Sales]]-Cleaned_data[[#This Row],[COGS]]</f>
        <v>21.738799999999998</v>
      </c>
      <c r="AF98" s="11">
        <f>Cleaned_data[[#This Row],[Gross Profit]]/Cleaned_data[[#This Row],[Net Sales]]</f>
        <v>0.43705919724641523</v>
      </c>
      <c r="AG98">
        <f>Cleaned_data[[#This Row],[Ship_Date]]-Cleaned_data[[#This Row],[Order_Date]]</f>
        <v>10</v>
      </c>
      <c r="AH98" t="str">
        <f>IF(Cleaned_data[[#This Row],[Delivery Days]]&gt;10,"late","on time")</f>
        <v>on time</v>
      </c>
      <c r="AI98" t="str">
        <f>TEXT(Cleaned_data[[#This Row],[Order_Date]],"mmmm")</f>
        <v>March</v>
      </c>
      <c r="AJ98" s="9" t="str">
        <f>"Q"&amp;ROUNDUP(MONTH(Cleaned_data[[#This Row],[Order_Date]])/3,0)</f>
        <v>Q1</v>
      </c>
    </row>
    <row r="99" spans="1:36">
      <c r="A99" t="s">
        <v>429</v>
      </c>
      <c r="B99" s="9">
        <v>45382</v>
      </c>
      <c r="C99" s="9">
        <v>45388</v>
      </c>
      <c r="D99" t="s">
        <v>430</v>
      </c>
      <c r="E99" t="s">
        <v>224</v>
      </c>
      <c r="F99" t="s">
        <v>74</v>
      </c>
      <c r="G99" t="s">
        <v>194</v>
      </c>
      <c r="H99" t="s">
        <v>225</v>
      </c>
      <c r="I99" t="s">
        <v>226</v>
      </c>
      <c r="J99" t="s">
        <v>129</v>
      </c>
      <c r="K99" t="s">
        <v>168</v>
      </c>
      <c r="L99" t="s">
        <v>431</v>
      </c>
      <c r="M99" t="s">
        <v>432</v>
      </c>
      <c r="N99" t="s">
        <v>103</v>
      </c>
      <c r="O99" t="s">
        <v>251</v>
      </c>
      <c r="P99" s="8">
        <v>2</v>
      </c>
      <c r="Q99" s="10">
        <v>38.049999999999997</v>
      </c>
      <c r="R99" s="11">
        <v>0.06</v>
      </c>
      <c r="S99" s="10">
        <v>6.49</v>
      </c>
      <c r="T99" t="s">
        <v>122</v>
      </c>
      <c r="U99" t="s">
        <v>85</v>
      </c>
      <c r="V99" s="8">
        <v>2</v>
      </c>
      <c r="W99" t="s">
        <v>1270</v>
      </c>
      <c r="X99" t="str">
        <f>_xlfn.XLOOKUP(Cleaned_data[[#This Row],[Customer_ID]],Customers[S],Customers[Loyalty_Tier])</f>
        <v>Gold</v>
      </c>
      <c r="Y99" s="9">
        <f>_xlfn.XLOOKUP(Cleaned_data[[#This Row],[Customer_ID]],Customers[S],Customers[Signup_Date])</f>
        <v>44366</v>
      </c>
      <c r="Z99" s="12">
        <f>_xlfn.XLOOKUP(Cleaned_data[[#This Row],[SKU]],Products[SKU],Products[Standard_Cost])</f>
        <v>20</v>
      </c>
      <c r="AA99" s="10">
        <f>Cleaned_data[[#This Row],[Quantity]]*Cleaned_data[[#This Row],[Unit_Price]]</f>
        <v>76.099999999999994</v>
      </c>
      <c r="AB99" s="10">
        <f>Cleaned_data[[#This Row],[Unit_Price]]*Cleaned_data[[#This Row],[Discount_Pct]]</f>
        <v>2.2829999999999999</v>
      </c>
      <c r="AC99" s="10">
        <f>Cleaned_data[[#This Row],[Gross Sales]]-Cleaned_data[[#This Row],[Discount amount]]</f>
        <v>73.816999999999993</v>
      </c>
      <c r="AD99" s="10">
        <f>Cleaned_data[[#This Row],[Product Cost]]*Cleaned_data[[#This Row],[Quantity]]</f>
        <v>40</v>
      </c>
      <c r="AE99" s="10">
        <f>Cleaned_data[[#This Row],[Net Sales]]-Cleaned_data[[#This Row],[COGS]]</f>
        <v>33.816999999999993</v>
      </c>
      <c r="AF99" s="11">
        <f>Cleaned_data[[#This Row],[Gross Profit]]/Cleaned_data[[#This Row],[Net Sales]]</f>
        <v>0.45811940338946305</v>
      </c>
      <c r="AG99">
        <f>Cleaned_data[[#This Row],[Ship_Date]]-Cleaned_data[[#This Row],[Order_Date]]</f>
        <v>6</v>
      </c>
      <c r="AH99" t="str">
        <f>IF(Cleaned_data[[#This Row],[Delivery Days]]&gt;10,"late","on time")</f>
        <v>on time</v>
      </c>
      <c r="AI99" t="str">
        <f>TEXT(Cleaned_data[[#This Row],[Order_Date]],"mmmm")</f>
        <v>March</v>
      </c>
      <c r="AJ99" s="9" t="str">
        <f>"Q"&amp;ROUNDUP(MONTH(Cleaned_data[[#This Row],[Order_Date]])/3,0)</f>
        <v>Q1</v>
      </c>
    </row>
    <row r="100" spans="1:36">
      <c r="A100" t="s">
        <v>433</v>
      </c>
      <c r="B100" s="9">
        <v>45382</v>
      </c>
      <c r="C100" s="9">
        <v>45387</v>
      </c>
      <c r="D100" t="s">
        <v>124</v>
      </c>
      <c r="E100" t="s">
        <v>125</v>
      </c>
      <c r="F100" t="s">
        <v>74</v>
      </c>
      <c r="G100" t="s">
        <v>126</v>
      </c>
      <c r="H100" t="s">
        <v>127</v>
      </c>
      <c r="I100" t="s">
        <v>128</v>
      </c>
      <c r="J100" t="s">
        <v>129</v>
      </c>
      <c r="K100" t="s">
        <v>130</v>
      </c>
      <c r="L100" t="s">
        <v>301</v>
      </c>
      <c r="M100" t="s">
        <v>302</v>
      </c>
      <c r="N100" t="s">
        <v>120</v>
      </c>
      <c r="O100" t="s">
        <v>190</v>
      </c>
      <c r="P100" s="8">
        <v>3</v>
      </c>
      <c r="Q100" s="10">
        <v>135.22</v>
      </c>
      <c r="R100" s="11">
        <v>0.05</v>
      </c>
      <c r="S100" s="10">
        <v>21.98</v>
      </c>
      <c r="T100" t="s">
        <v>122</v>
      </c>
      <c r="U100" t="s">
        <v>85</v>
      </c>
      <c r="V100" s="8">
        <v>2</v>
      </c>
      <c r="W100" t="s">
        <v>1270</v>
      </c>
      <c r="X100" t="str">
        <f>_xlfn.XLOOKUP(Cleaned_data[[#This Row],[Customer_ID]],Customers[S],Customers[Loyalty_Tier])</f>
        <v>Silver</v>
      </c>
      <c r="Y100" s="9">
        <f>_xlfn.XLOOKUP(Cleaned_data[[#This Row],[Customer_ID]],Customers[S],Customers[Signup_Date])</f>
        <v>45033</v>
      </c>
      <c r="Z100" s="12">
        <f>_xlfn.XLOOKUP(Cleaned_data[[#This Row],[SKU]],Products[SKU],Products[Standard_Cost])</f>
        <v>72</v>
      </c>
      <c r="AA100" s="10">
        <f>Cleaned_data[[#This Row],[Quantity]]*Cleaned_data[[#This Row],[Unit_Price]]</f>
        <v>405.65999999999997</v>
      </c>
      <c r="AB100" s="10">
        <f>Cleaned_data[[#This Row],[Unit_Price]]*Cleaned_data[[#This Row],[Discount_Pct]]</f>
        <v>6.7610000000000001</v>
      </c>
      <c r="AC100" s="10">
        <f>Cleaned_data[[#This Row],[Gross Sales]]-Cleaned_data[[#This Row],[Discount amount]]</f>
        <v>398.89899999999994</v>
      </c>
      <c r="AD100" s="10">
        <f>Cleaned_data[[#This Row],[Product Cost]]*Cleaned_data[[#This Row],[Quantity]]</f>
        <v>216</v>
      </c>
      <c r="AE100" s="10">
        <f>Cleaned_data[[#This Row],[Net Sales]]-Cleaned_data[[#This Row],[COGS]]</f>
        <v>182.89899999999994</v>
      </c>
      <c r="AF100" s="11">
        <f>Cleaned_data[[#This Row],[Gross Profit]]/Cleaned_data[[#This Row],[Net Sales]]</f>
        <v>0.45850954752957507</v>
      </c>
      <c r="AG100">
        <f>Cleaned_data[[#This Row],[Ship_Date]]-Cleaned_data[[#This Row],[Order_Date]]</f>
        <v>5</v>
      </c>
      <c r="AH100" t="str">
        <f>IF(Cleaned_data[[#This Row],[Delivery Days]]&gt;10,"late","on time")</f>
        <v>on time</v>
      </c>
      <c r="AI100" t="str">
        <f>TEXT(Cleaned_data[[#This Row],[Order_Date]],"mmmm")</f>
        <v>March</v>
      </c>
      <c r="AJ100" s="9" t="str">
        <f>"Q"&amp;ROUNDUP(MONTH(Cleaned_data[[#This Row],[Order_Date]])/3,0)</f>
        <v>Q1</v>
      </c>
    </row>
    <row r="101" spans="1:36">
      <c r="A101" t="s">
        <v>434</v>
      </c>
      <c r="B101" s="9">
        <v>45382</v>
      </c>
      <c r="C101" s="9">
        <v>45384</v>
      </c>
      <c r="D101" t="s">
        <v>435</v>
      </c>
      <c r="E101" t="s">
        <v>436</v>
      </c>
      <c r="F101" t="s">
        <v>89</v>
      </c>
      <c r="G101" t="s">
        <v>138</v>
      </c>
      <c r="H101" t="s">
        <v>153</v>
      </c>
      <c r="I101" t="s">
        <v>154</v>
      </c>
      <c r="J101" t="s">
        <v>219</v>
      </c>
      <c r="K101" t="s">
        <v>168</v>
      </c>
      <c r="L101" t="s">
        <v>242</v>
      </c>
      <c r="M101" t="s">
        <v>243</v>
      </c>
      <c r="N101" t="s">
        <v>120</v>
      </c>
      <c r="O101" t="s">
        <v>133</v>
      </c>
      <c r="P101" s="8">
        <v>4</v>
      </c>
      <c r="Q101" s="10">
        <v>183.19</v>
      </c>
      <c r="R101" s="11">
        <v>0.04</v>
      </c>
      <c r="S101" s="10">
        <v>8.58</v>
      </c>
      <c r="T101" t="s">
        <v>122</v>
      </c>
      <c r="U101" t="s">
        <v>85</v>
      </c>
      <c r="W101" t="s">
        <v>1270</v>
      </c>
      <c r="X101" t="str">
        <f>_xlfn.XLOOKUP(Cleaned_data[[#This Row],[Customer_ID]],Customers[S],Customers[Loyalty_Tier])</f>
        <v>Silver</v>
      </c>
      <c r="Y101" s="9">
        <f>_xlfn.XLOOKUP(Cleaned_data[[#This Row],[Customer_ID]],Customers[S],Customers[Signup_Date])</f>
        <v>45394</v>
      </c>
      <c r="Z101" s="12">
        <f>_xlfn.XLOOKUP(Cleaned_data[[#This Row],[SKU]],Products[SKU],Products[Standard_Cost])</f>
        <v>96</v>
      </c>
      <c r="AA101" s="10">
        <f>Cleaned_data[[#This Row],[Quantity]]*Cleaned_data[[#This Row],[Unit_Price]]</f>
        <v>732.76</v>
      </c>
      <c r="AB101" s="10">
        <f>Cleaned_data[[#This Row],[Unit_Price]]*Cleaned_data[[#This Row],[Discount_Pct]]</f>
        <v>7.3276000000000003</v>
      </c>
      <c r="AC101" s="10">
        <f>Cleaned_data[[#This Row],[Gross Sales]]-Cleaned_data[[#This Row],[Discount amount]]</f>
        <v>725.43240000000003</v>
      </c>
      <c r="AD101" s="10">
        <f>Cleaned_data[[#This Row],[Product Cost]]*Cleaned_data[[#This Row],[Quantity]]</f>
        <v>384</v>
      </c>
      <c r="AE101" s="10">
        <f>Cleaned_data[[#This Row],[Net Sales]]-Cleaned_data[[#This Row],[COGS]]</f>
        <v>341.43240000000003</v>
      </c>
      <c r="AF101" s="11">
        <f>Cleaned_data[[#This Row],[Gross Profit]]/Cleaned_data[[#This Row],[Net Sales]]</f>
        <v>0.47066053294559218</v>
      </c>
      <c r="AG101">
        <f>Cleaned_data[[#This Row],[Ship_Date]]-Cleaned_data[[#This Row],[Order_Date]]</f>
        <v>2</v>
      </c>
      <c r="AH101" t="str">
        <f>IF(Cleaned_data[[#This Row],[Delivery Days]]&gt;10,"late","on time")</f>
        <v>on time</v>
      </c>
      <c r="AI101" t="str">
        <f>TEXT(Cleaned_data[[#This Row],[Order_Date]],"mmmm")</f>
        <v>March</v>
      </c>
      <c r="AJ101" s="9" t="str">
        <f>"Q"&amp;ROUNDUP(MONTH(Cleaned_data[[#This Row],[Order_Date]])/3,0)</f>
        <v>Q1</v>
      </c>
    </row>
    <row r="102" spans="1:36">
      <c r="A102" t="s">
        <v>437</v>
      </c>
      <c r="B102" s="9">
        <v>45388</v>
      </c>
      <c r="C102" s="9">
        <v>45396</v>
      </c>
      <c r="D102" t="s">
        <v>438</v>
      </c>
      <c r="E102" t="s">
        <v>439</v>
      </c>
      <c r="F102" t="s">
        <v>152</v>
      </c>
      <c r="G102" t="s">
        <v>194</v>
      </c>
      <c r="H102" t="s">
        <v>240</v>
      </c>
      <c r="I102" t="s">
        <v>241</v>
      </c>
      <c r="J102" t="s">
        <v>219</v>
      </c>
      <c r="K102" t="s">
        <v>130</v>
      </c>
      <c r="L102" t="s">
        <v>249</v>
      </c>
      <c r="M102" t="s">
        <v>250</v>
      </c>
      <c r="N102" t="s">
        <v>103</v>
      </c>
      <c r="O102" t="s">
        <v>251</v>
      </c>
      <c r="P102" s="8">
        <v>3</v>
      </c>
      <c r="Q102" s="10">
        <v>22.63</v>
      </c>
      <c r="R102" s="11">
        <v>0.08</v>
      </c>
      <c r="S102" s="10">
        <v>13.29</v>
      </c>
      <c r="T102" t="s">
        <v>134</v>
      </c>
      <c r="U102" t="s">
        <v>85</v>
      </c>
      <c r="V102" s="8">
        <v>1</v>
      </c>
      <c r="W102" t="s">
        <v>1270</v>
      </c>
      <c r="X102" t="str">
        <f>_xlfn.XLOOKUP(Cleaned_data[[#This Row],[Customer_ID]],Customers[S],Customers[Loyalty_Tier])</f>
        <v>Bronze</v>
      </c>
      <c r="Y102" s="9">
        <f>_xlfn.XLOOKUP(Cleaned_data[[#This Row],[Customer_ID]],Customers[S],Customers[Signup_Date])</f>
        <v>44473</v>
      </c>
      <c r="Z102" s="12">
        <f>_xlfn.XLOOKUP(Cleaned_data[[#This Row],[SKU]],Products[SKU],Products[Standard_Cost])</f>
        <v>10</v>
      </c>
      <c r="AA102" s="10">
        <f>Cleaned_data[[#This Row],[Quantity]]*Cleaned_data[[#This Row],[Unit_Price]]</f>
        <v>67.89</v>
      </c>
      <c r="AB102" s="10">
        <f>Cleaned_data[[#This Row],[Unit_Price]]*Cleaned_data[[#This Row],[Discount_Pct]]</f>
        <v>1.8104</v>
      </c>
      <c r="AC102" s="10">
        <f>Cleaned_data[[#This Row],[Gross Sales]]-Cleaned_data[[#This Row],[Discount amount]]</f>
        <v>66.079599999999999</v>
      </c>
      <c r="AD102" s="10">
        <f>Cleaned_data[[#This Row],[Product Cost]]*Cleaned_data[[#This Row],[Quantity]]</f>
        <v>30</v>
      </c>
      <c r="AE102" s="10">
        <f>Cleaned_data[[#This Row],[Net Sales]]-Cleaned_data[[#This Row],[COGS]]</f>
        <v>36.079599999999999</v>
      </c>
      <c r="AF102" s="11">
        <f>Cleaned_data[[#This Row],[Gross Profit]]/Cleaned_data[[#This Row],[Net Sales]]</f>
        <v>0.54600209444367098</v>
      </c>
      <c r="AG102">
        <f>Cleaned_data[[#This Row],[Ship_Date]]-Cleaned_data[[#This Row],[Order_Date]]</f>
        <v>8</v>
      </c>
      <c r="AH102" t="str">
        <f>IF(Cleaned_data[[#This Row],[Delivery Days]]&gt;10,"late","on time")</f>
        <v>on time</v>
      </c>
      <c r="AI102" t="str">
        <f>TEXT(Cleaned_data[[#This Row],[Order_Date]],"mmmm")</f>
        <v>April</v>
      </c>
      <c r="AJ102" s="9" t="str">
        <f>"Q"&amp;ROUNDUP(MONTH(Cleaned_data[[#This Row],[Order_Date]])/3,0)</f>
        <v>Q2</v>
      </c>
    </row>
    <row r="103" spans="1:36">
      <c r="A103" t="s">
        <v>440</v>
      </c>
      <c r="B103" s="9">
        <v>45388</v>
      </c>
      <c r="C103" s="9">
        <v>45392</v>
      </c>
      <c r="D103" t="s">
        <v>441</v>
      </c>
      <c r="E103" t="s">
        <v>442</v>
      </c>
      <c r="F103" t="s">
        <v>89</v>
      </c>
      <c r="G103" t="s">
        <v>194</v>
      </c>
      <c r="H103" t="s">
        <v>202</v>
      </c>
      <c r="I103" t="s">
        <v>203</v>
      </c>
      <c r="J103" t="s">
        <v>129</v>
      </c>
      <c r="K103" t="s">
        <v>130</v>
      </c>
      <c r="L103" t="s">
        <v>234</v>
      </c>
      <c r="M103" t="s">
        <v>235</v>
      </c>
      <c r="N103" t="s">
        <v>93</v>
      </c>
      <c r="O103" t="s">
        <v>236</v>
      </c>
      <c r="P103" s="8">
        <v>1</v>
      </c>
      <c r="Q103" s="10">
        <v>151.04</v>
      </c>
      <c r="R103" s="11">
        <v>0.09</v>
      </c>
      <c r="S103" s="10">
        <v>22</v>
      </c>
      <c r="T103" t="s">
        <v>134</v>
      </c>
      <c r="U103" t="s">
        <v>85</v>
      </c>
      <c r="V103" s="8">
        <v>1</v>
      </c>
      <c r="W103" t="s">
        <v>1270</v>
      </c>
      <c r="X103" t="str">
        <f>_xlfn.XLOOKUP(Cleaned_data[[#This Row],[Customer_ID]],Customers[S],Customers[Loyalty_Tier])</f>
        <v>Silver</v>
      </c>
      <c r="Y103" s="9">
        <f>_xlfn.XLOOKUP(Cleaned_data[[#This Row],[Customer_ID]],Customers[S],Customers[Signup_Date])</f>
        <v>45142</v>
      </c>
      <c r="Z103" s="12">
        <f>_xlfn.XLOOKUP(Cleaned_data[[#This Row],[SKU]],Products[SKU],Products[Standard_Cost])</f>
        <v>82</v>
      </c>
      <c r="AA103" s="10">
        <f>Cleaned_data[[#This Row],[Quantity]]*Cleaned_data[[#This Row],[Unit_Price]]</f>
        <v>151.04</v>
      </c>
      <c r="AB103" s="10">
        <f>Cleaned_data[[#This Row],[Unit_Price]]*Cleaned_data[[#This Row],[Discount_Pct]]</f>
        <v>13.593599999999999</v>
      </c>
      <c r="AC103" s="10">
        <f>Cleaned_data[[#This Row],[Gross Sales]]-Cleaned_data[[#This Row],[Discount amount]]</f>
        <v>137.44639999999998</v>
      </c>
      <c r="AD103" s="10">
        <f>Cleaned_data[[#This Row],[Product Cost]]*Cleaned_data[[#This Row],[Quantity]]</f>
        <v>82</v>
      </c>
      <c r="AE103" s="10">
        <f>Cleaned_data[[#This Row],[Net Sales]]-Cleaned_data[[#This Row],[COGS]]</f>
        <v>55.446399999999983</v>
      </c>
      <c r="AF103" s="11">
        <f>Cleaned_data[[#This Row],[Gross Profit]]/Cleaned_data[[#This Row],[Net Sales]]</f>
        <v>0.4034037995902402</v>
      </c>
      <c r="AG103">
        <f>Cleaned_data[[#This Row],[Ship_Date]]-Cleaned_data[[#This Row],[Order_Date]]</f>
        <v>4</v>
      </c>
      <c r="AH103" t="str">
        <f>IF(Cleaned_data[[#This Row],[Delivery Days]]&gt;10,"late","on time")</f>
        <v>on time</v>
      </c>
      <c r="AI103" t="str">
        <f>TEXT(Cleaned_data[[#This Row],[Order_Date]],"mmmm")</f>
        <v>April</v>
      </c>
      <c r="AJ103" s="9" t="str">
        <f>"Q"&amp;ROUNDUP(MONTH(Cleaned_data[[#This Row],[Order_Date]])/3,0)</f>
        <v>Q2</v>
      </c>
    </row>
    <row r="104" spans="1:36">
      <c r="A104" t="s">
        <v>443</v>
      </c>
      <c r="B104" s="9">
        <v>45389</v>
      </c>
      <c r="C104" s="9">
        <v>45395</v>
      </c>
      <c r="D104" t="s">
        <v>276</v>
      </c>
      <c r="E104" t="s">
        <v>277</v>
      </c>
      <c r="F104" t="s">
        <v>152</v>
      </c>
      <c r="G104" t="s">
        <v>75</v>
      </c>
      <c r="H104" t="s">
        <v>212</v>
      </c>
      <c r="I104" t="s">
        <v>213</v>
      </c>
      <c r="J104" t="s">
        <v>78</v>
      </c>
      <c r="K104" t="s">
        <v>79</v>
      </c>
      <c r="L104" t="s">
        <v>214</v>
      </c>
      <c r="M104" t="s">
        <v>215</v>
      </c>
      <c r="N104" t="s">
        <v>103</v>
      </c>
      <c r="O104" t="s">
        <v>171</v>
      </c>
      <c r="P104" s="8">
        <v>10</v>
      </c>
      <c r="Q104" s="10">
        <v>11.41</v>
      </c>
      <c r="R104" s="11">
        <v>0.02</v>
      </c>
      <c r="S104" s="10">
        <v>10.47</v>
      </c>
      <c r="T104" t="s">
        <v>84</v>
      </c>
      <c r="U104" t="s">
        <v>85</v>
      </c>
      <c r="V104" s="8">
        <v>4</v>
      </c>
      <c r="W104" t="s">
        <v>1270</v>
      </c>
      <c r="X104" t="str">
        <f>_xlfn.XLOOKUP(Cleaned_data[[#This Row],[Customer_ID]],Customers[S],Customers[Loyalty_Tier])</f>
        <v>Silver</v>
      </c>
      <c r="Y104" s="9">
        <f>_xlfn.XLOOKUP(Cleaned_data[[#This Row],[Customer_ID]],Customers[S],Customers[Signup_Date])</f>
        <v>44291</v>
      </c>
      <c r="Z104" s="12">
        <f>_xlfn.XLOOKUP(Cleaned_data[[#This Row],[SKU]],Products[SKU],Products[Standard_Cost])</f>
        <v>5</v>
      </c>
      <c r="AA104" s="10">
        <f>Cleaned_data[[#This Row],[Quantity]]*Cleaned_data[[#This Row],[Unit_Price]]</f>
        <v>114.1</v>
      </c>
      <c r="AB104" s="10">
        <f>Cleaned_data[[#This Row],[Unit_Price]]*Cleaned_data[[#This Row],[Discount_Pct]]</f>
        <v>0.22820000000000001</v>
      </c>
      <c r="AC104" s="10">
        <f>Cleaned_data[[#This Row],[Gross Sales]]-Cleaned_data[[#This Row],[Discount amount]]</f>
        <v>113.87179999999999</v>
      </c>
      <c r="AD104" s="10">
        <f>Cleaned_data[[#This Row],[Product Cost]]*Cleaned_data[[#This Row],[Quantity]]</f>
        <v>50</v>
      </c>
      <c r="AE104" s="10">
        <f>Cleaned_data[[#This Row],[Net Sales]]-Cleaned_data[[#This Row],[COGS]]</f>
        <v>63.871799999999993</v>
      </c>
      <c r="AF104" s="11">
        <f>Cleaned_data[[#This Row],[Gross Profit]]/Cleaned_data[[#This Row],[Net Sales]]</f>
        <v>0.56090972479577905</v>
      </c>
      <c r="AG104">
        <f>Cleaned_data[[#This Row],[Ship_Date]]-Cleaned_data[[#This Row],[Order_Date]]</f>
        <v>6</v>
      </c>
      <c r="AH104" t="str">
        <f>IF(Cleaned_data[[#This Row],[Delivery Days]]&gt;10,"late","on time")</f>
        <v>on time</v>
      </c>
      <c r="AI104" t="str">
        <f>TEXT(Cleaned_data[[#This Row],[Order_Date]],"mmmm")</f>
        <v>April</v>
      </c>
      <c r="AJ104" s="9" t="str">
        <f>"Q"&amp;ROUNDUP(MONTH(Cleaned_data[[#This Row],[Order_Date]])/3,0)</f>
        <v>Q2</v>
      </c>
    </row>
    <row r="105" spans="1:36">
      <c r="A105" t="s">
        <v>444</v>
      </c>
      <c r="B105" s="9">
        <v>45390</v>
      </c>
      <c r="C105" s="9">
        <v>45399</v>
      </c>
      <c r="D105" t="s">
        <v>445</v>
      </c>
      <c r="E105" t="s">
        <v>446</v>
      </c>
      <c r="F105" t="s">
        <v>152</v>
      </c>
      <c r="G105" t="s">
        <v>126</v>
      </c>
      <c r="H105" t="s">
        <v>160</v>
      </c>
      <c r="I105" t="s">
        <v>182</v>
      </c>
      <c r="J105" t="s">
        <v>219</v>
      </c>
      <c r="K105" t="s">
        <v>79</v>
      </c>
      <c r="L105" t="s">
        <v>249</v>
      </c>
      <c r="M105" t="s">
        <v>250</v>
      </c>
      <c r="N105" t="s">
        <v>103</v>
      </c>
      <c r="O105" t="s">
        <v>251</v>
      </c>
      <c r="P105" s="8">
        <v>6</v>
      </c>
      <c r="Q105" s="10">
        <v>21.46</v>
      </c>
      <c r="R105" s="11">
        <v>0.08</v>
      </c>
      <c r="S105" s="10">
        <v>9.7200000000000006</v>
      </c>
      <c r="T105" t="s">
        <v>105</v>
      </c>
      <c r="U105" t="s">
        <v>85</v>
      </c>
      <c r="V105" s="8">
        <v>4</v>
      </c>
      <c r="W105" t="s">
        <v>1270</v>
      </c>
      <c r="X105" t="str">
        <f>_xlfn.XLOOKUP(Cleaned_data[[#This Row],[Customer_ID]],Customers[S],Customers[Loyalty_Tier])</f>
        <v>Bronze</v>
      </c>
      <c r="Y105" s="9">
        <f>_xlfn.XLOOKUP(Cleaned_data[[#This Row],[Customer_ID]],Customers[S],Customers[Signup_Date])</f>
        <v>45690</v>
      </c>
      <c r="Z105" s="12">
        <f>_xlfn.XLOOKUP(Cleaned_data[[#This Row],[SKU]],Products[SKU],Products[Standard_Cost])</f>
        <v>10</v>
      </c>
      <c r="AA105" s="10">
        <f>Cleaned_data[[#This Row],[Quantity]]*Cleaned_data[[#This Row],[Unit_Price]]</f>
        <v>128.76</v>
      </c>
      <c r="AB105" s="10">
        <f>Cleaned_data[[#This Row],[Unit_Price]]*Cleaned_data[[#This Row],[Discount_Pct]]</f>
        <v>1.7168000000000001</v>
      </c>
      <c r="AC105" s="10">
        <f>Cleaned_data[[#This Row],[Gross Sales]]-Cleaned_data[[#This Row],[Discount amount]]</f>
        <v>127.04319999999998</v>
      </c>
      <c r="AD105" s="10">
        <f>Cleaned_data[[#This Row],[Product Cost]]*Cleaned_data[[#This Row],[Quantity]]</f>
        <v>60</v>
      </c>
      <c r="AE105" s="10">
        <f>Cleaned_data[[#This Row],[Net Sales]]-Cleaned_data[[#This Row],[COGS]]</f>
        <v>67.043199999999985</v>
      </c>
      <c r="AF105" s="11">
        <f>Cleaned_data[[#This Row],[Gross Profit]]/Cleaned_data[[#This Row],[Net Sales]]</f>
        <v>0.52771970479333008</v>
      </c>
      <c r="AG105">
        <f>Cleaned_data[[#This Row],[Ship_Date]]-Cleaned_data[[#This Row],[Order_Date]]</f>
        <v>9</v>
      </c>
      <c r="AH105" t="str">
        <f>IF(Cleaned_data[[#This Row],[Delivery Days]]&gt;10,"late","on time")</f>
        <v>on time</v>
      </c>
      <c r="AI105" t="str">
        <f>TEXT(Cleaned_data[[#This Row],[Order_Date]],"mmmm")</f>
        <v>April</v>
      </c>
      <c r="AJ105" s="9" t="str">
        <f>"Q"&amp;ROUNDUP(MONTH(Cleaned_data[[#This Row],[Order_Date]])/3,0)</f>
        <v>Q2</v>
      </c>
    </row>
    <row r="106" spans="1:36">
      <c r="A106" t="s">
        <v>447</v>
      </c>
      <c r="B106" s="9">
        <v>45391</v>
      </c>
      <c r="C106" s="9">
        <v>45395</v>
      </c>
      <c r="D106" t="s">
        <v>448</v>
      </c>
      <c r="E106" t="s">
        <v>449</v>
      </c>
      <c r="F106" t="s">
        <v>89</v>
      </c>
      <c r="G106" t="s">
        <v>126</v>
      </c>
      <c r="H106" t="s">
        <v>160</v>
      </c>
      <c r="I106" t="s">
        <v>182</v>
      </c>
      <c r="J106" t="s">
        <v>219</v>
      </c>
      <c r="K106" t="s">
        <v>147</v>
      </c>
      <c r="L106" t="s">
        <v>254</v>
      </c>
      <c r="M106" t="s">
        <v>255</v>
      </c>
      <c r="N106" t="s">
        <v>82</v>
      </c>
      <c r="O106" t="s">
        <v>83</v>
      </c>
      <c r="P106" s="8">
        <v>2</v>
      </c>
      <c r="Q106" s="10">
        <v>99.5</v>
      </c>
      <c r="R106" s="11">
        <v>0.18</v>
      </c>
      <c r="S106" s="10">
        <v>16.62</v>
      </c>
      <c r="T106" t="s">
        <v>84</v>
      </c>
      <c r="U106" t="s">
        <v>85</v>
      </c>
      <c r="W106" t="s">
        <v>1270</v>
      </c>
      <c r="X106" t="str">
        <f>_xlfn.XLOOKUP(Cleaned_data[[#This Row],[Customer_ID]],Customers[S],Customers[Loyalty_Tier])</f>
        <v>Bronze</v>
      </c>
      <c r="Y106" s="9">
        <f>_xlfn.XLOOKUP(Cleaned_data[[#This Row],[Customer_ID]],Customers[S],Customers[Signup_Date])</f>
        <v>44278</v>
      </c>
      <c r="Z106" s="12">
        <f>_xlfn.XLOOKUP(Cleaned_data[[#This Row],[SKU]],Products[SKU],Products[Standard_Cost])</f>
        <v>48</v>
      </c>
      <c r="AA106" s="10">
        <f>Cleaned_data[[#This Row],[Quantity]]*Cleaned_data[[#This Row],[Unit_Price]]</f>
        <v>199</v>
      </c>
      <c r="AB106" s="10">
        <f>Cleaned_data[[#This Row],[Unit_Price]]*Cleaned_data[[#This Row],[Discount_Pct]]</f>
        <v>17.91</v>
      </c>
      <c r="AC106" s="10">
        <f>Cleaned_data[[#This Row],[Gross Sales]]-Cleaned_data[[#This Row],[Discount amount]]</f>
        <v>181.09</v>
      </c>
      <c r="AD106" s="10">
        <f>Cleaned_data[[#This Row],[Product Cost]]*Cleaned_data[[#This Row],[Quantity]]</f>
        <v>96</v>
      </c>
      <c r="AE106" s="10">
        <f>Cleaned_data[[#This Row],[Net Sales]]-Cleaned_data[[#This Row],[COGS]]</f>
        <v>85.09</v>
      </c>
      <c r="AF106" s="11">
        <f>Cleaned_data[[#This Row],[Gross Profit]]/Cleaned_data[[#This Row],[Net Sales]]</f>
        <v>0.46987685681153019</v>
      </c>
      <c r="AG106">
        <f>Cleaned_data[[#This Row],[Ship_Date]]-Cleaned_data[[#This Row],[Order_Date]]</f>
        <v>4</v>
      </c>
      <c r="AH106" t="str">
        <f>IF(Cleaned_data[[#This Row],[Delivery Days]]&gt;10,"late","on time")</f>
        <v>on time</v>
      </c>
      <c r="AI106" t="str">
        <f>TEXT(Cleaned_data[[#This Row],[Order_Date]],"mmmm")</f>
        <v>April</v>
      </c>
      <c r="AJ106" s="9" t="str">
        <f>"Q"&amp;ROUNDUP(MONTH(Cleaned_data[[#This Row],[Order_Date]])/3,0)</f>
        <v>Q2</v>
      </c>
    </row>
    <row r="107" spans="1:36">
      <c r="A107" t="s">
        <v>450</v>
      </c>
      <c r="B107" s="9">
        <v>45391</v>
      </c>
      <c r="C107" s="9">
        <v>45392</v>
      </c>
      <c r="D107" t="s">
        <v>451</v>
      </c>
      <c r="E107" t="s">
        <v>452</v>
      </c>
      <c r="F107" t="s">
        <v>89</v>
      </c>
      <c r="G107" t="s">
        <v>126</v>
      </c>
      <c r="H107" t="s">
        <v>160</v>
      </c>
      <c r="I107" t="s">
        <v>161</v>
      </c>
      <c r="J107" t="s">
        <v>109</v>
      </c>
      <c r="K107" t="s">
        <v>168</v>
      </c>
      <c r="L107" t="s">
        <v>359</v>
      </c>
      <c r="M107" t="s">
        <v>360</v>
      </c>
      <c r="N107" t="s">
        <v>93</v>
      </c>
      <c r="O107" t="s">
        <v>94</v>
      </c>
      <c r="P107" s="8">
        <v>3</v>
      </c>
      <c r="Q107" s="10">
        <v>469.11</v>
      </c>
      <c r="R107" s="11">
        <v>0.08</v>
      </c>
      <c r="S107" s="10">
        <v>19.09</v>
      </c>
      <c r="T107" t="s">
        <v>122</v>
      </c>
      <c r="U107" t="s">
        <v>85</v>
      </c>
      <c r="V107" s="8">
        <v>5</v>
      </c>
      <c r="W107" t="s">
        <v>1270</v>
      </c>
      <c r="X107" t="str">
        <f>_xlfn.XLOOKUP(Cleaned_data[[#This Row],[Customer_ID]],Customers[S],Customers[Loyalty_Tier])</f>
        <v>Silver</v>
      </c>
      <c r="Y107" s="9">
        <f>_xlfn.XLOOKUP(Cleaned_data[[#This Row],[Customer_ID]],Customers[S],Customers[Signup_Date])</f>
        <v>45495</v>
      </c>
      <c r="Z107" s="12">
        <f>_xlfn.XLOOKUP(Cleaned_data[[#This Row],[SKU]],Products[SKU],Products[Standard_Cost])</f>
        <v>265</v>
      </c>
      <c r="AA107" s="10">
        <f>Cleaned_data[[#This Row],[Quantity]]*Cleaned_data[[#This Row],[Unit_Price]]</f>
        <v>1407.33</v>
      </c>
      <c r="AB107" s="10">
        <f>Cleaned_data[[#This Row],[Unit_Price]]*Cleaned_data[[#This Row],[Discount_Pct]]</f>
        <v>37.528800000000004</v>
      </c>
      <c r="AC107" s="10">
        <f>Cleaned_data[[#This Row],[Gross Sales]]-Cleaned_data[[#This Row],[Discount amount]]</f>
        <v>1369.8011999999999</v>
      </c>
      <c r="AD107" s="10">
        <f>Cleaned_data[[#This Row],[Product Cost]]*Cleaned_data[[#This Row],[Quantity]]</f>
        <v>795</v>
      </c>
      <c r="AE107" s="10">
        <f>Cleaned_data[[#This Row],[Net Sales]]-Cleaned_data[[#This Row],[COGS]]</f>
        <v>574.80119999999988</v>
      </c>
      <c r="AF107" s="11">
        <f>Cleaned_data[[#This Row],[Gross Profit]]/Cleaned_data[[#This Row],[Net Sales]]</f>
        <v>0.41962381110485225</v>
      </c>
      <c r="AG107">
        <f>Cleaned_data[[#This Row],[Ship_Date]]-Cleaned_data[[#This Row],[Order_Date]]</f>
        <v>1</v>
      </c>
      <c r="AH107" t="str">
        <f>IF(Cleaned_data[[#This Row],[Delivery Days]]&gt;10,"late","on time")</f>
        <v>on time</v>
      </c>
      <c r="AI107" t="str">
        <f>TEXT(Cleaned_data[[#This Row],[Order_Date]],"mmmm")</f>
        <v>April</v>
      </c>
      <c r="AJ107" s="9" t="str">
        <f>"Q"&amp;ROUNDUP(MONTH(Cleaned_data[[#This Row],[Order_Date]])/3,0)</f>
        <v>Q2</v>
      </c>
    </row>
    <row r="108" spans="1:36">
      <c r="A108" t="s">
        <v>453</v>
      </c>
      <c r="B108" s="9">
        <v>45393</v>
      </c>
      <c r="C108" s="9">
        <v>45402</v>
      </c>
      <c r="D108" t="s">
        <v>454</v>
      </c>
      <c r="E108" t="s">
        <v>329</v>
      </c>
      <c r="F108" t="s">
        <v>89</v>
      </c>
      <c r="G108" t="s">
        <v>75</v>
      </c>
      <c r="H108" t="s">
        <v>212</v>
      </c>
      <c r="I108" t="s">
        <v>213</v>
      </c>
      <c r="J108" t="s">
        <v>219</v>
      </c>
      <c r="K108" t="s">
        <v>168</v>
      </c>
      <c r="L108" t="s">
        <v>131</v>
      </c>
      <c r="M108" t="s">
        <v>132</v>
      </c>
      <c r="N108" t="s">
        <v>120</v>
      </c>
      <c r="O108" t="s">
        <v>133</v>
      </c>
      <c r="P108" s="8">
        <v>2</v>
      </c>
      <c r="Q108" s="10">
        <v>92.05</v>
      </c>
      <c r="R108" s="11">
        <v>0.01</v>
      </c>
      <c r="S108" s="10">
        <v>10</v>
      </c>
      <c r="T108" t="s">
        <v>84</v>
      </c>
      <c r="U108" t="s">
        <v>85</v>
      </c>
      <c r="V108" s="8">
        <v>3</v>
      </c>
      <c r="W108" t="s">
        <v>1270</v>
      </c>
      <c r="X108" t="str">
        <f>_xlfn.XLOOKUP(Cleaned_data[[#This Row],[Customer_ID]],Customers[S],Customers[Loyalty_Tier])</f>
        <v>Gold</v>
      </c>
      <c r="Y108" s="9">
        <f>_xlfn.XLOOKUP(Cleaned_data[[#This Row],[Customer_ID]],Customers[S],Customers[Signup_Date])</f>
        <v>45538</v>
      </c>
      <c r="Z108" s="12">
        <f>_xlfn.XLOOKUP(Cleaned_data[[#This Row],[SKU]],Products[SKU],Products[Standard_Cost])</f>
        <v>44</v>
      </c>
      <c r="AA108" s="10">
        <f>Cleaned_data[[#This Row],[Quantity]]*Cleaned_data[[#This Row],[Unit_Price]]</f>
        <v>184.1</v>
      </c>
      <c r="AB108" s="10">
        <f>Cleaned_data[[#This Row],[Unit_Price]]*Cleaned_data[[#This Row],[Discount_Pct]]</f>
        <v>0.92049999999999998</v>
      </c>
      <c r="AC108" s="10">
        <f>Cleaned_data[[#This Row],[Gross Sales]]-Cleaned_data[[#This Row],[Discount amount]]</f>
        <v>183.17949999999999</v>
      </c>
      <c r="AD108" s="10">
        <f>Cleaned_data[[#This Row],[Product Cost]]*Cleaned_data[[#This Row],[Quantity]]</f>
        <v>88</v>
      </c>
      <c r="AE108" s="10">
        <f>Cleaned_data[[#This Row],[Net Sales]]-Cleaned_data[[#This Row],[COGS]]</f>
        <v>95.17949999999999</v>
      </c>
      <c r="AF108" s="11">
        <f>Cleaned_data[[#This Row],[Gross Profit]]/Cleaned_data[[#This Row],[Net Sales]]</f>
        <v>0.51959689812451715</v>
      </c>
      <c r="AG108">
        <f>Cleaned_data[[#This Row],[Ship_Date]]-Cleaned_data[[#This Row],[Order_Date]]</f>
        <v>9</v>
      </c>
      <c r="AH108" t="str">
        <f>IF(Cleaned_data[[#This Row],[Delivery Days]]&gt;10,"late","on time")</f>
        <v>on time</v>
      </c>
      <c r="AI108" t="str">
        <f>TEXT(Cleaned_data[[#This Row],[Order_Date]],"mmmm")</f>
        <v>April</v>
      </c>
      <c r="AJ108" s="9" t="str">
        <f>"Q"&amp;ROUNDUP(MONTH(Cleaned_data[[#This Row],[Order_Date]])/3,0)</f>
        <v>Q2</v>
      </c>
    </row>
    <row r="109" spans="1:36">
      <c r="A109" t="s">
        <v>455</v>
      </c>
      <c r="B109" s="9">
        <v>45393</v>
      </c>
      <c r="C109" s="9">
        <v>45402</v>
      </c>
      <c r="D109" t="s">
        <v>456</v>
      </c>
      <c r="E109" t="s">
        <v>369</v>
      </c>
      <c r="F109" t="s">
        <v>89</v>
      </c>
      <c r="G109" t="s">
        <v>138</v>
      </c>
      <c r="H109" t="s">
        <v>457</v>
      </c>
      <c r="I109" t="s">
        <v>458</v>
      </c>
      <c r="J109" t="s">
        <v>109</v>
      </c>
      <c r="K109" t="s">
        <v>147</v>
      </c>
      <c r="L109" t="s">
        <v>169</v>
      </c>
      <c r="M109" t="s">
        <v>170</v>
      </c>
      <c r="N109" t="s">
        <v>103</v>
      </c>
      <c r="O109" t="s">
        <v>171</v>
      </c>
      <c r="P109" s="8">
        <v>10</v>
      </c>
      <c r="Q109" s="10">
        <v>14.94</v>
      </c>
      <c r="R109" s="11">
        <v>0.11</v>
      </c>
      <c r="S109" s="10">
        <v>11.12</v>
      </c>
      <c r="T109" t="s">
        <v>134</v>
      </c>
      <c r="U109" t="s">
        <v>85</v>
      </c>
      <c r="V109" s="8">
        <v>1</v>
      </c>
      <c r="W109" t="s">
        <v>1270</v>
      </c>
      <c r="X109" t="str">
        <f>_xlfn.XLOOKUP(Cleaned_data[[#This Row],[Customer_ID]],Customers[S],Customers[Loyalty_Tier])</f>
        <v>Bronze</v>
      </c>
      <c r="Y109" s="9">
        <f>_xlfn.XLOOKUP(Cleaned_data[[#This Row],[Customer_ID]],Customers[S],Customers[Signup_Date])</f>
        <v>44735</v>
      </c>
      <c r="Z109" s="12">
        <f>_xlfn.XLOOKUP(Cleaned_data[[#This Row],[SKU]],Products[SKU],Products[Standard_Cost])</f>
        <v>6</v>
      </c>
      <c r="AA109" s="10">
        <f>Cleaned_data[[#This Row],[Quantity]]*Cleaned_data[[#This Row],[Unit_Price]]</f>
        <v>149.4</v>
      </c>
      <c r="AB109" s="10">
        <f>Cleaned_data[[#This Row],[Unit_Price]]*Cleaned_data[[#This Row],[Discount_Pct]]</f>
        <v>1.6434</v>
      </c>
      <c r="AC109" s="10">
        <f>Cleaned_data[[#This Row],[Gross Sales]]-Cleaned_data[[#This Row],[Discount amount]]</f>
        <v>147.75659999999999</v>
      </c>
      <c r="AD109" s="10">
        <f>Cleaned_data[[#This Row],[Product Cost]]*Cleaned_data[[#This Row],[Quantity]]</f>
        <v>60</v>
      </c>
      <c r="AE109" s="10">
        <f>Cleaned_data[[#This Row],[Net Sales]]-Cleaned_data[[#This Row],[COGS]]</f>
        <v>87.756599999999992</v>
      </c>
      <c r="AF109" s="11">
        <f>Cleaned_data[[#This Row],[Gross Profit]]/Cleaned_data[[#This Row],[Net Sales]]</f>
        <v>0.59392676875347694</v>
      </c>
      <c r="AG109">
        <f>Cleaned_data[[#This Row],[Ship_Date]]-Cleaned_data[[#This Row],[Order_Date]]</f>
        <v>9</v>
      </c>
      <c r="AH109" t="str">
        <f>IF(Cleaned_data[[#This Row],[Delivery Days]]&gt;10,"late","on time")</f>
        <v>on time</v>
      </c>
      <c r="AI109" t="str">
        <f>TEXT(Cleaned_data[[#This Row],[Order_Date]],"mmmm")</f>
        <v>April</v>
      </c>
      <c r="AJ109" s="9" t="str">
        <f>"Q"&amp;ROUNDUP(MONTH(Cleaned_data[[#This Row],[Order_Date]])/3,0)</f>
        <v>Q2</v>
      </c>
    </row>
    <row r="110" spans="1:36">
      <c r="A110" t="s">
        <v>459</v>
      </c>
      <c r="B110" s="9">
        <v>45394</v>
      </c>
      <c r="C110" s="9">
        <v>45401</v>
      </c>
      <c r="D110" t="s">
        <v>460</v>
      </c>
      <c r="E110" t="s">
        <v>461</v>
      </c>
      <c r="F110" t="s">
        <v>74</v>
      </c>
      <c r="G110" t="s">
        <v>75</v>
      </c>
      <c r="H110" t="s">
        <v>273</v>
      </c>
      <c r="I110" t="s">
        <v>274</v>
      </c>
      <c r="J110" t="s">
        <v>78</v>
      </c>
      <c r="K110" t="s">
        <v>168</v>
      </c>
      <c r="L110" t="s">
        <v>169</v>
      </c>
      <c r="M110" t="s">
        <v>170</v>
      </c>
      <c r="N110" t="s">
        <v>103</v>
      </c>
      <c r="O110" t="s">
        <v>171</v>
      </c>
      <c r="P110" s="8">
        <v>2</v>
      </c>
      <c r="Q110" s="10">
        <v>14.68</v>
      </c>
      <c r="R110" s="11">
        <v>0.1</v>
      </c>
      <c r="S110" s="10">
        <v>12.99</v>
      </c>
      <c r="T110" t="s">
        <v>84</v>
      </c>
      <c r="U110" t="s">
        <v>85</v>
      </c>
      <c r="V110" s="8">
        <v>1</v>
      </c>
      <c r="W110" t="s">
        <v>1270</v>
      </c>
      <c r="X110" t="str">
        <f>_xlfn.XLOOKUP(Cleaned_data[[#This Row],[Customer_ID]],Customers[S],Customers[Loyalty_Tier])</f>
        <v>Gold</v>
      </c>
      <c r="Y110" s="9">
        <f>_xlfn.XLOOKUP(Cleaned_data[[#This Row],[Customer_ID]],Customers[S],Customers[Signup_Date])</f>
        <v>45647</v>
      </c>
      <c r="Z110" s="12">
        <f>_xlfn.XLOOKUP(Cleaned_data[[#This Row],[SKU]],Products[SKU],Products[Standard_Cost])</f>
        <v>6</v>
      </c>
      <c r="AA110" s="10">
        <f>Cleaned_data[[#This Row],[Quantity]]*Cleaned_data[[#This Row],[Unit_Price]]</f>
        <v>29.36</v>
      </c>
      <c r="AB110" s="10">
        <f>Cleaned_data[[#This Row],[Unit_Price]]*Cleaned_data[[#This Row],[Discount_Pct]]</f>
        <v>1.468</v>
      </c>
      <c r="AC110" s="10">
        <f>Cleaned_data[[#This Row],[Gross Sales]]-Cleaned_data[[#This Row],[Discount amount]]</f>
        <v>27.891999999999999</v>
      </c>
      <c r="AD110" s="10">
        <f>Cleaned_data[[#This Row],[Product Cost]]*Cleaned_data[[#This Row],[Quantity]]</f>
        <v>12</v>
      </c>
      <c r="AE110" s="10">
        <f>Cleaned_data[[#This Row],[Net Sales]]-Cleaned_data[[#This Row],[COGS]]</f>
        <v>15.891999999999999</v>
      </c>
      <c r="AF110" s="11">
        <f>Cleaned_data[[#This Row],[Gross Profit]]/Cleaned_data[[#This Row],[Net Sales]]</f>
        <v>0.5697691094220565</v>
      </c>
      <c r="AG110">
        <f>Cleaned_data[[#This Row],[Ship_Date]]-Cleaned_data[[#This Row],[Order_Date]]</f>
        <v>7</v>
      </c>
      <c r="AH110" t="str">
        <f>IF(Cleaned_data[[#This Row],[Delivery Days]]&gt;10,"late","on time")</f>
        <v>on time</v>
      </c>
      <c r="AI110" t="str">
        <f>TEXT(Cleaned_data[[#This Row],[Order_Date]],"mmmm")</f>
        <v>April</v>
      </c>
      <c r="AJ110" s="9" t="str">
        <f>"Q"&amp;ROUNDUP(MONTH(Cleaned_data[[#This Row],[Order_Date]])/3,0)</f>
        <v>Q2</v>
      </c>
    </row>
    <row r="111" spans="1:36">
      <c r="A111" t="s">
        <v>462</v>
      </c>
      <c r="B111" s="9">
        <v>45394</v>
      </c>
      <c r="C111" s="9">
        <v>45404</v>
      </c>
      <c r="D111" t="s">
        <v>463</v>
      </c>
      <c r="E111" t="s">
        <v>464</v>
      </c>
      <c r="F111" t="s">
        <v>152</v>
      </c>
      <c r="G111" t="s">
        <v>194</v>
      </c>
      <c r="H111" t="s">
        <v>202</v>
      </c>
      <c r="I111" t="s">
        <v>203</v>
      </c>
      <c r="J111" t="s">
        <v>78</v>
      </c>
      <c r="K111" t="s">
        <v>168</v>
      </c>
      <c r="L111" t="s">
        <v>131</v>
      </c>
      <c r="M111" t="s">
        <v>132</v>
      </c>
      <c r="N111" t="s">
        <v>120</v>
      </c>
      <c r="O111" t="s">
        <v>133</v>
      </c>
      <c r="P111" s="8">
        <v>1</v>
      </c>
      <c r="Q111" s="10">
        <v>88.93</v>
      </c>
      <c r="R111" s="11">
        <v>0.23</v>
      </c>
      <c r="S111" s="10">
        <v>10.34</v>
      </c>
      <c r="T111" t="s">
        <v>122</v>
      </c>
      <c r="U111" t="s">
        <v>85</v>
      </c>
      <c r="V111" s="8">
        <v>5</v>
      </c>
      <c r="W111" t="s">
        <v>1270</v>
      </c>
      <c r="X111" t="str">
        <f>_xlfn.XLOOKUP(Cleaned_data[[#This Row],[Customer_ID]],Customers[S],Customers[Loyalty_Tier])</f>
        <v>Silver</v>
      </c>
      <c r="Y111" s="9">
        <f>_xlfn.XLOOKUP(Cleaned_data[[#This Row],[Customer_ID]],Customers[S],Customers[Signup_Date])</f>
        <v>45862</v>
      </c>
      <c r="Z111" s="12">
        <f>_xlfn.XLOOKUP(Cleaned_data[[#This Row],[SKU]],Products[SKU],Products[Standard_Cost])</f>
        <v>44</v>
      </c>
      <c r="AA111" s="10">
        <f>Cleaned_data[[#This Row],[Quantity]]*Cleaned_data[[#This Row],[Unit_Price]]</f>
        <v>88.93</v>
      </c>
      <c r="AB111" s="10">
        <f>Cleaned_data[[#This Row],[Unit_Price]]*Cleaned_data[[#This Row],[Discount_Pct]]</f>
        <v>20.453900000000001</v>
      </c>
      <c r="AC111" s="10">
        <f>Cleaned_data[[#This Row],[Gross Sales]]-Cleaned_data[[#This Row],[Discount amount]]</f>
        <v>68.476100000000002</v>
      </c>
      <c r="AD111" s="10">
        <f>Cleaned_data[[#This Row],[Product Cost]]*Cleaned_data[[#This Row],[Quantity]]</f>
        <v>44</v>
      </c>
      <c r="AE111" s="10">
        <f>Cleaned_data[[#This Row],[Net Sales]]-Cleaned_data[[#This Row],[COGS]]</f>
        <v>24.476100000000002</v>
      </c>
      <c r="AF111" s="11">
        <f>Cleaned_data[[#This Row],[Gross Profit]]/Cleaned_data[[#This Row],[Net Sales]]</f>
        <v>0.35744004112383737</v>
      </c>
      <c r="AG111">
        <f>Cleaned_data[[#This Row],[Ship_Date]]-Cleaned_data[[#This Row],[Order_Date]]</f>
        <v>10</v>
      </c>
      <c r="AH111" t="str">
        <f>IF(Cleaned_data[[#This Row],[Delivery Days]]&gt;10,"late","on time")</f>
        <v>on time</v>
      </c>
      <c r="AI111" t="str">
        <f>TEXT(Cleaned_data[[#This Row],[Order_Date]],"mmmm")</f>
        <v>April</v>
      </c>
      <c r="AJ111" s="9" t="str">
        <f>"Q"&amp;ROUNDUP(MONTH(Cleaned_data[[#This Row],[Order_Date]])/3,0)</f>
        <v>Q2</v>
      </c>
    </row>
    <row r="112" spans="1:36">
      <c r="A112" t="s">
        <v>465</v>
      </c>
      <c r="B112" s="9">
        <v>45395</v>
      </c>
      <c r="C112" s="9">
        <v>45397</v>
      </c>
      <c r="D112" t="s">
        <v>454</v>
      </c>
      <c r="E112" t="s">
        <v>329</v>
      </c>
      <c r="F112" t="s">
        <v>89</v>
      </c>
      <c r="G112" t="s">
        <v>75</v>
      </c>
      <c r="H112" t="s">
        <v>212</v>
      </c>
      <c r="I112" t="s">
        <v>213</v>
      </c>
      <c r="J112" t="s">
        <v>219</v>
      </c>
      <c r="K112" t="s">
        <v>100</v>
      </c>
      <c r="L112" t="s">
        <v>242</v>
      </c>
      <c r="M112" t="s">
        <v>243</v>
      </c>
      <c r="N112" t="s">
        <v>120</v>
      </c>
      <c r="O112" t="s">
        <v>133</v>
      </c>
      <c r="P112" s="8">
        <v>4</v>
      </c>
      <c r="Q112" s="10">
        <v>193.4</v>
      </c>
      <c r="R112" s="11">
        <v>0.01</v>
      </c>
      <c r="S112" s="10">
        <v>18.190000000000001</v>
      </c>
      <c r="T112" t="s">
        <v>84</v>
      </c>
      <c r="U112" t="s">
        <v>85</v>
      </c>
      <c r="V112" s="8">
        <v>4</v>
      </c>
      <c r="W112" t="s">
        <v>1270</v>
      </c>
      <c r="X112" t="str">
        <f>_xlfn.XLOOKUP(Cleaned_data[[#This Row],[Customer_ID]],Customers[S],Customers[Loyalty_Tier])</f>
        <v>Gold</v>
      </c>
      <c r="Y112" s="9">
        <f>_xlfn.XLOOKUP(Cleaned_data[[#This Row],[Customer_ID]],Customers[S],Customers[Signup_Date])</f>
        <v>45538</v>
      </c>
      <c r="Z112" s="12">
        <f>_xlfn.XLOOKUP(Cleaned_data[[#This Row],[SKU]],Products[SKU],Products[Standard_Cost])</f>
        <v>96</v>
      </c>
      <c r="AA112" s="10">
        <f>Cleaned_data[[#This Row],[Quantity]]*Cleaned_data[[#This Row],[Unit_Price]]</f>
        <v>773.6</v>
      </c>
      <c r="AB112" s="10">
        <f>Cleaned_data[[#This Row],[Unit_Price]]*Cleaned_data[[#This Row],[Discount_Pct]]</f>
        <v>1.9340000000000002</v>
      </c>
      <c r="AC112" s="10">
        <f>Cleaned_data[[#This Row],[Gross Sales]]-Cleaned_data[[#This Row],[Discount amount]]</f>
        <v>771.66600000000005</v>
      </c>
      <c r="AD112" s="10">
        <f>Cleaned_data[[#This Row],[Product Cost]]*Cleaned_data[[#This Row],[Quantity]]</f>
        <v>384</v>
      </c>
      <c r="AE112" s="10">
        <f>Cleaned_data[[#This Row],[Net Sales]]-Cleaned_data[[#This Row],[COGS]]</f>
        <v>387.66600000000005</v>
      </c>
      <c r="AF112" s="11">
        <f>Cleaned_data[[#This Row],[Gross Profit]]/Cleaned_data[[#This Row],[Net Sales]]</f>
        <v>0.50237538002192661</v>
      </c>
      <c r="AG112">
        <f>Cleaned_data[[#This Row],[Ship_Date]]-Cleaned_data[[#This Row],[Order_Date]]</f>
        <v>2</v>
      </c>
      <c r="AH112" t="str">
        <f>IF(Cleaned_data[[#This Row],[Delivery Days]]&gt;10,"late","on time")</f>
        <v>on time</v>
      </c>
      <c r="AI112" t="str">
        <f>TEXT(Cleaned_data[[#This Row],[Order_Date]],"mmmm")</f>
        <v>April</v>
      </c>
      <c r="AJ112" s="9" t="str">
        <f>"Q"&amp;ROUNDUP(MONTH(Cleaned_data[[#This Row],[Order_Date]])/3,0)</f>
        <v>Q2</v>
      </c>
    </row>
    <row r="113" spans="1:36">
      <c r="A113" t="s">
        <v>466</v>
      </c>
      <c r="B113" s="9">
        <v>45396</v>
      </c>
      <c r="C113" s="9">
        <v>45397</v>
      </c>
      <c r="D113" t="s">
        <v>467</v>
      </c>
      <c r="E113" t="s">
        <v>363</v>
      </c>
      <c r="F113" t="s">
        <v>152</v>
      </c>
      <c r="G113" t="s">
        <v>75</v>
      </c>
      <c r="H113" t="s">
        <v>76</v>
      </c>
      <c r="I113" t="s">
        <v>77</v>
      </c>
      <c r="J113" t="s">
        <v>109</v>
      </c>
      <c r="K113" t="s">
        <v>90</v>
      </c>
      <c r="L113" t="s">
        <v>284</v>
      </c>
      <c r="M113" t="s">
        <v>285</v>
      </c>
      <c r="N113" t="s">
        <v>103</v>
      </c>
      <c r="O113" t="s">
        <v>143</v>
      </c>
      <c r="P113" s="8">
        <v>3</v>
      </c>
      <c r="Q113" s="10">
        <v>26.63</v>
      </c>
      <c r="R113" s="11">
        <v>0.09</v>
      </c>
      <c r="S113" s="10">
        <v>15.4</v>
      </c>
      <c r="T113" t="s">
        <v>122</v>
      </c>
      <c r="U113" t="s">
        <v>85</v>
      </c>
      <c r="V113" s="8">
        <v>3</v>
      </c>
      <c r="W113" t="s">
        <v>1270</v>
      </c>
      <c r="X113" t="str">
        <f>_xlfn.XLOOKUP(Cleaned_data[[#This Row],[Customer_ID]],Customers[S],Customers[Loyalty_Tier])</f>
        <v>Silver</v>
      </c>
      <c r="Y113" s="9">
        <f>_xlfn.XLOOKUP(Cleaned_data[[#This Row],[Customer_ID]],Customers[S],Customers[Signup_Date])</f>
        <v>44698</v>
      </c>
      <c r="Z113" s="12">
        <f>_xlfn.XLOOKUP(Cleaned_data[[#This Row],[SKU]],Products[SKU],Products[Standard_Cost])</f>
        <v>14</v>
      </c>
      <c r="AA113" s="10">
        <f>Cleaned_data[[#This Row],[Quantity]]*Cleaned_data[[#This Row],[Unit_Price]]</f>
        <v>79.89</v>
      </c>
      <c r="AB113" s="10">
        <f>Cleaned_data[[#This Row],[Unit_Price]]*Cleaned_data[[#This Row],[Discount_Pct]]</f>
        <v>2.3966999999999996</v>
      </c>
      <c r="AC113" s="10">
        <f>Cleaned_data[[#This Row],[Gross Sales]]-Cleaned_data[[#This Row],[Discount amount]]</f>
        <v>77.493300000000005</v>
      </c>
      <c r="AD113" s="10">
        <f>Cleaned_data[[#This Row],[Product Cost]]*Cleaned_data[[#This Row],[Quantity]]</f>
        <v>42</v>
      </c>
      <c r="AE113" s="10">
        <f>Cleaned_data[[#This Row],[Net Sales]]-Cleaned_data[[#This Row],[COGS]]</f>
        <v>35.493300000000005</v>
      </c>
      <c r="AF113" s="11">
        <f>Cleaned_data[[#This Row],[Gross Profit]]/Cleaned_data[[#This Row],[Net Sales]]</f>
        <v>0.45801766088165047</v>
      </c>
      <c r="AG113">
        <f>Cleaned_data[[#This Row],[Ship_Date]]-Cleaned_data[[#This Row],[Order_Date]]</f>
        <v>1</v>
      </c>
      <c r="AH113" t="str">
        <f>IF(Cleaned_data[[#This Row],[Delivery Days]]&gt;10,"late","on time")</f>
        <v>on time</v>
      </c>
      <c r="AI113" t="str">
        <f>TEXT(Cleaned_data[[#This Row],[Order_Date]],"mmmm")</f>
        <v>April</v>
      </c>
      <c r="AJ113" s="9" t="str">
        <f>"Q"&amp;ROUNDUP(MONTH(Cleaned_data[[#This Row],[Order_Date]])/3,0)</f>
        <v>Q2</v>
      </c>
    </row>
    <row r="114" spans="1:36">
      <c r="A114" t="s">
        <v>468</v>
      </c>
      <c r="B114" s="9">
        <v>45396</v>
      </c>
      <c r="C114" s="9">
        <v>45400</v>
      </c>
      <c r="D114" t="s">
        <v>469</v>
      </c>
      <c r="E114" t="s">
        <v>470</v>
      </c>
      <c r="F114" t="s">
        <v>89</v>
      </c>
      <c r="G114" t="s">
        <v>138</v>
      </c>
      <c r="H114" t="s">
        <v>186</v>
      </c>
      <c r="I114" t="s">
        <v>187</v>
      </c>
      <c r="J114" t="s">
        <v>219</v>
      </c>
      <c r="K114" t="s">
        <v>100</v>
      </c>
      <c r="L114" t="s">
        <v>175</v>
      </c>
      <c r="M114" t="s">
        <v>176</v>
      </c>
      <c r="N114" t="s">
        <v>93</v>
      </c>
      <c r="O114" t="s">
        <v>177</v>
      </c>
      <c r="P114" s="8">
        <v>3</v>
      </c>
      <c r="Q114" s="10">
        <v>173.08</v>
      </c>
      <c r="R114" s="11">
        <v>0.09</v>
      </c>
      <c r="S114" s="10">
        <v>29.62</v>
      </c>
      <c r="T114" t="s">
        <v>84</v>
      </c>
      <c r="U114" t="s">
        <v>85</v>
      </c>
      <c r="V114" s="8">
        <v>5</v>
      </c>
      <c r="W114" t="s">
        <v>1270</v>
      </c>
      <c r="X114" t="str">
        <f>_xlfn.XLOOKUP(Cleaned_data[[#This Row],[Customer_ID]],Customers[S],Customers[Loyalty_Tier])</f>
        <v>Platinum</v>
      </c>
      <c r="Y114" s="9">
        <f>_xlfn.XLOOKUP(Cleaned_data[[#This Row],[Customer_ID]],Customers[S],Customers[Signup_Date])</f>
        <v>45102</v>
      </c>
      <c r="Z114" s="12">
        <f>_xlfn.XLOOKUP(Cleaned_data[[#This Row],[SKU]],Products[SKU],Products[Standard_Cost])</f>
        <v>88</v>
      </c>
      <c r="AA114" s="10">
        <f>Cleaned_data[[#This Row],[Quantity]]*Cleaned_data[[#This Row],[Unit_Price]]</f>
        <v>519.24</v>
      </c>
      <c r="AB114" s="10">
        <f>Cleaned_data[[#This Row],[Unit_Price]]*Cleaned_data[[#This Row],[Discount_Pct]]</f>
        <v>15.577200000000001</v>
      </c>
      <c r="AC114" s="10">
        <f>Cleaned_data[[#This Row],[Gross Sales]]-Cleaned_data[[#This Row],[Discount amount]]</f>
        <v>503.6628</v>
      </c>
      <c r="AD114" s="10">
        <f>Cleaned_data[[#This Row],[Product Cost]]*Cleaned_data[[#This Row],[Quantity]]</f>
        <v>264</v>
      </c>
      <c r="AE114" s="10">
        <f>Cleaned_data[[#This Row],[Net Sales]]-Cleaned_data[[#This Row],[COGS]]</f>
        <v>239.6628</v>
      </c>
      <c r="AF114" s="11">
        <f>Cleaned_data[[#This Row],[Gross Profit]]/Cleaned_data[[#This Row],[Net Sales]]</f>
        <v>0.47583978804867066</v>
      </c>
      <c r="AG114">
        <f>Cleaned_data[[#This Row],[Ship_Date]]-Cleaned_data[[#This Row],[Order_Date]]</f>
        <v>4</v>
      </c>
      <c r="AH114" t="str">
        <f>IF(Cleaned_data[[#This Row],[Delivery Days]]&gt;10,"late","on time")</f>
        <v>on time</v>
      </c>
      <c r="AI114" t="str">
        <f>TEXT(Cleaned_data[[#This Row],[Order_Date]],"mmmm")</f>
        <v>April</v>
      </c>
      <c r="AJ114" s="9" t="str">
        <f>"Q"&amp;ROUNDUP(MONTH(Cleaned_data[[#This Row],[Order_Date]])/3,0)</f>
        <v>Q2</v>
      </c>
    </row>
    <row r="115" spans="1:36">
      <c r="A115" t="s">
        <v>471</v>
      </c>
      <c r="B115" s="9">
        <v>45396</v>
      </c>
      <c r="C115" s="9">
        <v>45402</v>
      </c>
      <c r="D115" t="s">
        <v>472</v>
      </c>
      <c r="E115" t="s">
        <v>272</v>
      </c>
      <c r="F115" t="s">
        <v>89</v>
      </c>
      <c r="G115" t="s">
        <v>194</v>
      </c>
      <c r="H115" t="s">
        <v>240</v>
      </c>
      <c r="I115" t="s">
        <v>241</v>
      </c>
      <c r="J115" t="s">
        <v>109</v>
      </c>
      <c r="K115" t="s">
        <v>79</v>
      </c>
      <c r="L115" t="s">
        <v>254</v>
      </c>
      <c r="M115" t="s">
        <v>255</v>
      </c>
      <c r="N115" t="s">
        <v>82</v>
      </c>
      <c r="O115" t="s">
        <v>83</v>
      </c>
      <c r="P115" s="8">
        <v>8</v>
      </c>
      <c r="Q115" s="10">
        <v>93.95</v>
      </c>
      <c r="R115" s="11">
        <v>0.05</v>
      </c>
      <c r="S115" s="10">
        <v>9.6300000000000008</v>
      </c>
      <c r="T115" t="s">
        <v>134</v>
      </c>
      <c r="U115" t="s">
        <v>85</v>
      </c>
      <c r="V115" s="8">
        <v>3</v>
      </c>
      <c r="W115" t="s">
        <v>1270</v>
      </c>
      <c r="X115" t="str">
        <f>_xlfn.XLOOKUP(Cleaned_data[[#This Row],[Customer_ID]],Customers[S],Customers[Loyalty_Tier])</f>
        <v>Bronze</v>
      </c>
      <c r="Y115" s="9">
        <f>_xlfn.XLOOKUP(Cleaned_data[[#This Row],[Customer_ID]],Customers[S],Customers[Signup_Date])</f>
        <v>44494</v>
      </c>
      <c r="Z115" s="12">
        <f>_xlfn.XLOOKUP(Cleaned_data[[#This Row],[SKU]],Products[SKU],Products[Standard_Cost])</f>
        <v>48</v>
      </c>
      <c r="AA115" s="10">
        <f>Cleaned_data[[#This Row],[Quantity]]*Cleaned_data[[#This Row],[Unit_Price]]</f>
        <v>751.6</v>
      </c>
      <c r="AB115" s="10">
        <f>Cleaned_data[[#This Row],[Unit_Price]]*Cleaned_data[[#This Row],[Discount_Pct]]</f>
        <v>4.6975000000000007</v>
      </c>
      <c r="AC115" s="10">
        <f>Cleaned_data[[#This Row],[Gross Sales]]-Cleaned_data[[#This Row],[Discount amount]]</f>
        <v>746.90250000000003</v>
      </c>
      <c r="AD115" s="10">
        <f>Cleaned_data[[#This Row],[Product Cost]]*Cleaned_data[[#This Row],[Quantity]]</f>
        <v>384</v>
      </c>
      <c r="AE115" s="10">
        <f>Cleaned_data[[#This Row],[Net Sales]]-Cleaned_data[[#This Row],[COGS]]</f>
        <v>362.90250000000003</v>
      </c>
      <c r="AF115" s="11">
        <f>Cleaned_data[[#This Row],[Gross Profit]]/Cleaned_data[[#This Row],[Net Sales]]</f>
        <v>0.48587667064978363</v>
      </c>
      <c r="AG115">
        <f>Cleaned_data[[#This Row],[Ship_Date]]-Cleaned_data[[#This Row],[Order_Date]]</f>
        <v>6</v>
      </c>
      <c r="AH115" t="str">
        <f>IF(Cleaned_data[[#This Row],[Delivery Days]]&gt;10,"late","on time")</f>
        <v>on time</v>
      </c>
      <c r="AI115" t="str">
        <f>TEXT(Cleaned_data[[#This Row],[Order_Date]],"mmmm")</f>
        <v>April</v>
      </c>
      <c r="AJ115" s="9" t="str">
        <f>"Q"&amp;ROUNDUP(MONTH(Cleaned_data[[#This Row],[Order_Date]])/3,0)</f>
        <v>Q2</v>
      </c>
    </row>
    <row r="116" spans="1:36">
      <c r="A116" t="s">
        <v>473</v>
      </c>
      <c r="B116" s="9">
        <v>45397</v>
      </c>
      <c r="C116" s="9">
        <v>45405</v>
      </c>
      <c r="D116" t="s">
        <v>474</v>
      </c>
      <c r="E116" t="s">
        <v>475</v>
      </c>
      <c r="F116" t="s">
        <v>74</v>
      </c>
      <c r="G116" t="s">
        <v>138</v>
      </c>
      <c r="H116" t="s">
        <v>153</v>
      </c>
      <c r="I116" t="s">
        <v>154</v>
      </c>
      <c r="J116" t="s">
        <v>78</v>
      </c>
      <c r="K116" t="s">
        <v>168</v>
      </c>
      <c r="L116" t="s">
        <v>337</v>
      </c>
      <c r="M116" t="s">
        <v>338</v>
      </c>
      <c r="N116" t="s">
        <v>93</v>
      </c>
      <c r="O116" t="s">
        <v>236</v>
      </c>
      <c r="P116" s="8">
        <v>3</v>
      </c>
      <c r="Q116" s="10">
        <v>271.58999999999997</v>
      </c>
      <c r="R116" s="11">
        <v>0.08</v>
      </c>
      <c r="S116" s="10">
        <v>24.19</v>
      </c>
      <c r="T116" t="s">
        <v>84</v>
      </c>
      <c r="U116" t="s">
        <v>85</v>
      </c>
      <c r="V116" s="8">
        <v>2</v>
      </c>
      <c r="W116" t="s">
        <v>1270</v>
      </c>
      <c r="X116" t="str">
        <f>_xlfn.XLOOKUP(Cleaned_data[[#This Row],[Customer_ID]],Customers[S],Customers[Loyalty_Tier])</f>
        <v>Platinum</v>
      </c>
      <c r="Y116" s="9">
        <f>_xlfn.XLOOKUP(Cleaned_data[[#This Row],[Customer_ID]],Customers[S],Customers[Signup_Date])</f>
        <v>45020</v>
      </c>
      <c r="Z116" s="12">
        <f>_xlfn.XLOOKUP(Cleaned_data[[#This Row],[SKU]],Products[SKU],Products[Standard_Cost])</f>
        <v>146</v>
      </c>
      <c r="AA116" s="10">
        <f>Cleaned_data[[#This Row],[Quantity]]*Cleaned_data[[#This Row],[Unit_Price]]</f>
        <v>814.77</v>
      </c>
      <c r="AB116" s="10">
        <f>Cleaned_data[[#This Row],[Unit_Price]]*Cleaned_data[[#This Row],[Discount_Pct]]</f>
        <v>21.7272</v>
      </c>
      <c r="AC116" s="10">
        <f>Cleaned_data[[#This Row],[Gross Sales]]-Cleaned_data[[#This Row],[Discount amount]]</f>
        <v>793.04279999999994</v>
      </c>
      <c r="AD116" s="10">
        <f>Cleaned_data[[#This Row],[Product Cost]]*Cleaned_data[[#This Row],[Quantity]]</f>
        <v>438</v>
      </c>
      <c r="AE116" s="10">
        <f>Cleaned_data[[#This Row],[Net Sales]]-Cleaned_data[[#This Row],[COGS]]</f>
        <v>355.04279999999994</v>
      </c>
      <c r="AF116" s="11">
        <f>Cleaned_data[[#This Row],[Gross Profit]]/Cleaned_data[[#This Row],[Net Sales]]</f>
        <v>0.44769689605655577</v>
      </c>
      <c r="AG116">
        <f>Cleaned_data[[#This Row],[Ship_Date]]-Cleaned_data[[#This Row],[Order_Date]]</f>
        <v>8</v>
      </c>
      <c r="AH116" t="str">
        <f>IF(Cleaned_data[[#This Row],[Delivery Days]]&gt;10,"late","on time")</f>
        <v>on time</v>
      </c>
      <c r="AI116" t="str">
        <f>TEXT(Cleaned_data[[#This Row],[Order_Date]],"mmmm")</f>
        <v>April</v>
      </c>
      <c r="AJ116" s="9" t="str">
        <f>"Q"&amp;ROUNDUP(MONTH(Cleaned_data[[#This Row],[Order_Date]])/3,0)</f>
        <v>Q2</v>
      </c>
    </row>
    <row r="117" spans="1:36">
      <c r="A117" t="s">
        <v>476</v>
      </c>
      <c r="B117" s="9">
        <v>45398</v>
      </c>
      <c r="C117" s="9">
        <v>45399</v>
      </c>
      <c r="D117" t="s">
        <v>474</v>
      </c>
      <c r="E117" t="s">
        <v>475</v>
      </c>
      <c r="F117" t="s">
        <v>74</v>
      </c>
      <c r="G117" t="s">
        <v>138</v>
      </c>
      <c r="H117" t="s">
        <v>153</v>
      </c>
      <c r="I117" t="s">
        <v>154</v>
      </c>
      <c r="J117" t="s">
        <v>109</v>
      </c>
      <c r="K117" t="s">
        <v>147</v>
      </c>
      <c r="L117" t="s">
        <v>261</v>
      </c>
      <c r="M117" t="s">
        <v>262</v>
      </c>
      <c r="N117" t="s">
        <v>103</v>
      </c>
      <c r="O117" t="s">
        <v>104</v>
      </c>
      <c r="P117" s="8">
        <v>4</v>
      </c>
      <c r="Q117" s="10">
        <v>28.36</v>
      </c>
      <c r="R117" s="11">
        <v>0.01</v>
      </c>
      <c r="S117" s="10">
        <v>14.69</v>
      </c>
      <c r="T117" t="s">
        <v>134</v>
      </c>
      <c r="U117" t="s">
        <v>85</v>
      </c>
      <c r="V117" s="8">
        <v>5</v>
      </c>
      <c r="W117" t="s">
        <v>1270</v>
      </c>
      <c r="X117" t="str">
        <f>_xlfn.XLOOKUP(Cleaned_data[[#This Row],[Customer_ID]],Customers[S],Customers[Loyalty_Tier])</f>
        <v>Platinum</v>
      </c>
      <c r="Y117" s="9">
        <f>_xlfn.XLOOKUP(Cleaned_data[[#This Row],[Customer_ID]],Customers[S],Customers[Signup_Date])</f>
        <v>45020</v>
      </c>
      <c r="Z117" s="12">
        <f>_xlfn.XLOOKUP(Cleaned_data[[#This Row],[SKU]],Products[SKU],Products[Standard_Cost])</f>
        <v>12</v>
      </c>
      <c r="AA117" s="10">
        <f>Cleaned_data[[#This Row],[Quantity]]*Cleaned_data[[#This Row],[Unit_Price]]</f>
        <v>113.44</v>
      </c>
      <c r="AB117" s="10">
        <f>Cleaned_data[[#This Row],[Unit_Price]]*Cleaned_data[[#This Row],[Discount_Pct]]</f>
        <v>0.28360000000000002</v>
      </c>
      <c r="AC117" s="10">
        <f>Cleaned_data[[#This Row],[Gross Sales]]-Cleaned_data[[#This Row],[Discount amount]]</f>
        <v>113.15639999999999</v>
      </c>
      <c r="AD117" s="10">
        <f>Cleaned_data[[#This Row],[Product Cost]]*Cleaned_data[[#This Row],[Quantity]]</f>
        <v>48</v>
      </c>
      <c r="AE117" s="10">
        <f>Cleaned_data[[#This Row],[Net Sales]]-Cleaned_data[[#This Row],[COGS]]</f>
        <v>65.156399999999991</v>
      </c>
      <c r="AF117" s="11">
        <f>Cleaned_data[[#This Row],[Gross Profit]]/Cleaned_data[[#This Row],[Net Sales]]</f>
        <v>0.575808350212626</v>
      </c>
      <c r="AG117">
        <f>Cleaned_data[[#This Row],[Ship_Date]]-Cleaned_data[[#This Row],[Order_Date]]</f>
        <v>1</v>
      </c>
      <c r="AH117" t="str">
        <f>IF(Cleaned_data[[#This Row],[Delivery Days]]&gt;10,"late","on time")</f>
        <v>on time</v>
      </c>
      <c r="AI117" t="str">
        <f>TEXT(Cleaned_data[[#This Row],[Order_Date]],"mmmm")</f>
        <v>April</v>
      </c>
      <c r="AJ117" s="9" t="str">
        <f>"Q"&amp;ROUNDUP(MONTH(Cleaned_data[[#This Row],[Order_Date]])/3,0)</f>
        <v>Q2</v>
      </c>
    </row>
    <row r="118" spans="1:36">
      <c r="A118" t="s">
        <v>477</v>
      </c>
      <c r="B118" s="9">
        <v>45401</v>
      </c>
      <c r="C118" s="9">
        <v>45408</v>
      </c>
      <c r="D118" t="s">
        <v>478</v>
      </c>
      <c r="E118" t="s">
        <v>479</v>
      </c>
      <c r="F118" t="s">
        <v>74</v>
      </c>
      <c r="G118" t="s">
        <v>194</v>
      </c>
      <c r="H118" t="s">
        <v>240</v>
      </c>
      <c r="I118" t="s">
        <v>241</v>
      </c>
      <c r="J118" t="s">
        <v>129</v>
      </c>
      <c r="K118" t="s">
        <v>130</v>
      </c>
      <c r="L118" t="s">
        <v>214</v>
      </c>
      <c r="M118" t="s">
        <v>215</v>
      </c>
      <c r="N118" t="s">
        <v>103</v>
      </c>
      <c r="O118" t="s">
        <v>171</v>
      </c>
      <c r="P118" s="8">
        <v>2</v>
      </c>
      <c r="Q118" s="10">
        <v>12.44</v>
      </c>
      <c r="R118" s="11">
        <v>0.04</v>
      </c>
      <c r="S118" s="10">
        <v>10.6</v>
      </c>
      <c r="T118" t="s">
        <v>105</v>
      </c>
      <c r="U118" t="s">
        <v>85</v>
      </c>
      <c r="V118" s="8">
        <v>2</v>
      </c>
      <c r="W118" t="s">
        <v>1270</v>
      </c>
      <c r="X118" t="str">
        <f>_xlfn.XLOOKUP(Cleaned_data[[#This Row],[Customer_ID]],Customers[S],Customers[Loyalty_Tier])</f>
        <v>Gold</v>
      </c>
      <c r="Y118" s="9">
        <f>_xlfn.XLOOKUP(Cleaned_data[[#This Row],[Customer_ID]],Customers[S],Customers[Signup_Date])</f>
        <v>45756</v>
      </c>
      <c r="Z118" s="12">
        <f>_xlfn.XLOOKUP(Cleaned_data[[#This Row],[SKU]],Products[SKU],Products[Standard_Cost])</f>
        <v>5</v>
      </c>
      <c r="AA118" s="10">
        <f>Cleaned_data[[#This Row],[Quantity]]*Cleaned_data[[#This Row],[Unit_Price]]</f>
        <v>24.88</v>
      </c>
      <c r="AB118" s="10">
        <f>Cleaned_data[[#This Row],[Unit_Price]]*Cleaned_data[[#This Row],[Discount_Pct]]</f>
        <v>0.49759999999999999</v>
      </c>
      <c r="AC118" s="10">
        <f>Cleaned_data[[#This Row],[Gross Sales]]-Cleaned_data[[#This Row],[Discount amount]]</f>
        <v>24.382400000000001</v>
      </c>
      <c r="AD118" s="10">
        <f>Cleaned_data[[#This Row],[Product Cost]]*Cleaned_data[[#This Row],[Quantity]]</f>
        <v>10</v>
      </c>
      <c r="AE118" s="10">
        <f>Cleaned_data[[#This Row],[Net Sales]]-Cleaned_data[[#This Row],[COGS]]</f>
        <v>14.382400000000001</v>
      </c>
      <c r="AF118" s="11">
        <f>Cleaned_data[[#This Row],[Gross Profit]]/Cleaned_data[[#This Row],[Net Sales]]</f>
        <v>0.58986810158146863</v>
      </c>
      <c r="AG118">
        <f>Cleaned_data[[#This Row],[Ship_Date]]-Cleaned_data[[#This Row],[Order_Date]]</f>
        <v>7</v>
      </c>
      <c r="AH118" t="str">
        <f>IF(Cleaned_data[[#This Row],[Delivery Days]]&gt;10,"late","on time")</f>
        <v>on time</v>
      </c>
      <c r="AI118" t="str">
        <f>TEXT(Cleaned_data[[#This Row],[Order_Date]],"mmmm")</f>
        <v>April</v>
      </c>
      <c r="AJ118" s="9" t="str">
        <f>"Q"&amp;ROUNDUP(MONTH(Cleaned_data[[#This Row],[Order_Date]])/3,0)</f>
        <v>Q2</v>
      </c>
    </row>
    <row r="119" spans="1:36">
      <c r="A119" t="s">
        <v>480</v>
      </c>
      <c r="B119" s="9">
        <v>45403</v>
      </c>
      <c r="C119" s="9">
        <v>45406</v>
      </c>
      <c r="D119" t="s">
        <v>341</v>
      </c>
      <c r="E119" t="s">
        <v>342</v>
      </c>
      <c r="F119" t="s">
        <v>89</v>
      </c>
      <c r="G119" t="s">
        <v>138</v>
      </c>
      <c r="H119" t="s">
        <v>186</v>
      </c>
      <c r="I119" t="s">
        <v>187</v>
      </c>
      <c r="J119" t="s">
        <v>219</v>
      </c>
      <c r="K119" t="s">
        <v>79</v>
      </c>
      <c r="L119" t="s">
        <v>242</v>
      </c>
      <c r="M119" t="s">
        <v>243</v>
      </c>
      <c r="N119" t="s">
        <v>120</v>
      </c>
      <c r="O119" t="s">
        <v>133</v>
      </c>
      <c r="P119" s="8">
        <v>2</v>
      </c>
      <c r="Q119" s="10">
        <v>180.59</v>
      </c>
      <c r="R119" s="11">
        <v>0.01</v>
      </c>
      <c r="S119" s="10">
        <v>9.7799999999999994</v>
      </c>
      <c r="T119" t="s">
        <v>84</v>
      </c>
      <c r="U119" t="s">
        <v>85</v>
      </c>
      <c r="V119" s="8">
        <v>1</v>
      </c>
      <c r="W119" t="s">
        <v>1270</v>
      </c>
      <c r="X119" t="str">
        <f>_xlfn.XLOOKUP(Cleaned_data[[#This Row],[Customer_ID]],Customers[S],Customers[Loyalty_Tier])</f>
        <v>Bronze</v>
      </c>
      <c r="Y119" s="9">
        <f>_xlfn.XLOOKUP(Cleaned_data[[#This Row],[Customer_ID]],Customers[S],Customers[Signup_Date])</f>
        <v>45282</v>
      </c>
      <c r="Z119" s="12">
        <f>_xlfn.XLOOKUP(Cleaned_data[[#This Row],[SKU]],Products[SKU],Products[Standard_Cost])</f>
        <v>96</v>
      </c>
      <c r="AA119" s="10">
        <f>Cleaned_data[[#This Row],[Quantity]]*Cleaned_data[[#This Row],[Unit_Price]]</f>
        <v>361.18</v>
      </c>
      <c r="AB119" s="10">
        <f>Cleaned_data[[#This Row],[Unit_Price]]*Cleaned_data[[#This Row],[Discount_Pct]]</f>
        <v>1.8059000000000001</v>
      </c>
      <c r="AC119" s="10">
        <f>Cleaned_data[[#This Row],[Gross Sales]]-Cleaned_data[[#This Row],[Discount amount]]</f>
        <v>359.3741</v>
      </c>
      <c r="AD119" s="10">
        <f>Cleaned_data[[#This Row],[Product Cost]]*Cleaned_data[[#This Row],[Quantity]]</f>
        <v>192</v>
      </c>
      <c r="AE119" s="10">
        <f>Cleaned_data[[#This Row],[Net Sales]]-Cleaned_data[[#This Row],[COGS]]</f>
        <v>167.3741</v>
      </c>
      <c r="AF119" s="11">
        <f>Cleaned_data[[#This Row],[Gross Profit]]/Cleaned_data[[#This Row],[Net Sales]]</f>
        <v>0.46573779245638458</v>
      </c>
      <c r="AG119">
        <f>Cleaned_data[[#This Row],[Ship_Date]]-Cleaned_data[[#This Row],[Order_Date]]</f>
        <v>3</v>
      </c>
      <c r="AH119" t="str">
        <f>IF(Cleaned_data[[#This Row],[Delivery Days]]&gt;10,"late","on time")</f>
        <v>on time</v>
      </c>
      <c r="AI119" t="str">
        <f>TEXT(Cleaned_data[[#This Row],[Order_Date]],"mmmm")</f>
        <v>April</v>
      </c>
      <c r="AJ119" s="9" t="str">
        <f>"Q"&amp;ROUNDUP(MONTH(Cleaned_data[[#This Row],[Order_Date]])/3,0)</f>
        <v>Q2</v>
      </c>
    </row>
    <row r="120" spans="1:36">
      <c r="A120" t="s">
        <v>481</v>
      </c>
      <c r="B120" s="9">
        <v>45406</v>
      </c>
      <c r="C120" s="9">
        <v>45407</v>
      </c>
      <c r="D120" t="s">
        <v>482</v>
      </c>
      <c r="E120" t="s">
        <v>483</v>
      </c>
      <c r="F120" t="s">
        <v>74</v>
      </c>
      <c r="G120" t="s">
        <v>194</v>
      </c>
      <c r="H120" t="s">
        <v>240</v>
      </c>
      <c r="I120" t="s">
        <v>241</v>
      </c>
      <c r="J120" t="s">
        <v>129</v>
      </c>
      <c r="K120" t="s">
        <v>147</v>
      </c>
      <c r="L120" t="s">
        <v>249</v>
      </c>
      <c r="M120" t="s">
        <v>250</v>
      </c>
      <c r="N120" t="s">
        <v>103</v>
      </c>
      <c r="O120" t="s">
        <v>251</v>
      </c>
      <c r="P120" s="8">
        <v>7</v>
      </c>
      <c r="Q120" s="10">
        <v>21.4</v>
      </c>
      <c r="R120" s="11">
        <v>0.05</v>
      </c>
      <c r="S120" s="10">
        <v>6.85</v>
      </c>
      <c r="T120" t="s">
        <v>122</v>
      </c>
      <c r="U120" t="s">
        <v>85</v>
      </c>
      <c r="V120" s="8">
        <v>4</v>
      </c>
      <c r="W120" t="s">
        <v>1270</v>
      </c>
      <c r="X120" t="str">
        <f>_xlfn.XLOOKUP(Cleaned_data[[#This Row],[Customer_ID]],Customers[S],Customers[Loyalty_Tier])</f>
        <v>Platinum</v>
      </c>
      <c r="Y120" s="9">
        <f>_xlfn.XLOOKUP(Cleaned_data[[#This Row],[Customer_ID]],Customers[S],Customers[Signup_Date])</f>
        <v>44396</v>
      </c>
      <c r="Z120" s="12">
        <f>_xlfn.XLOOKUP(Cleaned_data[[#This Row],[SKU]],Products[SKU],Products[Standard_Cost])</f>
        <v>10</v>
      </c>
      <c r="AA120" s="10">
        <f>Cleaned_data[[#This Row],[Quantity]]*Cleaned_data[[#This Row],[Unit_Price]]</f>
        <v>149.79999999999998</v>
      </c>
      <c r="AB120" s="10">
        <f>Cleaned_data[[#This Row],[Unit_Price]]*Cleaned_data[[#This Row],[Discount_Pct]]</f>
        <v>1.07</v>
      </c>
      <c r="AC120" s="10">
        <f>Cleaned_data[[#This Row],[Gross Sales]]-Cleaned_data[[#This Row],[Discount amount]]</f>
        <v>148.72999999999999</v>
      </c>
      <c r="AD120" s="10">
        <f>Cleaned_data[[#This Row],[Product Cost]]*Cleaned_data[[#This Row],[Quantity]]</f>
        <v>70</v>
      </c>
      <c r="AE120" s="10">
        <f>Cleaned_data[[#This Row],[Net Sales]]-Cleaned_data[[#This Row],[COGS]]</f>
        <v>78.72999999999999</v>
      </c>
      <c r="AF120" s="11">
        <f>Cleaned_data[[#This Row],[Gross Profit]]/Cleaned_data[[#This Row],[Net Sales]]</f>
        <v>0.52934848382975863</v>
      </c>
      <c r="AG120">
        <f>Cleaned_data[[#This Row],[Ship_Date]]-Cleaned_data[[#This Row],[Order_Date]]</f>
        <v>1</v>
      </c>
      <c r="AH120" t="str">
        <f>IF(Cleaned_data[[#This Row],[Delivery Days]]&gt;10,"late","on time")</f>
        <v>on time</v>
      </c>
      <c r="AI120" t="str">
        <f>TEXT(Cleaned_data[[#This Row],[Order_Date]],"mmmm")</f>
        <v>April</v>
      </c>
      <c r="AJ120" s="9" t="str">
        <f>"Q"&amp;ROUNDUP(MONTH(Cleaned_data[[#This Row],[Order_Date]])/3,0)</f>
        <v>Q2</v>
      </c>
    </row>
    <row r="121" spans="1:36">
      <c r="A121" t="s">
        <v>484</v>
      </c>
      <c r="B121" s="9">
        <v>45408</v>
      </c>
      <c r="C121" s="9">
        <v>45414</v>
      </c>
      <c r="D121" t="s">
        <v>485</v>
      </c>
      <c r="E121" t="s">
        <v>193</v>
      </c>
      <c r="F121" t="s">
        <v>74</v>
      </c>
      <c r="G121" t="s">
        <v>138</v>
      </c>
      <c r="H121" t="s">
        <v>153</v>
      </c>
      <c r="I121" t="s">
        <v>154</v>
      </c>
      <c r="J121" t="s">
        <v>78</v>
      </c>
      <c r="K121" t="s">
        <v>168</v>
      </c>
      <c r="L121" t="s">
        <v>141</v>
      </c>
      <c r="M121" t="s">
        <v>142</v>
      </c>
      <c r="N121" t="s">
        <v>103</v>
      </c>
      <c r="O121" t="s">
        <v>143</v>
      </c>
      <c r="P121" s="8">
        <v>2</v>
      </c>
      <c r="Q121" s="10">
        <v>35.08</v>
      </c>
      <c r="R121" s="11">
        <v>0.12</v>
      </c>
      <c r="S121" s="10">
        <v>10.15</v>
      </c>
      <c r="T121" t="s">
        <v>84</v>
      </c>
      <c r="U121" t="s">
        <v>85</v>
      </c>
      <c r="V121" s="8">
        <v>2</v>
      </c>
      <c r="W121" t="s">
        <v>1270</v>
      </c>
      <c r="X121" t="str">
        <f>_xlfn.XLOOKUP(Cleaned_data[[#This Row],[Customer_ID]],Customers[S],Customers[Loyalty_Tier])</f>
        <v>Gold</v>
      </c>
      <c r="Y121" s="9">
        <f>_xlfn.XLOOKUP(Cleaned_data[[#This Row],[Customer_ID]],Customers[S],Customers[Signup_Date])</f>
        <v>46010</v>
      </c>
      <c r="Z121" s="12">
        <f>_xlfn.XLOOKUP(Cleaned_data[[#This Row],[SKU]],Products[SKU],Products[Standard_Cost])</f>
        <v>18</v>
      </c>
      <c r="AA121" s="10">
        <f>Cleaned_data[[#This Row],[Quantity]]*Cleaned_data[[#This Row],[Unit_Price]]</f>
        <v>70.16</v>
      </c>
      <c r="AB121" s="10">
        <f>Cleaned_data[[#This Row],[Unit_Price]]*Cleaned_data[[#This Row],[Discount_Pct]]</f>
        <v>4.2096</v>
      </c>
      <c r="AC121" s="10">
        <f>Cleaned_data[[#This Row],[Gross Sales]]-Cleaned_data[[#This Row],[Discount amount]]</f>
        <v>65.950400000000002</v>
      </c>
      <c r="AD121" s="10">
        <f>Cleaned_data[[#This Row],[Product Cost]]*Cleaned_data[[#This Row],[Quantity]]</f>
        <v>36</v>
      </c>
      <c r="AE121" s="10">
        <f>Cleaned_data[[#This Row],[Net Sales]]-Cleaned_data[[#This Row],[COGS]]</f>
        <v>29.950400000000002</v>
      </c>
      <c r="AF121" s="11">
        <f>Cleaned_data[[#This Row],[Gross Profit]]/Cleaned_data[[#This Row],[Net Sales]]</f>
        <v>0.45413522889929403</v>
      </c>
      <c r="AG121">
        <f>Cleaned_data[[#This Row],[Ship_Date]]-Cleaned_data[[#This Row],[Order_Date]]</f>
        <v>6</v>
      </c>
      <c r="AH121" t="str">
        <f>IF(Cleaned_data[[#This Row],[Delivery Days]]&gt;10,"late","on time")</f>
        <v>on time</v>
      </c>
      <c r="AI121" t="str">
        <f>TEXT(Cleaned_data[[#This Row],[Order_Date]],"mmmm")</f>
        <v>April</v>
      </c>
      <c r="AJ121" s="9" t="str">
        <f>"Q"&amp;ROUNDUP(MONTH(Cleaned_data[[#This Row],[Order_Date]])/3,0)</f>
        <v>Q2</v>
      </c>
    </row>
    <row r="122" spans="1:36">
      <c r="A122" t="s">
        <v>486</v>
      </c>
      <c r="B122" s="9">
        <v>45413</v>
      </c>
      <c r="C122" s="9">
        <v>45416</v>
      </c>
      <c r="D122" t="s">
        <v>487</v>
      </c>
      <c r="E122" t="s">
        <v>470</v>
      </c>
      <c r="F122" t="s">
        <v>152</v>
      </c>
      <c r="G122" t="s">
        <v>75</v>
      </c>
      <c r="H122" t="s">
        <v>98</v>
      </c>
      <c r="I122" t="s">
        <v>99</v>
      </c>
      <c r="J122" t="s">
        <v>129</v>
      </c>
      <c r="K122" t="s">
        <v>130</v>
      </c>
      <c r="L122" t="s">
        <v>359</v>
      </c>
      <c r="M122" t="s">
        <v>360</v>
      </c>
      <c r="N122" t="s">
        <v>93</v>
      </c>
      <c r="O122" t="s">
        <v>94</v>
      </c>
      <c r="P122" s="8">
        <v>2</v>
      </c>
      <c r="Q122" s="10">
        <v>467.9</v>
      </c>
      <c r="R122" s="11">
        <v>0.02</v>
      </c>
      <c r="S122" s="10">
        <v>26.02</v>
      </c>
      <c r="T122" t="s">
        <v>105</v>
      </c>
      <c r="U122" t="s">
        <v>85</v>
      </c>
      <c r="V122" s="8">
        <v>4</v>
      </c>
      <c r="W122" t="s">
        <v>1270</v>
      </c>
      <c r="X122" t="str">
        <f>_xlfn.XLOOKUP(Cleaned_data[[#This Row],[Customer_ID]],Customers[S],Customers[Loyalty_Tier])</f>
        <v>Gold</v>
      </c>
      <c r="Y122" s="9">
        <f>_xlfn.XLOOKUP(Cleaned_data[[#This Row],[Customer_ID]],Customers[S],Customers[Signup_Date])</f>
        <v>44199</v>
      </c>
      <c r="Z122" s="12">
        <f>_xlfn.XLOOKUP(Cleaned_data[[#This Row],[SKU]],Products[SKU],Products[Standard_Cost])</f>
        <v>265</v>
      </c>
      <c r="AA122" s="10">
        <f>Cleaned_data[[#This Row],[Quantity]]*Cleaned_data[[#This Row],[Unit_Price]]</f>
        <v>935.8</v>
      </c>
      <c r="AB122" s="10">
        <f>Cleaned_data[[#This Row],[Unit_Price]]*Cleaned_data[[#This Row],[Discount_Pct]]</f>
        <v>9.3580000000000005</v>
      </c>
      <c r="AC122" s="10">
        <f>Cleaned_data[[#This Row],[Gross Sales]]-Cleaned_data[[#This Row],[Discount amount]]</f>
        <v>926.44200000000001</v>
      </c>
      <c r="AD122" s="10">
        <f>Cleaned_data[[#This Row],[Product Cost]]*Cleaned_data[[#This Row],[Quantity]]</f>
        <v>530</v>
      </c>
      <c r="AE122" s="10">
        <f>Cleaned_data[[#This Row],[Net Sales]]-Cleaned_data[[#This Row],[COGS]]</f>
        <v>396.44200000000001</v>
      </c>
      <c r="AF122" s="11">
        <f>Cleaned_data[[#This Row],[Gross Profit]]/Cleaned_data[[#This Row],[Net Sales]]</f>
        <v>0.42791885514689532</v>
      </c>
      <c r="AG122">
        <f>Cleaned_data[[#This Row],[Ship_Date]]-Cleaned_data[[#This Row],[Order_Date]]</f>
        <v>3</v>
      </c>
      <c r="AH122" t="str">
        <f>IF(Cleaned_data[[#This Row],[Delivery Days]]&gt;10,"late","on time")</f>
        <v>on time</v>
      </c>
      <c r="AI122" t="str">
        <f>TEXT(Cleaned_data[[#This Row],[Order_Date]],"mmmm")</f>
        <v>May</v>
      </c>
      <c r="AJ122" s="9" t="str">
        <f>"Q"&amp;ROUNDUP(MONTH(Cleaned_data[[#This Row],[Order_Date]])/3,0)</f>
        <v>Q2</v>
      </c>
    </row>
    <row r="123" spans="1:36">
      <c r="A123" t="s">
        <v>488</v>
      </c>
      <c r="B123" s="9">
        <v>45415</v>
      </c>
      <c r="C123" s="9">
        <v>45422</v>
      </c>
      <c r="D123" t="s">
        <v>217</v>
      </c>
      <c r="E123" t="s">
        <v>218</v>
      </c>
      <c r="F123" t="s">
        <v>89</v>
      </c>
      <c r="G123" t="s">
        <v>75</v>
      </c>
      <c r="H123" t="s">
        <v>98</v>
      </c>
      <c r="I123" t="s">
        <v>99</v>
      </c>
      <c r="J123" t="s">
        <v>129</v>
      </c>
      <c r="K123" t="s">
        <v>79</v>
      </c>
      <c r="L123" t="s">
        <v>118</v>
      </c>
      <c r="M123" t="s">
        <v>119</v>
      </c>
      <c r="N123" t="s">
        <v>120</v>
      </c>
      <c r="O123" t="s">
        <v>121</v>
      </c>
      <c r="P123" s="8">
        <v>3</v>
      </c>
      <c r="Q123" s="10">
        <v>281.14999999999998</v>
      </c>
      <c r="R123" s="11">
        <v>0.08</v>
      </c>
      <c r="S123" s="10">
        <v>11.11</v>
      </c>
      <c r="T123" t="s">
        <v>122</v>
      </c>
      <c r="U123" t="s">
        <v>85</v>
      </c>
      <c r="V123" s="8">
        <v>1</v>
      </c>
      <c r="W123" t="s">
        <v>1270</v>
      </c>
      <c r="X123" t="str">
        <f>_xlfn.XLOOKUP(Cleaned_data[[#This Row],[Customer_ID]],Customers[S],Customers[Loyalty_Tier])</f>
        <v>Bronze</v>
      </c>
      <c r="Y123" s="9">
        <f>_xlfn.XLOOKUP(Cleaned_data[[#This Row],[Customer_ID]],Customers[S],Customers[Signup_Date])</f>
        <v>45419</v>
      </c>
      <c r="Z123" s="12">
        <f>_xlfn.XLOOKUP(Cleaned_data[[#This Row],[SKU]],Products[SKU],Products[Standard_Cost])</f>
        <v>168</v>
      </c>
      <c r="AA123" s="10">
        <f>Cleaned_data[[#This Row],[Quantity]]*Cleaned_data[[#This Row],[Unit_Price]]</f>
        <v>843.44999999999993</v>
      </c>
      <c r="AB123" s="10">
        <f>Cleaned_data[[#This Row],[Unit_Price]]*Cleaned_data[[#This Row],[Discount_Pct]]</f>
        <v>22.491999999999997</v>
      </c>
      <c r="AC123" s="10">
        <f>Cleaned_data[[#This Row],[Gross Sales]]-Cleaned_data[[#This Row],[Discount amount]]</f>
        <v>820.95799999999997</v>
      </c>
      <c r="AD123" s="10">
        <f>Cleaned_data[[#This Row],[Product Cost]]*Cleaned_data[[#This Row],[Quantity]]</f>
        <v>504</v>
      </c>
      <c r="AE123" s="10">
        <f>Cleaned_data[[#This Row],[Net Sales]]-Cleaned_data[[#This Row],[COGS]]</f>
        <v>316.95799999999997</v>
      </c>
      <c r="AF123" s="11">
        <f>Cleaned_data[[#This Row],[Gross Profit]]/Cleaned_data[[#This Row],[Net Sales]]</f>
        <v>0.38608308829440724</v>
      </c>
      <c r="AG123">
        <f>Cleaned_data[[#This Row],[Ship_Date]]-Cleaned_data[[#This Row],[Order_Date]]</f>
        <v>7</v>
      </c>
      <c r="AH123" t="str">
        <f>IF(Cleaned_data[[#This Row],[Delivery Days]]&gt;10,"late","on time")</f>
        <v>on time</v>
      </c>
      <c r="AI123" t="str">
        <f>TEXT(Cleaned_data[[#This Row],[Order_Date]],"mmmm")</f>
        <v>May</v>
      </c>
      <c r="AJ123" s="9" t="str">
        <f>"Q"&amp;ROUNDUP(MONTH(Cleaned_data[[#This Row],[Order_Date]])/3,0)</f>
        <v>Q2</v>
      </c>
    </row>
    <row r="124" spans="1:36">
      <c r="A124" t="s">
        <v>489</v>
      </c>
      <c r="B124" s="9">
        <v>45416</v>
      </c>
      <c r="C124" s="9">
        <v>45431</v>
      </c>
      <c r="D124" t="s">
        <v>490</v>
      </c>
      <c r="E124" t="s">
        <v>491</v>
      </c>
      <c r="F124" t="s">
        <v>152</v>
      </c>
      <c r="G124" t="s">
        <v>194</v>
      </c>
      <c r="H124" t="s">
        <v>202</v>
      </c>
      <c r="I124" t="s">
        <v>203</v>
      </c>
      <c r="J124" t="s">
        <v>109</v>
      </c>
      <c r="K124" t="s">
        <v>130</v>
      </c>
      <c r="L124" t="s">
        <v>169</v>
      </c>
      <c r="M124" t="s">
        <v>170</v>
      </c>
      <c r="N124" t="s">
        <v>103</v>
      </c>
      <c r="O124" t="s">
        <v>171</v>
      </c>
      <c r="P124" s="8">
        <v>4</v>
      </c>
      <c r="Q124" s="10">
        <v>15.85</v>
      </c>
      <c r="R124" s="11">
        <v>0.03</v>
      </c>
      <c r="S124" s="10">
        <v>14.2</v>
      </c>
      <c r="T124" t="s">
        <v>134</v>
      </c>
      <c r="U124" t="s">
        <v>85</v>
      </c>
      <c r="V124" s="8">
        <v>2</v>
      </c>
      <c r="W124" t="s">
        <v>1270</v>
      </c>
      <c r="X124" t="str">
        <f>_xlfn.XLOOKUP(Cleaned_data[[#This Row],[Customer_ID]],Customers[S],Customers[Loyalty_Tier])</f>
        <v>Gold</v>
      </c>
      <c r="Y124" s="9">
        <f>_xlfn.XLOOKUP(Cleaned_data[[#This Row],[Customer_ID]],Customers[S],Customers[Signup_Date])</f>
        <v>44414</v>
      </c>
      <c r="Z124" s="12">
        <f>_xlfn.XLOOKUP(Cleaned_data[[#This Row],[SKU]],Products[SKU],Products[Standard_Cost])</f>
        <v>6</v>
      </c>
      <c r="AA124" s="10">
        <f>Cleaned_data[[#This Row],[Quantity]]*Cleaned_data[[#This Row],[Unit_Price]]</f>
        <v>63.4</v>
      </c>
      <c r="AB124" s="10">
        <f>Cleaned_data[[#This Row],[Unit_Price]]*Cleaned_data[[#This Row],[Discount_Pct]]</f>
        <v>0.47549999999999998</v>
      </c>
      <c r="AC124" s="10">
        <f>Cleaned_data[[#This Row],[Gross Sales]]-Cleaned_data[[#This Row],[Discount amount]]</f>
        <v>62.924500000000002</v>
      </c>
      <c r="AD124" s="10">
        <f>Cleaned_data[[#This Row],[Product Cost]]*Cleaned_data[[#This Row],[Quantity]]</f>
        <v>24</v>
      </c>
      <c r="AE124" s="10">
        <f>Cleaned_data[[#This Row],[Net Sales]]-Cleaned_data[[#This Row],[COGS]]</f>
        <v>38.924500000000002</v>
      </c>
      <c r="AF124" s="11">
        <f>Cleaned_data[[#This Row],[Gross Profit]]/Cleaned_data[[#This Row],[Net Sales]]</f>
        <v>0.61859053309919032</v>
      </c>
      <c r="AG124">
        <f>Cleaned_data[[#This Row],[Ship_Date]]-Cleaned_data[[#This Row],[Order_Date]]</f>
        <v>15</v>
      </c>
      <c r="AH124" t="str">
        <f>IF(Cleaned_data[[#This Row],[Delivery Days]]&gt;10,"late","on time")</f>
        <v>late</v>
      </c>
      <c r="AI124" t="str">
        <f>TEXT(Cleaned_data[[#This Row],[Order_Date]],"mmmm")</f>
        <v>May</v>
      </c>
      <c r="AJ124" s="9" t="str">
        <f>"Q"&amp;ROUNDUP(MONTH(Cleaned_data[[#This Row],[Order_Date]])/3,0)</f>
        <v>Q2</v>
      </c>
    </row>
    <row r="125" spans="1:36">
      <c r="A125" t="s">
        <v>492</v>
      </c>
      <c r="B125" s="9">
        <v>45418</v>
      </c>
      <c r="C125" s="9">
        <v>45419</v>
      </c>
      <c r="D125" t="s">
        <v>328</v>
      </c>
      <c r="E125" t="s">
        <v>329</v>
      </c>
      <c r="F125" t="s">
        <v>89</v>
      </c>
      <c r="G125" t="s">
        <v>75</v>
      </c>
      <c r="H125" t="s">
        <v>116</v>
      </c>
      <c r="I125" t="s">
        <v>117</v>
      </c>
      <c r="J125" t="s">
        <v>109</v>
      </c>
      <c r="K125" t="s">
        <v>147</v>
      </c>
      <c r="L125" t="s">
        <v>431</v>
      </c>
      <c r="M125" t="s">
        <v>432</v>
      </c>
      <c r="N125" t="s">
        <v>103</v>
      </c>
      <c r="O125" t="s">
        <v>251</v>
      </c>
      <c r="P125" s="8">
        <v>8</v>
      </c>
      <c r="Q125" s="10">
        <v>38.69</v>
      </c>
      <c r="R125" s="11">
        <v>7.0000000000000007E-2</v>
      </c>
      <c r="S125" s="10">
        <v>16.63</v>
      </c>
      <c r="T125" t="s">
        <v>105</v>
      </c>
      <c r="U125" t="s">
        <v>85</v>
      </c>
      <c r="W125" t="s">
        <v>1270</v>
      </c>
      <c r="X125" t="str">
        <f>_xlfn.XLOOKUP(Cleaned_data[[#This Row],[Customer_ID]],Customers[S],Customers[Loyalty_Tier])</f>
        <v>Silver</v>
      </c>
      <c r="Y125" s="9">
        <f>_xlfn.XLOOKUP(Cleaned_data[[#This Row],[Customer_ID]],Customers[S],Customers[Signup_Date])</f>
        <v>45451</v>
      </c>
      <c r="Z125" s="12">
        <f>_xlfn.XLOOKUP(Cleaned_data[[#This Row],[SKU]],Products[SKU],Products[Standard_Cost])</f>
        <v>20</v>
      </c>
      <c r="AA125" s="10">
        <f>Cleaned_data[[#This Row],[Quantity]]*Cleaned_data[[#This Row],[Unit_Price]]</f>
        <v>309.52</v>
      </c>
      <c r="AB125" s="10">
        <f>Cleaned_data[[#This Row],[Unit_Price]]*Cleaned_data[[#This Row],[Discount_Pct]]</f>
        <v>2.7082999999999999</v>
      </c>
      <c r="AC125" s="10">
        <f>Cleaned_data[[#This Row],[Gross Sales]]-Cleaned_data[[#This Row],[Discount amount]]</f>
        <v>306.81169999999997</v>
      </c>
      <c r="AD125" s="10">
        <f>Cleaned_data[[#This Row],[Product Cost]]*Cleaned_data[[#This Row],[Quantity]]</f>
        <v>160</v>
      </c>
      <c r="AE125" s="10">
        <f>Cleaned_data[[#This Row],[Net Sales]]-Cleaned_data[[#This Row],[COGS]]</f>
        <v>146.81169999999997</v>
      </c>
      <c r="AF125" s="11">
        <f>Cleaned_data[[#This Row],[Gross Profit]]/Cleaned_data[[#This Row],[Net Sales]]</f>
        <v>0.47850750150662436</v>
      </c>
      <c r="AG125">
        <f>Cleaned_data[[#This Row],[Ship_Date]]-Cleaned_data[[#This Row],[Order_Date]]</f>
        <v>1</v>
      </c>
      <c r="AH125" t="str">
        <f>IF(Cleaned_data[[#This Row],[Delivery Days]]&gt;10,"late","on time")</f>
        <v>on time</v>
      </c>
      <c r="AI125" t="str">
        <f>TEXT(Cleaned_data[[#This Row],[Order_Date]],"mmmm")</f>
        <v>May</v>
      </c>
      <c r="AJ125" s="9" t="str">
        <f>"Q"&amp;ROUNDUP(MONTH(Cleaned_data[[#This Row],[Order_Date]])/3,0)</f>
        <v>Q2</v>
      </c>
    </row>
    <row r="126" spans="1:36">
      <c r="A126" t="s">
        <v>493</v>
      </c>
      <c r="B126" s="9">
        <v>45419</v>
      </c>
      <c r="C126" s="9">
        <v>45420</v>
      </c>
      <c r="D126" t="s">
        <v>490</v>
      </c>
      <c r="E126" t="s">
        <v>491</v>
      </c>
      <c r="F126" t="s">
        <v>152</v>
      </c>
      <c r="G126" t="s">
        <v>194</v>
      </c>
      <c r="H126" t="s">
        <v>202</v>
      </c>
      <c r="I126" t="s">
        <v>203</v>
      </c>
      <c r="J126" t="s">
        <v>129</v>
      </c>
      <c r="K126" t="s">
        <v>168</v>
      </c>
      <c r="L126" t="s">
        <v>234</v>
      </c>
      <c r="M126" t="s">
        <v>235</v>
      </c>
      <c r="N126" t="s">
        <v>93</v>
      </c>
      <c r="O126" t="s">
        <v>236</v>
      </c>
      <c r="P126" s="8">
        <v>3</v>
      </c>
      <c r="Q126" s="10">
        <v>149.93</v>
      </c>
      <c r="R126" s="11">
        <v>0</v>
      </c>
      <c r="S126" s="10">
        <v>21.28</v>
      </c>
      <c r="T126" t="s">
        <v>84</v>
      </c>
      <c r="U126" t="s">
        <v>85</v>
      </c>
      <c r="V126" s="8">
        <v>5</v>
      </c>
      <c r="W126" t="s">
        <v>1270</v>
      </c>
      <c r="X126" t="str">
        <f>_xlfn.XLOOKUP(Cleaned_data[[#This Row],[Customer_ID]],Customers[S],Customers[Loyalty_Tier])</f>
        <v>Gold</v>
      </c>
      <c r="Y126" s="9">
        <f>_xlfn.XLOOKUP(Cleaned_data[[#This Row],[Customer_ID]],Customers[S],Customers[Signup_Date])</f>
        <v>44414</v>
      </c>
      <c r="Z126" s="12">
        <f>_xlfn.XLOOKUP(Cleaned_data[[#This Row],[SKU]],Products[SKU],Products[Standard_Cost])</f>
        <v>82</v>
      </c>
      <c r="AA126" s="10">
        <f>Cleaned_data[[#This Row],[Quantity]]*Cleaned_data[[#This Row],[Unit_Price]]</f>
        <v>449.79</v>
      </c>
      <c r="AB126" s="10">
        <f>Cleaned_data[[#This Row],[Unit_Price]]*Cleaned_data[[#This Row],[Discount_Pct]]</f>
        <v>0</v>
      </c>
      <c r="AC126" s="10">
        <f>Cleaned_data[[#This Row],[Gross Sales]]-Cleaned_data[[#This Row],[Discount amount]]</f>
        <v>449.79</v>
      </c>
      <c r="AD126" s="10">
        <f>Cleaned_data[[#This Row],[Product Cost]]*Cleaned_data[[#This Row],[Quantity]]</f>
        <v>246</v>
      </c>
      <c r="AE126" s="10">
        <f>Cleaned_data[[#This Row],[Net Sales]]-Cleaned_data[[#This Row],[COGS]]</f>
        <v>203.79000000000002</v>
      </c>
      <c r="AF126" s="11">
        <f>Cleaned_data[[#This Row],[Gross Profit]]/Cleaned_data[[#This Row],[Net Sales]]</f>
        <v>0.45307810311478691</v>
      </c>
      <c r="AG126">
        <f>Cleaned_data[[#This Row],[Ship_Date]]-Cleaned_data[[#This Row],[Order_Date]]</f>
        <v>1</v>
      </c>
      <c r="AH126" t="str">
        <f>IF(Cleaned_data[[#This Row],[Delivery Days]]&gt;10,"late","on time")</f>
        <v>on time</v>
      </c>
      <c r="AI126" t="str">
        <f>TEXT(Cleaned_data[[#This Row],[Order_Date]],"mmmm")</f>
        <v>May</v>
      </c>
      <c r="AJ126" s="9" t="str">
        <f>"Q"&amp;ROUNDUP(MONTH(Cleaned_data[[#This Row],[Order_Date]])/3,0)</f>
        <v>Q2</v>
      </c>
    </row>
    <row r="127" spans="1:36">
      <c r="A127" t="s">
        <v>495</v>
      </c>
      <c r="B127" s="9">
        <v>45421</v>
      </c>
      <c r="C127" s="9">
        <v>45422</v>
      </c>
      <c r="D127" t="s">
        <v>322</v>
      </c>
      <c r="E127" t="s">
        <v>323</v>
      </c>
      <c r="F127" t="s">
        <v>74</v>
      </c>
      <c r="G127" t="s">
        <v>194</v>
      </c>
      <c r="H127" t="s">
        <v>240</v>
      </c>
      <c r="I127" t="s">
        <v>241</v>
      </c>
      <c r="J127" t="s">
        <v>78</v>
      </c>
      <c r="K127" t="s">
        <v>79</v>
      </c>
      <c r="L127" t="s">
        <v>197</v>
      </c>
      <c r="M127" t="s">
        <v>198</v>
      </c>
      <c r="N127" t="s">
        <v>120</v>
      </c>
      <c r="O127" t="s">
        <v>121</v>
      </c>
      <c r="P127" s="8">
        <v>3</v>
      </c>
      <c r="Q127" s="10">
        <v>531.62</v>
      </c>
      <c r="R127" s="11">
        <v>0.28999999999999998</v>
      </c>
      <c r="S127" s="10">
        <v>7.02</v>
      </c>
      <c r="T127" t="s">
        <v>105</v>
      </c>
      <c r="U127" t="s">
        <v>85</v>
      </c>
      <c r="V127" s="8">
        <v>3</v>
      </c>
      <c r="W127" t="s">
        <v>1270</v>
      </c>
      <c r="X127" t="str">
        <f>_xlfn.XLOOKUP(Cleaned_data[[#This Row],[Customer_ID]],Customers[S],Customers[Loyalty_Tier])</f>
        <v>Silver</v>
      </c>
      <c r="Y127" s="9">
        <f>_xlfn.XLOOKUP(Cleaned_data[[#This Row],[Customer_ID]],Customers[S],Customers[Signup_Date])</f>
        <v>44540</v>
      </c>
      <c r="Z127" s="12">
        <f>_xlfn.XLOOKUP(Cleaned_data[[#This Row],[SKU]],Products[SKU],Products[Standard_Cost])</f>
        <v>310</v>
      </c>
      <c r="AA127" s="10">
        <f>Cleaned_data[[#This Row],[Quantity]]*Cleaned_data[[#This Row],[Unit_Price]]</f>
        <v>1594.8600000000001</v>
      </c>
      <c r="AB127" s="10">
        <f>Cleaned_data[[#This Row],[Unit_Price]]*Cleaned_data[[#This Row],[Discount_Pct]]</f>
        <v>154.16979999999998</v>
      </c>
      <c r="AC127" s="10">
        <f>Cleaned_data[[#This Row],[Gross Sales]]-Cleaned_data[[#This Row],[Discount amount]]</f>
        <v>1440.6902000000002</v>
      </c>
      <c r="AD127" s="10">
        <f>Cleaned_data[[#This Row],[Product Cost]]*Cleaned_data[[#This Row],[Quantity]]</f>
        <v>930</v>
      </c>
      <c r="AE127" s="10">
        <f>Cleaned_data[[#This Row],[Net Sales]]-Cleaned_data[[#This Row],[COGS]]</f>
        <v>510.69020000000023</v>
      </c>
      <c r="AF127" s="11">
        <f>Cleaned_data[[#This Row],[Gross Profit]]/Cleaned_data[[#This Row],[Net Sales]]</f>
        <v>0.35447606987262087</v>
      </c>
      <c r="AG127">
        <f>Cleaned_data[[#This Row],[Ship_Date]]-Cleaned_data[[#This Row],[Order_Date]]</f>
        <v>1</v>
      </c>
      <c r="AH127" t="str">
        <f>IF(Cleaned_data[[#This Row],[Delivery Days]]&gt;10,"late","on time")</f>
        <v>on time</v>
      </c>
      <c r="AI127" t="str">
        <f>TEXT(Cleaned_data[[#This Row],[Order_Date]],"mmmm")</f>
        <v>May</v>
      </c>
      <c r="AJ127" s="9" t="str">
        <f>"Q"&amp;ROUNDUP(MONTH(Cleaned_data[[#This Row],[Order_Date]])/3,0)</f>
        <v>Q2</v>
      </c>
    </row>
    <row r="128" spans="1:36">
      <c r="A128" t="s">
        <v>496</v>
      </c>
      <c r="B128" s="9">
        <v>45422</v>
      </c>
      <c r="C128" s="9">
        <v>45423</v>
      </c>
      <c r="D128" t="s">
        <v>497</v>
      </c>
      <c r="E128" t="s">
        <v>498</v>
      </c>
      <c r="F128" t="s">
        <v>89</v>
      </c>
      <c r="G128" t="s">
        <v>126</v>
      </c>
      <c r="H128" t="s">
        <v>291</v>
      </c>
      <c r="I128" t="s">
        <v>292</v>
      </c>
      <c r="J128" t="s">
        <v>129</v>
      </c>
      <c r="K128" t="s">
        <v>147</v>
      </c>
      <c r="L128" t="s">
        <v>234</v>
      </c>
      <c r="M128" t="s">
        <v>235</v>
      </c>
      <c r="N128" t="s">
        <v>93</v>
      </c>
      <c r="O128" t="s">
        <v>236</v>
      </c>
      <c r="P128" s="8">
        <v>4</v>
      </c>
      <c r="Q128" s="10">
        <v>147.4</v>
      </c>
      <c r="R128" s="11">
        <v>0.02</v>
      </c>
      <c r="S128" s="10">
        <v>20.63</v>
      </c>
      <c r="T128" t="s">
        <v>84</v>
      </c>
      <c r="U128" t="s">
        <v>85</v>
      </c>
      <c r="W128" t="s">
        <v>1270</v>
      </c>
      <c r="X128" t="str">
        <f>_xlfn.XLOOKUP(Cleaned_data[[#This Row],[Customer_ID]],Customers[S],Customers[Loyalty_Tier])</f>
        <v>Bronze</v>
      </c>
      <c r="Y128" s="9">
        <f>_xlfn.XLOOKUP(Cleaned_data[[#This Row],[Customer_ID]],Customers[S],Customers[Signup_Date])</f>
        <v>45384</v>
      </c>
      <c r="Z128" s="12">
        <f>_xlfn.XLOOKUP(Cleaned_data[[#This Row],[SKU]],Products[SKU],Products[Standard_Cost])</f>
        <v>82</v>
      </c>
      <c r="AA128" s="10">
        <f>Cleaned_data[[#This Row],[Quantity]]*Cleaned_data[[#This Row],[Unit_Price]]</f>
        <v>589.6</v>
      </c>
      <c r="AB128" s="10">
        <f>Cleaned_data[[#This Row],[Unit_Price]]*Cleaned_data[[#This Row],[Discount_Pct]]</f>
        <v>2.948</v>
      </c>
      <c r="AC128" s="10">
        <f>Cleaned_data[[#This Row],[Gross Sales]]-Cleaned_data[[#This Row],[Discount amount]]</f>
        <v>586.65200000000004</v>
      </c>
      <c r="AD128" s="10">
        <f>Cleaned_data[[#This Row],[Product Cost]]*Cleaned_data[[#This Row],[Quantity]]</f>
        <v>328</v>
      </c>
      <c r="AE128" s="10">
        <f>Cleaned_data[[#This Row],[Net Sales]]-Cleaned_data[[#This Row],[COGS]]</f>
        <v>258.65200000000004</v>
      </c>
      <c r="AF128" s="11">
        <f>Cleaned_data[[#This Row],[Gross Profit]]/Cleaned_data[[#This Row],[Net Sales]]</f>
        <v>0.4408951132869231</v>
      </c>
      <c r="AG128">
        <f>Cleaned_data[[#This Row],[Ship_Date]]-Cleaned_data[[#This Row],[Order_Date]]</f>
        <v>1</v>
      </c>
      <c r="AH128" t="str">
        <f>IF(Cleaned_data[[#This Row],[Delivery Days]]&gt;10,"late","on time")</f>
        <v>on time</v>
      </c>
      <c r="AI128" t="str">
        <f>TEXT(Cleaned_data[[#This Row],[Order_Date]],"mmmm")</f>
        <v>May</v>
      </c>
      <c r="AJ128" s="9" t="str">
        <f>"Q"&amp;ROUNDUP(MONTH(Cleaned_data[[#This Row],[Order_Date]])/3,0)</f>
        <v>Q2</v>
      </c>
    </row>
    <row r="129" spans="1:36">
      <c r="A129" t="s">
        <v>499</v>
      </c>
      <c r="B129" s="9">
        <v>45423</v>
      </c>
      <c r="C129" s="9">
        <v>45426</v>
      </c>
      <c r="D129" t="s">
        <v>500</v>
      </c>
      <c r="E129" t="s">
        <v>501</v>
      </c>
      <c r="F129" t="s">
        <v>152</v>
      </c>
      <c r="G129" t="s">
        <v>194</v>
      </c>
      <c r="H129" t="s">
        <v>202</v>
      </c>
      <c r="I129" t="s">
        <v>203</v>
      </c>
      <c r="J129" t="s">
        <v>129</v>
      </c>
      <c r="K129" t="s">
        <v>168</v>
      </c>
      <c r="L129" t="s">
        <v>91</v>
      </c>
      <c r="M129" t="s">
        <v>92</v>
      </c>
      <c r="N129" t="s">
        <v>93</v>
      </c>
      <c r="O129" t="s">
        <v>94</v>
      </c>
      <c r="P129" s="8">
        <v>3</v>
      </c>
      <c r="Q129" s="10">
        <v>320.70999999999998</v>
      </c>
      <c r="R129" s="11">
        <v>0.08</v>
      </c>
      <c r="S129" s="10">
        <v>25.45</v>
      </c>
      <c r="T129" t="s">
        <v>134</v>
      </c>
      <c r="U129" t="s">
        <v>85</v>
      </c>
      <c r="W129" t="s">
        <v>1270</v>
      </c>
      <c r="X129" t="str">
        <f>_xlfn.XLOOKUP(Cleaned_data[[#This Row],[Customer_ID]],Customers[S],Customers[Loyalty_Tier])</f>
        <v>Gold</v>
      </c>
      <c r="Y129" s="9">
        <f>_xlfn.XLOOKUP(Cleaned_data[[#This Row],[Customer_ID]],Customers[S],Customers[Signup_Date])</f>
        <v>44897</v>
      </c>
      <c r="Z129" s="12">
        <f>_xlfn.XLOOKUP(Cleaned_data[[#This Row],[SKU]],Products[SKU],Products[Standard_Cost])</f>
        <v>184</v>
      </c>
      <c r="AA129" s="10">
        <f>Cleaned_data[[#This Row],[Quantity]]*Cleaned_data[[#This Row],[Unit_Price]]</f>
        <v>962.12999999999988</v>
      </c>
      <c r="AB129" s="10">
        <f>Cleaned_data[[#This Row],[Unit_Price]]*Cleaned_data[[#This Row],[Discount_Pct]]</f>
        <v>25.6568</v>
      </c>
      <c r="AC129" s="10">
        <f>Cleaned_data[[#This Row],[Gross Sales]]-Cleaned_data[[#This Row],[Discount amount]]</f>
        <v>936.47319999999991</v>
      </c>
      <c r="AD129" s="10">
        <f>Cleaned_data[[#This Row],[Product Cost]]*Cleaned_data[[#This Row],[Quantity]]</f>
        <v>552</v>
      </c>
      <c r="AE129" s="10">
        <f>Cleaned_data[[#This Row],[Net Sales]]-Cleaned_data[[#This Row],[COGS]]</f>
        <v>384.47319999999991</v>
      </c>
      <c r="AF129" s="11">
        <f>Cleaned_data[[#This Row],[Gross Profit]]/Cleaned_data[[#This Row],[Net Sales]]</f>
        <v>0.4105544077502698</v>
      </c>
      <c r="AG129">
        <f>Cleaned_data[[#This Row],[Ship_Date]]-Cleaned_data[[#This Row],[Order_Date]]</f>
        <v>3</v>
      </c>
      <c r="AH129" t="str">
        <f>IF(Cleaned_data[[#This Row],[Delivery Days]]&gt;10,"late","on time")</f>
        <v>on time</v>
      </c>
      <c r="AI129" t="str">
        <f>TEXT(Cleaned_data[[#This Row],[Order_Date]],"mmmm")</f>
        <v>May</v>
      </c>
      <c r="AJ129" s="9" t="str">
        <f>"Q"&amp;ROUNDUP(MONTH(Cleaned_data[[#This Row],[Order_Date]])/3,0)</f>
        <v>Q2</v>
      </c>
    </row>
    <row r="130" spans="1:36">
      <c r="A130" t="s">
        <v>502</v>
      </c>
      <c r="B130" s="9">
        <v>45424</v>
      </c>
      <c r="C130" s="9">
        <v>45425</v>
      </c>
      <c r="D130" t="s">
        <v>500</v>
      </c>
      <c r="E130" t="s">
        <v>501</v>
      </c>
      <c r="F130" t="s">
        <v>152</v>
      </c>
      <c r="G130" t="s">
        <v>194</v>
      </c>
      <c r="H130" t="s">
        <v>202</v>
      </c>
      <c r="I130" t="s">
        <v>203</v>
      </c>
      <c r="J130" t="s">
        <v>129</v>
      </c>
      <c r="K130" t="s">
        <v>147</v>
      </c>
      <c r="L130" t="s">
        <v>80</v>
      </c>
      <c r="M130" t="s">
        <v>81</v>
      </c>
      <c r="N130" t="s">
        <v>82</v>
      </c>
      <c r="O130" t="s">
        <v>83</v>
      </c>
      <c r="P130" s="8">
        <v>5</v>
      </c>
      <c r="Q130" s="10">
        <v>241.62</v>
      </c>
      <c r="R130" s="11">
        <v>0.1</v>
      </c>
      <c r="S130" s="10">
        <v>15.8</v>
      </c>
      <c r="T130" t="s">
        <v>134</v>
      </c>
      <c r="U130" t="s">
        <v>85</v>
      </c>
      <c r="V130" s="8">
        <v>5</v>
      </c>
      <c r="W130" t="s">
        <v>1270</v>
      </c>
      <c r="X130" t="str">
        <f>_xlfn.XLOOKUP(Cleaned_data[[#This Row],[Customer_ID]],Customers[S],Customers[Loyalty_Tier])</f>
        <v>Gold</v>
      </c>
      <c r="Y130" s="9">
        <f>_xlfn.XLOOKUP(Cleaned_data[[#This Row],[Customer_ID]],Customers[S],Customers[Signup_Date])</f>
        <v>44897</v>
      </c>
      <c r="Z130" s="12">
        <f>_xlfn.XLOOKUP(Cleaned_data[[#This Row],[SKU]],Products[SKU],Products[Standard_Cost])</f>
        <v>125</v>
      </c>
      <c r="AA130" s="10">
        <f>Cleaned_data[[#This Row],[Quantity]]*Cleaned_data[[#This Row],[Unit_Price]]</f>
        <v>1208.0999999999999</v>
      </c>
      <c r="AB130" s="10">
        <f>Cleaned_data[[#This Row],[Unit_Price]]*Cleaned_data[[#This Row],[Discount_Pct]]</f>
        <v>24.162000000000003</v>
      </c>
      <c r="AC130" s="10">
        <f>Cleaned_data[[#This Row],[Gross Sales]]-Cleaned_data[[#This Row],[Discount amount]]</f>
        <v>1183.9379999999999</v>
      </c>
      <c r="AD130" s="10">
        <f>Cleaned_data[[#This Row],[Product Cost]]*Cleaned_data[[#This Row],[Quantity]]</f>
        <v>625</v>
      </c>
      <c r="AE130" s="10">
        <f>Cleaned_data[[#This Row],[Net Sales]]-Cleaned_data[[#This Row],[COGS]]</f>
        <v>558.93799999999987</v>
      </c>
      <c r="AF130" s="11">
        <f>Cleaned_data[[#This Row],[Gross Profit]]/Cleaned_data[[#This Row],[Net Sales]]</f>
        <v>0.47210073500470456</v>
      </c>
      <c r="AG130">
        <f>Cleaned_data[[#This Row],[Ship_Date]]-Cleaned_data[[#This Row],[Order_Date]]</f>
        <v>1</v>
      </c>
      <c r="AH130" t="str">
        <f>IF(Cleaned_data[[#This Row],[Delivery Days]]&gt;10,"late","on time")</f>
        <v>on time</v>
      </c>
      <c r="AI130" t="str">
        <f>TEXT(Cleaned_data[[#This Row],[Order_Date]],"mmmm")</f>
        <v>May</v>
      </c>
      <c r="AJ130" s="9" t="str">
        <f>"Q"&amp;ROUNDUP(MONTH(Cleaned_data[[#This Row],[Order_Date]])/3,0)</f>
        <v>Q2</v>
      </c>
    </row>
    <row r="131" spans="1:36">
      <c r="A131" t="s">
        <v>503</v>
      </c>
      <c r="B131" s="9">
        <v>45424</v>
      </c>
      <c r="C131" s="9">
        <v>45430</v>
      </c>
      <c r="D131" t="s">
        <v>504</v>
      </c>
      <c r="E131" t="s">
        <v>505</v>
      </c>
      <c r="F131" t="s">
        <v>74</v>
      </c>
      <c r="G131" t="s">
        <v>126</v>
      </c>
      <c r="H131" t="s">
        <v>160</v>
      </c>
      <c r="I131" t="s">
        <v>161</v>
      </c>
      <c r="J131" t="s">
        <v>78</v>
      </c>
      <c r="K131" t="s">
        <v>168</v>
      </c>
      <c r="L131" t="s">
        <v>301</v>
      </c>
      <c r="M131" t="s">
        <v>302</v>
      </c>
      <c r="N131" t="s">
        <v>120</v>
      </c>
      <c r="O131" t="s">
        <v>190</v>
      </c>
      <c r="P131" s="8">
        <v>2</v>
      </c>
      <c r="Q131" s="10">
        <v>146.06</v>
      </c>
      <c r="R131" s="11">
        <v>0.09</v>
      </c>
      <c r="S131" s="10">
        <v>8.23</v>
      </c>
      <c r="T131" t="s">
        <v>84</v>
      </c>
      <c r="U131" t="s">
        <v>85</v>
      </c>
      <c r="V131" s="8">
        <v>2</v>
      </c>
      <c r="W131" t="s">
        <v>1270</v>
      </c>
      <c r="X131" t="str">
        <f>_xlfn.XLOOKUP(Cleaned_data[[#This Row],[Customer_ID]],Customers[S],Customers[Loyalty_Tier])</f>
        <v>Bronze</v>
      </c>
      <c r="Y131" s="9">
        <f>_xlfn.XLOOKUP(Cleaned_data[[#This Row],[Customer_ID]],Customers[S],Customers[Signup_Date])</f>
        <v>44699</v>
      </c>
      <c r="Z131" s="12">
        <f>_xlfn.XLOOKUP(Cleaned_data[[#This Row],[SKU]],Products[SKU],Products[Standard_Cost])</f>
        <v>72</v>
      </c>
      <c r="AA131" s="10">
        <f>Cleaned_data[[#This Row],[Quantity]]*Cleaned_data[[#This Row],[Unit_Price]]</f>
        <v>292.12</v>
      </c>
      <c r="AB131" s="10">
        <f>Cleaned_data[[#This Row],[Unit_Price]]*Cleaned_data[[#This Row],[Discount_Pct]]</f>
        <v>13.1454</v>
      </c>
      <c r="AC131" s="10">
        <f>Cleaned_data[[#This Row],[Gross Sales]]-Cleaned_data[[#This Row],[Discount amount]]</f>
        <v>278.97460000000001</v>
      </c>
      <c r="AD131" s="10">
        <f>Cleaned_data[[#This Row],[Product Cost]]*Cleaned_data[[#This Row],[Quantity]]</f>
        <v>144</v>
      </c>
      <c r="AE131" s="10">
        <f>Cleaned_data[[#This Row],[Net Sales]]-Cleaned_data[[#This Row],[COGS]]</f>
        <v>134.97460000000001</v>
      </c>
      <c r="AF131" s="11">
        <f>Cleaned_data[[#This Row],[Gross Profit]]/Cleaned_data[[#This Row],[Net Sales]]</f>
        <v>0.48382397537266836</v>
      </c>
      <c r="AG131">
        <f>Cleaned_data[[#This Row],[Ship_Date]]-Cleaned_data[[#This Row],[Order_Date]]</f>
        <v>6</v>
      </c>
      <c r="AH131" t="str">
        <f>IF(Cleaned_data[[#This Row],[Delivery Days]]&gt;10,"late","on time")</f>
        <v>on time</v>
      </c>
      <c r="AI131" t="str">
        <f>TEXT(Cleaned_data[[#This Row],[Order_Date]],"mmmm")</f>
        <v>May</v>
      </c>
      <c r="AJ131" s="9" t="str">
        <f>"Q"&amp;ROUNDUP(MONTH(Cleaned_data[[#This Row],[Order_Date]])/3,0)</f>
        <v>Q2</v>
      </c>
    </row>
    <row r="132" spans="1:36">
      <c r="A132" t="s">
        <v>506</v>
      </c>
      <c r="B132" s="9">
        <v>45425</v>
      </c>
      <c r="C132" s="9">
        <v>45427</v>
      </c>
      <c r="D132" t="s">
        <v>406</v>
      </c>
      <c r="E132" t="s">
        <v>407</v>
      </c>
      <c r="F132" t="s">
        <v>89</v>
      </c>
      <c r="G132" t="s">
        <v>75</v>
      </c>
      <c r="H132" t="s">
        <v>116</v>
      </c>
      <c r="I132" t="s">
        <v>117</v>
      </c>
      <c r="J132" t="s">
        <v>219</v>
      </c>
      <c r="K132" t="s">
        <v>147</v>
      </c>
      <c r="L132" t="s">
        <v>80</v>
      </c>
      <c r="M132" t="s">
        <v>81</v>
      </c>
      <c r="N132" t="s">
        <v>82</v>
      </c>
      <c r="O132" t="s">
        <v>83</v>
      </c>
      <c r="P132" s="8">
        <v>3</v>
      </c>
      <c r="Q132" s="10">
        <v>225.25</v>
      </c>
      <c r="R132" s="11">
        <v>0.06</v>
      </c>
      <c r="S132" s="10">
        <v>5.59</v>
      </c>
      <c r="T132" t="s">
        <v>134</v>
      </c>
      <c r="U132" t="s">
        <v>85</v>
      </c>
      <c r="V132" s="8">
        <v>4</v>
      </c>
      <c r="W132" t="s">
        <v>1270</v>
      </c>
      <c r="X132" t="str">
        <f>_xlfn.XLOOKUP(Cleaned_data[[#This Row],[Customer_ID]],Customers[S],Customers[Loyalty_Tier])</f>
        <v>Bronze</v>
      </c>
      <c r="Y132" s="9">
        <f>_xlfn.XLOOKUP(Cleaned_data[[#This Row],[Customer_ID]],Customers[S],Customers[Signup_Date])</f>
        <v>45879</v>
      </c>
      <c r="Z132" s="12">
        <f>_xlfn.XLOOKUP(Cleaned_data[[#This Row],[SKU]],Products[SKU],Products[Standard_Cost])</f>
        <v>125</v>
      </c>
      <c r="AA132" s="10">
        <f>Cleaned_data[[#This Row],[Quantity]]*Cleaned_data[[#This Row],[Unit_Price]]</f>
        <v>675.75</v>
      </c>
      <c r="AB132" s="10">
        <f>Cleaned_data[[#This Row],[Unit_Price]]*Cleaned_data[[#This Row],[Discount_Pct]]</f>
        <v>13.514999999999999</v>
      </c>
      <c r="AC132" s="10">
        <f>Cleaned_data[[#This Row],[Gross Sales]]-Cleaned_data[[#This Row],[Discount amount]]</f>
        <v>662.23500000000001</v>
      </c>
      <c r="AD132" s="10">
        <f>Cleaned_data[[#This Row],[Product Cost]]*Cleaned_data[[#This Row],[Quantity]]</f>
        <v>375</v>
      </c>
      <c r="AE132" s="10">
        <f>Cleaned_data[[#This Row],[Net Sales]]-Cleaned_data[[#This Row],[COGS]]</f>
        <v>287.23500000000001</v>
      </c>
      <c r="AF132" s="11">
        <f>Cleaned_data[[#This Row],[Gross Profit]]/Cleaned_data[[#This Row],[Net Sales]]</f>
        <v>0.43373575845432516</v>
      </c>
      <c r="AG132">
        <f>Cleaned_data[[#This Row],[Ship_Date]]-Cleaned_data[[#This Row],[Order_Date]]</f>
        <v>2</v>
      </c>
      <c r="AH132" t="str">
        <f>IF(Cleaned_data[[#This Row],[Delivery Days]]&gt;10,"late","on time")</f>
        <v>on time</v>
      </c>
      <c r="AI132" t="str">
        <f>TEXT(Cleaned_data[[#This Row],[Order_Date]],"mmmm")</f>
        <v>May</v>
      </c>
      <c r="AJ132" s="9" t="str">
        <f>"Q"&amp;ROUNDUP(MONTH(Cleaned_data[[#This Row],[Order_Date]])/3,0)</f>
        <v>Q2</v>
      </c>
    </row>
    <row r="133" spans="1:36">
      <c r="A133" t="s">
        <v>507</v>
      </c>
      <c r="B133" s="9">
        <v>45429</v>
      </c>
      <c r="C133" s="9">
        <v>45435</v>
      </c>
      <c r="D133" t="s">
        <v>508</v>
      </c>
      <c r="E133" t="s">
        <v>509</v>
      </c>
      <c r="F133" t="s">
        <v>74</v>
      </c>
      <c r="G133" t="s">
        <v>75</v>
      </c>
      <c r="H133" t="s">
        <v>76</v>
      </c>
      <c r="I133" t="s">
        <v>77</v>
      </c>
      <c r="J133" t="s">
        <v>109</v>
      </c>
      <c r="K133" t="s">
        <v>90</v>
      </c>
      <c r="L133" t="s">
        <v>234</v>
      </c>
      <c r="M133" t="s">
        <v>235</v>
      </c>
      <c r="N133" t="s">
        <v>93</v>
      </c>
      <c r="O133" t="s">
        <v>236</v>
      </c>
      <c r="P133" s="8">
        <v>3</v>
      </c>
      <c r="Q133" s="10">
        <v>149.58000000000001</v>
      </c>
      <c r="R133" s="11">
        <v>0.05</v>
      </c>
      <c r="S133" s="10">
        <v>22.34</v>
      </c>
      <c r="T133" t="s">
        <v>134</v>
      </c>
      <c r="U133" t="s">
        <v>85</v>
      </c>
      <c r="V133" s="8">
        <v>3</v>
      </c>
      <c r="W133" t="s">
        <v>1270</v>
      </c>
      <c r="X133" t="str">
        <f>_xlfn.XLOOKUP(Cleaned_data[[#This Row],[Customer_ID]],Customers[S],Customers[Loyalty_Tier])</f>
        <v>Platinum</v>
      </c>
      <c r="Y133" s="9">
        <f>_xlfn.XLOOKUP(Cleaned_data[[#This Row],[Customer_ID]],Customers[S],Customers[Signup_Date])</f>
        <v>44820</v>
      </c>
      <c r="Z133" s="12">
        <f>_xlfn.XLOOKUP(Cleaned_data[[#This Row],[SKU]],Products[SKU],Products[Standard_Cost])</f>
        <v>82</v>
      </c>
      <c r="AA133" s="10">
        <f>Cleaned_data[[#This Row],[Quantity]]*Cleaned_data[[#This Row],[Unit_Price]]</f>
        <v>448.74</v>
      </c>
      <c r="AB133" s="10">
        <f>Cleaned_data[[#This Row],[Unit_Price]]*Cleaned_data[[#This Row],[Discount_Pct]]</f>
        <v>7.479000000000001</v>
      </c>
      <c r="AC133" s="10">
        <f>Cleaned_data[[#This Row],[Gross Sales]]-Cleaned_data[[#This Row],[Discount amount]]</f>
        <v>441.26100000000002</v>
      </c>
      <c r="AD133" s="10">
        <f>Cleaned_data[[#This Row],[Product Cost]]*Cleaned_data[[#This Row],[Quantity]]</f>
        <v>246</v>
      </c>
      <c r="AE133" s="10">
        <f>Cleaned_data[[#This Row],[Net Sales]]-Cleaned_data[[#This Row],[COGS]]</f>
        <v>195.26100000000002</v>
      </c>
      <c r="AF133" s="11">
        <f>Cleaned_data[[#This Row],[Gross Profit]]/Cleaned_data[[#This Row],[Net Sales]]</f>
        <v>0.44250681569411304</v>
      </c>
      <c r="AG133">
        <f>Cleaned_data[[#This Row],[Ship_Date]]-Cleaned_data[[#This Row],[Order_Date]]</f>
        <v>6</v>
      </c>
      <c r="AH133" t="str">
        <f>IF(Cleaned_data[[#This Row],[Delivery Days]]&gt;10,"late","on time")</f>
        <v>on time</v>
      </c>
      <c r="AI133" t="str">
        <f>TEXT(Cleaned_data[[#This Row],[Order_Date]],"mmmm")</f>
        <v>May</v>
      </c>
      <c r="AJ133" s="9" t="str">
        <f>"Q"&amp;ROUNDUP(MONTH(Cleaned_data[[#This Row],[Order_Date]])/3,0)</f>
        <v>Q2</v>
      </c>
    </row>
    <row r="134" spans="1:36">
      <c r="A134" t="s">
        <v>510</v>
      </c>
      <c r="B134" s="9">
        <v>45430</v>
      </c>
      <c r="C134" s="9">
        <v>45436</v>
      </c>
      <c r="D134" t="s">
        <v>511</v>
      </c>
      <c r="E134" t="s">
        <v>512</v>
      </c>
      <c r="F134" t="s">
        <v>152</v>
      </c>
      <c r="G134" t="s">
        <v>194</v>
      </c>
      <c r="H134" t="s">
        <v>1271</v>
      </c>
      <c r="I134" t="s">
        <v>231</v>
      </c>
      <c r="J134" t="s">
        <v>219</v>
      </c>
      <c r="K134" t="s">
        <v>168</v>
      </c>
      <c r="L134" t="s">
        <v>162</v>
      </c>
      <c r="M134" t="s">
        <v>163</v>
      </c>
      <c r="N134" t="s">
        <v>120</v>
      </c>
      <c r="O134" t="s">
        <v>164</v>
      </c>
      <c r="P134" s="8">
        <v>1</v>
      </c>
      <c r="Q134" s="10">
        <v>918.49</v>
      </c>
      <c r="R134" s="11">
        <v>0.04</v>
      </c>
      <c r="S134" s="10">
        <v>20.12</v>
      </c>
      <c r="T134" t="s">
        <v>134</v>
      </c>
      <c r="U134" t="s">
        <v>85</v>
      </c>
      <c r="W134" t="s">
        <v>1279</v>
      </c>
      <c r="X134" t="str">
        <f>_xlfn.XLOOKUP(Cleaned_data[[#This Row],[Customer_ID]],Customers[S],Customers[Loyalty_Tier])</f>
        <v>Gold</v>
      </c>
      <c r="Y134" s="9">
        <f>_xlfn.XLOOKUP(Cleaned_data[[#This Row],[Customer_ID]],Customers[S],Customers[Signup_Date])</f>
        <v>45902</v>
      </c>
      <c r="Z134" s="12">
        <f>_xlfn.XLOOKUP(Cleaned_data[[#This Row],[SKU]],Products[SKU],Products[Standard_Cost])</f>
        <v>585</v>
      </c>
      <c r="AA134" s="10">
        <f>Cleaned_data[[#This Row],[Quantity]]*Cleaned_data[[#This Row],[Unit_Price]]</f>
        <v>918.49</v>
      </c>
      <c r="AB134" s="10">
        <f>Cleaned_data[[#This Row],[Unit_Price]]*Cleaned_data[[#This Row],[Discount_Pct]]</f>
        <v>36.739600000000003</v>
      </c>
      <c r="AC134" s="10">
        <f>Cleaned_data[[#This Row],[Gross Sales]]-Cleaned_data[[#This Row],[Discount amount]]</f>
        <v>881.75040000000001</v>
      </c>
      <c r="AD134" s="10">
        <f>Cleaned_data[[#This Row],[Product Cost]]*Cleaned_data[[#This Row],[Quantity]]</f>
        <v>585</v>
      </c>
      <c r="AE134" s="10">
        <f>Cleaned_data[[#This Row],[Net Sales]]-Cleaned_data[[#This Row],[COGS]]</f>
        <v>296.75040000000001</v>
      </c>
      <c r="AF134" s="11">
        <f>Cleaned_data[[#This Row],[Gross Profit]]/Cleaned_data[[#This Row],[Net Sales]]</f>
        <v>0.33654694117518974</v>
      </c>
      <c r="AG134">
        <f>Cleaned_data[[#This Row],[Ship_Date]]-Cleaned_data[[#This Row],[Order_Date]]</f>
        <v>6</v>
      </c>
      <c r="AH134" t="str">
        <f>IF(Cleaned_data[[#This Row],[Delivery Days]]&gt;10,"late","on time")</f>
        <v>on time</v>
      </c>
      <c r="AI134" t="str">
        <f>TEXT(Cleaned_data[[#This Row],[Order_Date]],"mmmm")</f>
        <v>May</v>
      </c>
      <c r="AJ134" s="9" t="str">
        <f>"Q"&amp;ROUNDUP(MONTH(Cleaned_data[[#This Row],[Order_Date]])/3,0)</f>
        <v>Q2</v>
      </c>
    </row>
    <row r="135" spans="1:36">
      <c r="A135" t="s">
        <v>513</v>
      </c>
      <c r="B135" s="9">
        <v>45430</v>
      </c>
      <c r="C135" s="9">
        <v>45439</v>
      </c>
      <c r="D135" t="s">
        <v>514</v>
      </c>
      <c r="E135" t="s">
        <v>515</v>
      </c>
      <c r="F135" t="s">
        <v>74</v>
      </c>
      <c r="G135" t="s">
        <v>75</v>
      </c>
      <c r="H135" t="s">
        <v>212</v>
      </c>
      <c r="I135" t="s">
        <v>213</v>
      </c>
      <c r="J135" t="s">
        <v>109</v>
      </c>
      <c r="K135" t="s">
        <v>130</v>
      </c>
      <c r="L135" t="s">
        <v>162</v>
      </c>
      <c r="M135" t="s">
        <v>163</v>
      </c>
      <c r="N135" t="s">
        <v>120</v>
      </c>
      <c r="O135" t="s">
        <v>164</v>
      </c>
      <c r="P135" s="8">
        <v>4</v>
      </c>
      <c r="Q135" s="10">
        <v>925.76</v>
      </c>
      <c r="R135" s="11">
        <v>0.03</v>
      </c>
      <c r="S135" s="10">
        <v>13.03</v>
      </c>
      <c r="T135" t="s">
        <v>134</v>
      </c>
      <c r="U135" t="s">
        <v>85</v>
      </c>
      <c r="V135" s="8">
        <v>5</v>
      </c>
      <c r="W135" t="s">
        <v>1270</v>
      </c>
      <c r="X135" t="str">
        <f>_xlfn.XLOOKUP(Cleaned_data[[#This Row],[Customer_ID]],Customers[S],Customers[Loyalty_Tier])</f>
        <v>Silver</v>
      </c>
      <c r="Y135" s="9">
        <f>_xlfn.XLOOKUP(Cleaned_data[[#This Row],[Customer_ID]],Customers[S],Customers[Signup_Date])</f>
        <v>44271</v>
      </c>
      <c r="Z135" s="12">
        <f>_xlfn.XLOOKUP(Cleaned_data[[#This Row],[SKU]],Products[SKU],Products[Standard_Cost])</f>
        <v>585</v>
      </c>
      <c r="AA135" s="10">
        <f>Cleaned_data[[#This Row],[Quantity]]*Cleaned_data[[#This Row],[Unit_Price]]</f>
        <v>3703.04</v>
      </c>
      <c r="AB135" s="10">
        <f>Cleaned_data[[#This Row],[Unit_Price]]*Cleaned_data[[#This Row],[Discount_Pct]]</f>
        <v>27.7728</v>
      </c>
      <c r="AC135" s="10">
        <f>Cleaned_data[[#This Row],[Gross Sales]]-Cleaned_data[[#This Row],[Discount amount]]</f>
        <v>3675.2671999999998</v>
      </c>
      <c r="AD135" s="10">
        <f>Cleaned_data[[#This Row],[Product Cost]]*Cleaned_data[[#This Row],[Quantity]]</f>
        <v>2340</v>
      </c>
      <c r="AE135" s="10">
        <f>Cleaned_data[[#This Row],[Net Sales]]-Cleaned_data[[#This Row],[COGS]]</f>
        <v>1335.2671999999998</v>
      </c>
      <c r="AF135" s="11">
        <f>Cleaned_data[[#This Row],[Gross Profit]]/Cleaned_data[[#This Row],[Net Sales]]</f>
        <v>0.36331159813359959</v>
      </c>
      <c r="AG135">
        <f>Cleaned_data[[#This Row],[Ship_Date]]-Cleaned_data[[#This Row],[Order_Date]]</f>
        <v>9</v>
      </c>
      <c r="AH135" t="str">
        <f>IF(Cleaned_data[[#This Row],[Delivery Days]]&gt;10,"late","on time")</f>
        <v>on time</v>
      </c>
      <c r="AI135" t="str">
        <f>TEXT(Cleaned_data[[#This Row],[Order_Date]],"mmmm")</f>
        <v>May</v>
      </c>
      <c r="AJ135" s="9" t="str">
        <f>"Q"&amp;ROUNDUP(MONTH(Cleaned_data[[#This Row],[Order_Date]])/3,0)</f>
        <v>Q2</v>
      </c>
    </row>
    <row r="136" spans="1:36">
      <c r="A136" t="s">
        <v>517</v>
      </c>
      <c r="B136" s="9">
        <v>45432</v>
      </c>
      <c r="C136" s="9">
        <v>45442</v>
      </c>
      <c r="D136" t="s">
        <v>217</v>
      </c>
      <c r="E136" t="s">
        <v>218</v>
      </c>
      <c r="F136" t="s">
        <v>89</v>
      </c>
      <c r="G136" t="s">
        <v>75</v>
      </c>
      <c r="H136" t="s">
        <v>98</v>
      </c>
      <c r="I136" t="s">
        <v>99</v>
      </c>
      <c r="J136" t="s">
        <v>129</v>
      </c>
      <c r="K136" t="s">
        <v>147</v>
      </c>
      <c r="L136" t="s">
        <v>207</v>
      </c>
      <c r="M136" t="s">
        <v>208</v>
      </c>
      <c r="N136" t="s">
        <v>120</v>
      </c>
      <c r="O136" t="s">
        <v>164</v>
      </c>
      <c r="P136" s="8">
        <v>1</v>
      </c>
      <c r="Q136" s="10">
        <v>1457.04</v>
      </c>
      <c r="R136" s="11">
        <v>0.03</v>
      </c>
      <c r="S136" s="10">
        <v>9.86</v>
      </c>
      <c r="T136" t="s">
        <v>105</v>
      </c>
      <c r="U136" t="s">
        <v>85</v>
      </c>
      <c r="V136" s="8">
        <v>3</v>
      </c>
      <c r="W136" t="s">
        <v>1270</v>
      </c>
      <c r="X136" t="str">
        <f>_xlfn.XLOOKUP(Cleaned_data[[#This Row],[Customer_ID]],Customers[S],Customers[Loyalty_Tier])</f>
        <v>Bronze</v>
      </c>
      <c r="Y136" s="9">
        <f>_xlfn.XLOOKUP(Cleaned_data[[#This Row],[Customer_ID]],Customers[S],Customers[Signup_Date])</f>
        <v>45419</v>
      </c>
      <c r="Z136" s="12">
        <f>_xlfn.XLOOKUP(Cleaned_data[[#This Row],[SKU]],Products[SKU],Products[Standard_Cost])</f>
        <v>885</v>
      </c>
      <c r="AA136" s="10">
        <f>Cleaned_data[[#This Row],[Quantity]]*Cleaned_data[[#This Row],[Unit_Price]]</f>
        <v>1457.04</v>
      </c>
      <c r="AB136" s="10">
        <f>Cleaned_data[[#This Row],[Unit_Price]]*Cleaned_data[[#This Row],[Discount_Pct]]</f>
        <v>43.711199999999998</v>
      </c>
      <c r="AC136" s="10">
        <f>Cleaned_data[[#This Row],[Gross Sales]]-Cleaned_data[[#This Row],[Discount amount]]</f>
        <v>1413.3288</v>
      </c>
      <c r="AD136" s="10">
        <f>Cleaned_data[[#This Row],[Product Cost]]*Cleaned_data[[#This Row],[Quantity]]</f>
        <v>885</v>
      </c>
      <c r="AE136" s="10">
        <f>Cleaned_data[[#This Row],[Net Sales]]-Cleaned_data[[#This Row],[COGS]]</f>
        <v>528.3288</v>
      </c>
      <c r="AF136" s="11">
        <f>Cleaned_data[[#This Row],[Gross Profit]]/Cleaned_data[[#This Row],[Net Sales]]</f>
        <v>0.37381874621107275</v>
      </c>
      <c r="AG136">
        <f>Cleaned_data[[#This Row],[Ship_Date]]-Cleaned_data[[#This Row],[Order_Date]]</f>
        <v>10</v>
      </c>
      <c r="AH136" t="str">
        <f>IF(Cleaned_data[[#This Row],[Delivery Days]]&gt;10,"late","on time")</f>
        <v>on time</v>
      </c>
      <c r="AI136" t="str">
        <f>TEXT(Cleaned_data[[#This Row],[Order_Date]],"mmmm")</f>
        <v>May</v>
      </c>
      <c r="AJ136" s="9" t="str">
        <f>"Q"&amp;ROUNDUP(MONTH(Cleaned_data[[#This Row],[Order_Date]])/3,0)</f>
        <v>Q2</v>
      </c>
    </row>
    <row r="137" spans="1:36">
      <c r="A137" t="s">
        <v>518</v>
      </c>
      <c r="B137" s="9">
        <v>45432</v>
      </c>
      <c r="C137" s="9">
        <v>45438</v>
      </c>
      <c r="D137" t="s">
        <v>519</v>
      </c>
      <c r="E137" t="s">
        <v>520</v>
      </c>
      <c r="F137" t="s">
        <v>74</v>
      </c>
      <c r="G137" t="s">
        <v>126</v>
      </c>
      <c r="H137" t="s">
        <v>127</v>
      </c>
      <c r="I137" t="s">
        <v>128</v>
      </c>
      <c r="J137" t="s">
        <v>129</v>
      </c>
      <c r="K137" t="s">
        <v>79</v>
      </c>
      <c r="L137" t="s">
        <v>359</v>
      </c>
      <c r="M137" t="s">
        <v>360</v>
      </c>
      <c r="N137" t="s">
        <v>93</v>
      </c>
      <c r="O137" t="s">
        <v>94</v>
      </c>
      <c r="P137" s="8">
        <v>2</v>
      </c>
      <c r="Q137" s="10">
        <v>462.87</v>
      </c>
      <c r="R137" s="11">
        <v>0.08</v>
      </c>
      <c r="S137" s="10">
        <v>23.79</v>
      </c>
      <c r="T137" t="s">
        <v>134</v>
      </c>
      <c r="U137" t="s">
        <v>85</v>
      </c>
      <c r="V137" s="8">
        <v>4</v>
      </c>
      <c r="W137" t="s">
        <v>1270</v>
      </c>
      <c r="X137" t="str">
        <f>_xlfn.XLOOKUP(Cleaned_data[[#This Row],[Customer_ID]],Customers[S],Customers[Loyalty_Tier])</f>
        <v>Gold</v>
      </c>
      <c r="Y137" s="9">
        <f>_xlfn.XLOOKUP(Cleaned_data[[#This Row],[Customer_ID]],Customers[S],Customers[Signup_Date])</f>
        <v>44755</v>
      </c>
      <c r="Z137" s="12">
        <f>_xlfn.XLOOKUP(Cleaned_data[[#This Row],[SKU]],Products[SKU],Products[Standard_Cost])</f>
        <v>265</v>
      </c>
      <c r="AA137" s="10">
        <f>Cleaned_data[[#This Row],[Quantity]]*Cleaned_data[[#This Row],[Unit_Price]]</f>
        <v>925.74</v>
      </c>
      <c r="AB137" s="10">
        <f>Cleaned_data[[#This Row],[Unit_Price]]*Cleaned_data[[#This Row],[Discount_Pct]]</f>
        <v>37.029600000000002</v>
      </c>
      <c r="AC137" s="10">
        <f>Cleaned_data[[#This Row],[Gross Sales]]-Cleaned_data[[#This Row],[Discount amount]]</f>
        <v>888.71040000000005</v>
      </c>
      <c r="AD137" s="10">
        <f>Cleaned_data[[#This Row],[Product Cost]]*Cleaned_data[[#This Row],[Quantity]]</f>
        <v>530</v>
      </c>
      <c r="AE137" s="10">
        <f>Cleaned_data[[#This Row],[Net Sales]]-Cleaned_data[[#This Row],[COGS]]</f>
        <v>358.71040000000005</v>
      </c>
      <c r="AF137" s="11">
        <f>Cleaned_data[[#This Row],[Gross Profit]]/Cleaned_data[[#This Row],[Net Sales]]</f>
        <v>0.40363024895398997</v>
      </c>
      <c r="AG137">
        <f>Cleaned_data[[#This Row],[Ship_Date]]-Cleaned_data[[#This Row],[Order_Date]]</f>
        <v>6</v>
      </c>
      <c r="AH137" t="str">
        <f>IF(Cleaned_data[[#This Row],[Delivery Days]]&gt;10,"late","on time")</f>
        <v>on time</v>
      </c>
      <c r="AI137" t="str">
        <f>TEXT(Cleaned_data[[#This Row],[Order_Date]],"mmmm")</f>
        <v>May</v>
      </c>
      <c r="AJ137" s="9" t="str">
        <f>"Q"&amp;ROUNDUP(MONTH(Cleaned_data[[#This Row],[Order_Date]])/3,0)</f>
        <v>Q2</v>
      </c>
    </row>
    <row r="138" spans="1:36">
      <c r="A138" t="s">
        <v>521</v>
      </c>
      <c r="B138" s="9">
        <v>45432</v>
      </c>
      <c r="C138" s="9">
        <v>45441</v>
      </c>
      <c r="D138" t="s">
        <v>522</v>
      </c>
      <c r="E138" t="s">
        <v>512</v>
      </c>
      <c r="F138" t="s">
        <v>74</v>
      </c>
      <c r="G138" t="s">
        <v>194</v>
      </c>
      <c r="H138" t="s">
        <v>230</v>
      </c>
      <c r="I138" t="s">
        <v>231</v>
      </c>
      <c r="J138" t="s">
        <v>129</v>
      </c>
      <c r="K138" t="s">
        <v>168</v>
      </c>
      <c r="L138" t="s">
        <v>169</v>
      </c>
      <c r="M138" t="s">
        <v>170</v>
      </c>
      <c r="N138" t="s">
        <v>103</v>
      </c>
      <c r="O138" t="s">
        <v>171</v>
      </c>
      <c r="P138" s="8">
        <v>8</v>
      </c>
      <c r="Q138" s="10">
        <v>14.99</v>
      </c>
      <c r="R138" s="11">
        <v>0.11</v>
      </c>
      <c r="S138" s="10">
        <v>7.61</v>
      </c>
      <c r="T138" t="s">
        <v>134</v>
      </c>
      <c r="U138" t="s">
        <v>85</v>
      </c>
      <c r="W138" t="s">
        <v>1270</v>
      </c>
      <c r="X138" t="str">
        <f>_xlfn.XLOOKUP(Cleaned_data[[#This Row],[Customer_ID]],Customers[S],Customers[Loyalty_Tier])</f>
        <v>Silver</v>
      </c>
      <c r="Y138" s="9">
        <f>_xlfn.XLOOKUP(Cleaned_data[[#This Row],[Customer_ID]],Customers[S],Customers[Signup_Date])</f>
        <v>44653</v>
      </c>
      <c r="Z138" s="12">
        <f>_xlfn.XLOOKUP(Cleaned_data[[#This Row],[SKU]],Products[SKU],Products[Standard_Cost])</f>
        <v>6</v>
      </c>
      <c r="AA138" s="10">
        <f>Cleaned_data[[#This Row],[Quantity]]*Cleaned_data[[#This Row],[Unit_Price]]</f>
        <v>119.92</v>
      </c>
      <c r="AB138" s="10">
        <f>Cleaned_data[[#This Row],[Unit_Price]]*Cleaned_data[[#This Row],[Discount_Pct]]</f>
        <v>1.6489</v>
      </c>
      <c r="AC138" s="10">
        <f>Cleaned_data[[#This Row],[Gross Sales]]-Cleaned_data[[#This Row],[Discount amount]]</f>
        <v>118.2711</v>
      </c>
      <c r="AD138" s="10">
        <f>Cleaned_data[[#This Row],[Product Cost]]*Cleaned_data[[#This Row],[Quantity]]</f>
        <v>48</v>
      </c>
      <c r="AE138" s="10">
        <f>Cleaned_data[[#This Row],[Net Sales]]-Cleaned_data[[#This Row],[COGS]]</f>
        <v>70.271100000000004</v>
      </c>
      <c r="AF138" s="11">
        <f>Cleaned_data[[#This Row],[Gross Profit]]/Cleaned_data[[#This Row],[Net Sales]]</f>
        <v>0.59415275582961524</v>
      </c>
      <c r="AG138">
        <f>Cleaned_data[[#This Row],[Ship_Date]]-Cleaned_data[[#This Row],[Order_Date]]</f>
        <v>9</v>
      </c>
      <c r="AH138" t="str">
        <f>IF(Cleaned_data[[#This Row],[Delivery Days]]&gt;10,"late","on time")</f>
        <v>on time</v>
      </c>
      <c r="AI138" t="str">
        <f>TEXT(Cleaned_data[[#This Row],[Order_Date]],"mmmm")</f>
        <v>May</v>
      </c>
      <c r="AJ138" s="9" t="str">
        <f>"Q"&amp;ROUNDUP(MONTH(Cleaned_data[[#This Row],[Order_Date]])/3,0)</f>
        <v>Q2</v>
      </c>
    </row>
    <row r="139" spans="1:36">
      <c r="A139" t="s">
        <v>523</v>
      </c>
      <c r="B139" s="9">
        <v>45433</v>
      </c>
      <c r="C139" s="9">
        <v>45439</v>
      </c>
      <c r="D139" t="s">
        <v>184</v>
      </c>
      <c r="E139" t="s">
        <v>185</v>
      </c>
      <c r="F139" t="s">
        <v>74</v>
      </c>
      <c r="G139" t="s">
        <v>138</v>
      </c>
      <c r="H139" t="s">
        <v>186</v>
      </c>
      <c r="I139" t="s">
        <v>187</v>
      </c>
      <c r="J139" t="s">
        <v>219</v>
      </c>
      <c r="K139" t="s">
        <v>90</v>
      </c>
      <c r="L139" t="s">
        <v>197</v>
      </c>
      <c r="M139" t="s">
        <v>198</v>
      </c>
      <c r="N139" t="s">
        <v>120</v>
      </c>
      <c r="O139" t="s">
        <v>121</v>
      </c>
      <c r="P139" s="8">
        <v>4</v>
      </c>
      <c r="Q139" s="10">
        <v>528.12</v>
      </c>
      <c r="R139" s="11">
        <v>0.09</v>
      </c>
      <c r="S139" s="10">
        <v>6.93</v>
      </c>
      <c r="T139" t="s">
        <v>122</v>
      </c>
      <c r="U139" t="s">
        <v>85</v>
      </c>
      <c r="V139" s="8">
        <v>4</v>
      </c>
      <c r="W139" t="s">
        <v>1270</v>
      </c>
      <c r="X139" t="str">
        <f>_xlfn.XLOOKUP(Cleaned_data[[#This Row],[Customer_ID]],Customers[S],Customers[Loyalty_Tier])</f>
        <v>Platinum</v>
      </c>
      <c r="Y139" s="9">
        <f>_xlfn.XLOOKUP(Cleaned_data[[#This Row],[Customer_ID]],Customers[S],Customers[Signup_Date])</f>
        <v>46013</v>
      </c>
      <c r="Z139" s="12">
        <f>_xlfn.XLOOKUP(Cleaned_data[[#This Row],[SKU]],Products[SKU],Products[Standard_Cost])</f>
        <v>310</v>
      </c>
      <c r="AA139" s="10">
        <f>Cleaned_data[[#This Row],[Quantity]]*Cleaned_data[[#This Row],[Unit_Price]]</f>
        <v>2112.48</v>
      </c>
      <c r="AB139" s="10">
        <f>Cleaned_data[[#This Row],[Unit_Price]]*Cleaned_data[[#This Row],[Discount_Pct]]</f>
        <v>47.530799999999999</v>
      </c>
      <c r="AC139" s="10">
        <f>Cleaned_data[[#This Row],[Gross Sales]]-Cleaned_data[[#This Row],[Discount amount]]</f>
        <v>2064.9492</v>
      </c>
      <c r="AD139" s="10">
        <f>Cleaned_data[[#This Row],[Product Cost]]*Cleaned_data[[#This Row],[Quantity]]</f>
        <v>1240</v>
      </c>
      <c r="AE139" s="10">
        <f>Cleaned_data[[#This Row],[Net Sales]]-Cleaned_data[[#This Row],[COGS]]</f>
        <v>824.94920000000002</v>
      </c>
      <c r="AF139" s="11">
        <f>Cleaned_data[[#This Row],[Gross Profit]]/Cleaned_data[[#This Row],[Net Sales]]</f>
        <v>0.39950096593175272</v>
      </c>
      <c r="AG139">
        <f>Cleaned_data[[#This Row],[Ship_Date]]-Cleaned_data[[#This Row],[Order_Date]]</f>
        <v>6</v>
      </c>
      <c r="AH139" t="str">
        <f>IF(Cleaned_data[[#This Row],[Delivery Days]]&gt;10,"late","on time")</f>
        <v>on time</v>
      </c>
      <c r="AI139" t="str">
        <f>TEXT(Cleaned_data[[#This Row],[Order_Date]],"mmmm")</f>
        <v>May</v>
      </c>
      <c r="AJ139" s="9" t="str">
        <f>"Q"&amp;ROUNDUP(MONTH(Cleaned_data[[#This Row],[Order_Date]])/3,0)</f>
        <v>Q2</v>
      </c>
    </row>
    <row r="140" spans="1:36">
      <c r="A140" t="s">
        <v>524</v>
      </c>
      <c r="B140" s="9">
        <v>45434</v>
      </c>
      <c r="C140" s="9">
        <v>45444</v>
      </c>
      <c r="D140" t="s">
        <v>490</v>
      </c>
      <c r="E140" t="s">
        <v>491</v>
      </c>
      <c r="F140" t="s">
        <v>152</v>
      </c>
      <c r="G140" t="s">
        <v>194</v>
      </c>
      <c r="H140" t="s">
        <v>202</v>
      </c>
      <c r="I140" t="s">
        <v>203</v>
      </c>
      <c r="J140" t="s">
        <v>219</v>
      </c>
      <c r="K140" t="s">
        <v>100</v>
      </c>
      <c r="L140" t="s">
        <v>249</v>
      </c>
      <c r="M140" t="s">
        <v>250</v>
      </c>
      <c r="N140" t="s">
        <v>103</v>
      </c>
      <c r="O140" t="s">
        <v>251</v>
      </c>
      <c r="P140" s="8">
        <v>10</v>
      </c>
      <c r="Q140" s="10">
        <v>21.52</v>
      </c>
      <c r="R140" s="11">
        <v>0.02</v>
      </c>
      <c r="S140" s="10">
        <v>9.2799999999999994</v>
      </c>
      <c r="T140" t="s">
        <v>122</v>
      </c>
      <c r="U140" t="s">
        <v>85</v>
      </c>
      <c r="V140" s="8">
        <v>1</v>
      </c>
      <c r="W140" t="s">
        <v>1270</v>
      </c>
      <c r="X140" t="str">
        <f>_xlfn.XLOOKUP(Cleaned_data[[#This Row],[Customer_ID]],Customers[S],Customers[Loyalty_Tier])</f>
        <v>Gold</v>
      </c>
      <c r="Y140" s="9">
        <f>_xlfn.XLOOKUP(Cleaned_data[[#This Row],[Customer_ID]],Customers[S],Customers[Signup_Date])</f>
        <v>44414</v>
      </c>
      <c r="Z140" s="12">
        <f>_xlfn.XLOOKUP(Cleaned_data[[#This Row],[SKU]],Products[SKU],Products[Standard_Cost])</f>
        <v>10</v>
      </c>
      <c r="AA140" s="10">
        <f>Cleaned_data[[#This Row],[Quantity]]*Cleaned_data[[#This Row],[Unit_Price]]</f>
        <v>215.2</v>
      </c>
      <c r="AB140" s="10">
        <f>Cleaned_data[[#This Row],[Unit_Price]]*Cleaned_data[[#This Row],[Discount_Pct]]</f>
        <v>0.4304</v>
      </c>
      <c r="AC140" s="10">
        <f>Cleaned_data[[#This Row],[Gross Sales]]-Cleaned_data[[#This Row],[Discount amount]]</f>
        <v>214.7696</v>
      </c>
      <c r="AD140" s="10">
        <f>Cleaned_data[[#This Row],[Product Cost]]*Cleaned_data[[#This Row],[Quantity]]</f>
        <v>100</v>
      </c>
      <c r="AE140" s="10">
        <f>Cleaned_data[[#This Row],[Net Sales]]-Cleaned_data[[#This Row],[COGS]]</f>
        <v>114.7696</v>
      </c>
      <c r="AF140" s="11">
        <f>Cleaned_data[[#This Row],[Gross Profit]]/Cleaned_data[[#This Row],[Net Sales]]</f>
        <v>0.53438475463939028</v>
      </c>
      <c r="AG140">
        <f>Cleaned_data[[#This Row],[Ship_Date]]-Cleaned_data[[#This Row],[Order_Date]]</f>
        <v>10</v>
      </c>
      <c r="AH140" t="str">
        <f>IF(Cleaned_data[[#This Row],[Delivery Days]]&gt;10,"late","on time")</f>
        <v>on time</v>
      </c>
      <c r="AI140" t="str">
        <f>TEXT(Cleaned_data[[#This Row],[Order_Date]],"mmmm")</f>
        <v>May</v>
      </c>
      <c r="AJ140" s="9" t="str">
        <f>"Q"&amp;ROUNDUP(MONTH(Cleaned_data[[#This Row],[Order_Date]])/3,0)</f>
        <v>Q2</v>
      </c>
    </row>
    <row r="141" spans="1:36">
      <c r="A141" t="s">
        <v>525</v>
      </c>
      <c r="B141" s="9">
        <v>45435</v>
      </c>
      <c r="C141" s="9">
        <v>45445</v>
      </c>
      <c r="D141" t="s">
        <v>322</v>
      </c>
      <c r="E141" t="s">
        <v>323</v>
      </c>
      <c r="F141" t="s">
        <v>74</v>
      </c>
      <c r="G141" t="s">
        <v>194</v>
      </c>
      <c r="H141" t="s">
        <v>240</v>
      </c>
      <c r="I141" t="s">
        <v>241</v>
      </c>
      <c r="J141" t="s">
        <v>129</v>
      </c>
      <c r="K141" t="s">
        <v>100</v>
      </c>
      <c r="L141" t="s">
        <v>91</v>
      </c>
      <c r="M141" t="s">
        <v>92</v>
      </c>
      <c r="N141" t="s">
        <v>93</v>
      </c>
      <c r="O141" t="s">
        <v>94</v>
      </c>
      <c r="P141" s="8">
        <v>2</v>
      </c>
      <c r="Q141" s="10">
        <v>327.92</v>
      </c>
      <c r="R141" s="11">
        <v>7.0000000000000007E-2</v>
      </c>
      <c r="S141" s="10">
        <v>21.78</v>
      </c>
      <c r="T141" t="s">
        <v>122</v>
      </c>
      <c r="U141" t="s">
        <v>85</v>
      </c>
      <c r="V141" s="8">
        <v>5</v>
      </c>
      <c r="W141" t="s">
        <v>1270</v>
      </c>
      <c r="X141" t="str">
        <f>_xlfn.XLOOKUP(Cleaned_data[[#This Row],[Customer_ID]],Customers[S],Customers[Loyalty_Tier])</f>
        <v>Silver</v>
      </c>
      <c r="Y141" s="9">
        <f>_xlfn.XLOOKUP(Cleaned_data[[#This Row],[Customer_ID]],Customers[S],Customers[Signup_Date])</f>
        <v>44540</v>
      </c>
      <c r="Z141" s="12">
        <f>_xlfn.XLOOKUP(Cleaned_data[[#This Row],[SKU]],Products[SKU],Products[Standard_Cost])</f>
        <v>184</v>
      </c>
      <c r="AA141" s="10">
        <f>Cleaned_data[[#This Row],[Quantity]]*Cleaned_data[[#This Row],[Unit_Price]]</f>
        <v>655.84</v>
      </c>
      <c r="AB141" s="10">
        <f>Cleaned_data[[#This Row],[Unit_Price]]*Cleaned_data[[#This Row],[Discount_Pct]]</f>
        <v>22.954400000000003</v>
      </c>
      <c r="AC141" s="10">
        <f>Cleaned_data[[#This Row],[Gross Sales]]-Cleaned_data[[#This Row],[Discount amount]]</f>
        <v>632.88560000000007</v>
      </c>
      <c r="AD141" s="10">
        <f>Cleaned_data[[#This Row],[Product Cost]]*Cleaned_data[[#This Row],[Quantity]]</f>
        <v>368</v>
      </c>
      <c r="AE141" s="10">
        <f>Cleaned_data[[#This Row],[Net Sales]]-Cleaned_data[[#This Row],[COGS]]</f>
        <v>264.88560000000007</v>
      </c>
      <c r="AF141" s="11">
        <f>Cleaned_data[[#This Row],[Gross Profit]]/Cleaned_data[[#This Row],[Net Sales]]</f>
        <v>0.41853630419146848</v>
      </c>
      <c r="AG141">
        <f>Cleaned_data[[#This Row],[Ship_Date]]-Cleaned_data[[#This Row],[Order_Date]]</f>
        <v>10</v>
      </c>
      <c r="AH141" t="str">
        <f>IF(Cleaned_data[[#This Row],[Delivery Days]]&gt;10,"late","on time")</f>
        <v>on time</v>
      </c>
      <c r="AI141" t="str">
        <f>TEXT(Cleaned_data[[#This Row],[Order_Date]],"mmmm")</f>
        <v>May</v>
      </c>
      <c r="AJ141" s="9" t="str">
        <f>"Q"&amp;ROUNDUP(MONTH(Cleaned_data[[#This Row],[Order_Date]])/3,0)</f>
        <v>Q2</v>
      </c>
    </row>
    <row r="142" spans="1:36">
      <c r="A142" t="s">
        <v>526</v>
      </c>
      <c r="B142" s="9">
        <v>45436</v>
      </c>
      <c r="C142" s="9">
        <v>45441</v>
      </c>
      <c r="D142" t="s">
        <v>238</v>
      </c>
      <c r="E142" t="s">
        <v>239</v>
      </c>
      <c r="F142" t="s">
        <v>89</v>
      </c>
      <c r="G142" t="s">
        <v>194</v>
      </c>
      <c r="H142" t="s">
        <v>240</v>
      </c>
      <c r="I142" t="s">
        <v>241</v>
      </c>
      <c r="J142" t="s">
        <v>129</v>
      </c>
      <c r="K142" t="s">
        <v>90</v>
      </c>
      <c r="L142" t="s">
        <v>155</v>
      </c>
      <c r="M142" t="s">
        <v>156</v>
      </c>
      <c r="N142" t="s">
        <v>120</v>
      </c>
      <c r="O142" t="s">
        <v>112</v>
      </c>
      <c r="P142" s="8">
        <v>8</v>
      </c>
      <c r="Q142" s="10">
        <v>175.73</v>
      </c>
      <c r="R142" s="11">
        <v>0.04</v>
      </c>
      <c r="S142" s="10">
        <v>12.39</v>
      </c>
      <c r="T142" t="s">
        <v>84</v>
      </c>
      <c r="U142" t="s">
        <v>85</v>
      </c>
      <c r="V142" s="8">
        <v>3</v>
      </c>
      <c r="W142" t="s">
        <v>1270</v>
      </c>
      <c r="X142" t="str">
        <f>_xlfn.XLOOKUP(Cleaned_data[[#This Row],[Customer_ID]],Customers[S],Customers[Loyalty_Tier])</f>
        <v>Bronze</v>
      </c>
      <c r="Y142" s="9">
        <f>_xlfn.XLOOKUP(Cleaned_data[[#This Row],[Customer_ID]],Customers[S],Customers[Signup_Date])</f>
        <v>45751</v>
      </c>
      <c r="Z142" s="12">
        <f>_xlfn.XLOOKUP(Cleaned_data[[#This Row],[SKU]],Products[SKU],Products[Standard_Cost])</f>
        <v>82</v>
      </c>
      <c r="AA142" s="10">
        <f>Cleaned_data[[#This Row],[Quantity]]*Cleaned_data[[#This Row],[Unit_Price]]</f>
        <v>1405.84</v>
      </c>
      <c r="AB142" s="10">
        <f>Cleaned_data[[#This Row],[Unit_Price]]*Cleaned_data[[#This Row],[Discount_Pct]]</f>
        <v>7.0291999999999994</v>
      </c>
      <c r="AC142" s="10">
        <f>Cleaned_data[[#This Row],[Gross Sales]]-Cleaned_data[[#This Row],[Discount amount]]</f>
        <v>1398.8108</v>
      </c>
      <c r="AD142" s="10">
        <f>Cleaned_data[[#This Row],[Product Cost]]*Cleaned_data[[#This Row],[Quantity]]</f>
        <v>656</v>
      </c>
      <c r="AE142" s="10">
        <f>Cleaned_data[[#This Row],[Net Sales]]-Cleaned_data[[#This Row],[COGS]]</f>
        <v>742.81079999999997</v>
      </c>
      <c r="AF142" s="11">
        <f>Cleaned_data[[#This Row],[Gross Profit]]/Cleaned_data[[#This Row],[Net Sales]]</f>
        <v>0.53103021509413562</v>
      </c>
      <c r="AG142">
        <f>Cleaned_data[[#This Row],[Ship_Date]]-Cleaned_data[[#This Row],[Order_Date]]</f>
        <v>5</v>
      </c>
      <c r="AH142" t="str">
        <f>IF(Cleaned_data[[#This Row],[Delivery Days]]&gt;10,"late","on time")</f>
        <v>on time</v>
      </c>
      <c r="AI142" t="str">
        <f>TEXT(Cleaned_data[[#This Row],[Order_Date]],"mmmm")</f>
        <v>May</v>
      </c>
      <c r="AJ142" s="9" t="str">
        <f>"Q"&amp;ROUNDUP(MONTH(Cleaned_data[[#This Row],[Order_Date]])/3,0)</f>
        <v>Q2</v>
      </c>
    </row>
    <row r="143" spans="1:36">
      <c r="A143" t="s">
        <v>528</v>
      </c>
      <c r="B143" s="9">
        <v>45438</v>
      </c>
      <c r="C143" s="9">
        <v>45445</v>
      </c>
      <c r="D143" t="s">
        <v>529</v>
      </c>
      <c r="E143" t="s">
        <v>397</v>
      </c>
      <c r="F143" t="s">
        <v>89</v>
      </c>
      <c r="G143" t="s">
        <v>194</v>
      </c>
      <c r="H143" t="s">
        <v>240</v>
      </c>
      <c r="I143" t="s">
        <v>241</v>
      </c>
      <c r="J143" t="s">
        <v>109</v>
      </c>
      <c r="K143" t="s">
        <v>100</v>
      </c>
      <c r="L143" t="s">
        <v>91</v>
      </c>
      <c r="M143" t="s">
        <v>92</v>
      </c>
      <c r="N143" t="s">
        <v>93</v>
      </c>
      <c r="O143" t="s">
        <v>94</v>
      </c>
      <c r="P143" s="8">
        <v>3</v>
      </c>
      <c r="Q143" s="10">
        <v>318.55</v>
      </c>
      <c r="R143" s="11">
        <v>0.31</v>
      </c>
      <c r="S143" s="10">
        <v>20.13</v>
      </c>
      <c r="T143" t="s">
        <v>122</v>
      </c>
      <c r="U143" t="s">
        <v>85</v>
      </c>
      <c r="W143" t="s">
        <v>1270</v>
      </c>
      <c r="X143" t="str">
        <f>_xlfn.XLOOKUP(Cleaned_data[[#This Row],[Customer_ID]],Customers[S],Customers[Loyalty_Tier])</f>
        <v>Bronze</v>
      </c>
      <c r="Y143" s="9">
        <f>_xlfn.XLOOKUP(Cleaned_data[[#This Row],[Customer_ID]],Customers[S],Customers[Signup_Date])</f>
        <v>45274</v>
      </c>
      <c r="Z143" s="12">
        <f>_xlfn.XLOOKUP(Cleaned_data[[#This Row],[SKU]],Products[SKU],Products[Standard_Cost])</f>
        <v>184</v>
      </c>
      <c r="AA143" s="10">
        <f>Cleaned_data[[#This Row],[Quantity]]*Cleaned_data[[#This Row],[Unit_Price]]</f>
        <v>955.65000000000009</v>
      </c>
      <c r="AB143" s="10">
        <f>Cleaned_data[[#This Row],[Unit_Price]]*Cleaned_data[[#This Row],[Discount_Pct]]</f>
        <v>98.750500000000002</v>
      </c>
      <c r="AC143" s="10">
        <f>Cleaned_data[[#This Row],[Gross Sales]]-Cleaned_data[[#This Row],[Discount amount]]</f>
        <v>856.8995000000001</v>
      </c>
      <c r="AD143" s="10">
        <f>Cleaned_data[[#This Row],[Product Cost]]*Cleaned_data[[#This Row],[Quantity]]</f>
        <v>552</v>
      </c>
      <c r="AE143" s="10">
        <f>Cleaned_data[[#This Row],[Net Sales]]-Cleaned_data[[#This Row],[COGS]]</f>
        <v>304.8995000000001</v>
      </c>
      <c r="AF143" s="11">
        <f>Cleaned_data[[#This Row],[Gross Profit]]/Cleaned_data[[#This Row],[Net Sales]]</f>
        <v>0.35581710573993808</v>
      </c>
      <c r="AG143">
        <f>Cleaned_data[[#This Row],[Ship_Date]]-Cleaned_data[[#This Row],[Order_Date]]</f>
        <v>7</v>
      </c>
      <c r="AH143" t="str">
        <f>IF(Cleaned_data[[#This Row],[Delivery Days]]&gt;10,"late","on time")</f>
        <v>on time</v>
      </c>
      <c r="AI143" t="str">
        <f>TEXT(Cleaned_data[[#This Row],[Order_Date]],"mmmm")</f>
        <v>May</v>
      </c>
      <c r="AJ143" s="9" t="str">
        <f>"Q"&amp;ROUNDUP(MONTH(Cleaned_data[[#This Row],[Order_Date]])/3,0)</f>
        <v>Q2</v>
      </c>
    </row>
    <row r="144" spans="1:36">
      <c r="A144" t="s">
        <v>530</v>
      </c>
      <c r="B144" s="9">
        <v>45441</v>
      </c>
      <c r="C144" s="9">
        <v>45445</v>
      </c>
      <c r="D144" t="s">
        <v>381</v>
      </c>
      <c r="E144" t="s">
        <v>382</v>
      </c>
      <c r="F144" t="s">
        <v>152</v>
      </c>
      <c r="G144" t="s">
        <v>194</v>
      </c>
      <c r="H144" t="s">
        <v>202</v>
      </c>
      <c r="I144" t="s">
        <v>203</v>
      </c>
      <c r="J144" t="s">
        <v>219</v>
      </c>
      <c r="K144" t="s">
        <v>168</v>
      </c>
      <c r="L144" t="s">
        <v>101</v>
      </c>
      <c r="M144" t="s">
        <v>102</v>
      </c>
      <c r="N144" t="s">
        <v>103</v>
      </c>
      <c r="O144" t="s">
        <v>104</v>
      </c>
      <c r="P144" s="8">
        <v>9</v>
      </c>
      <c r="Q144" s="10">
        <v>75.08</v>
      </c>
      <c r="R144" s="11">
        <v>0.04</v>
      </c>
      <c r="S144" s="10">
        <v>5.24</v>
      </c>
      <c r="T144" t="s">
        <v>122</v>
      </c>
      <c r="U144" t="s">
        <v>85</v>
      </c>
      <c r="V144" s="8">
        <v>1</v>
      </c>
      <c r="W144" t="s">
        <v>1270</v>
      </c>
      <c r="X144" t="str">
        <f>_xlfn.XLOOKUP(Cleaned_data[[#This Row],[Customer_ID]],Customers[S],Customers[Loyalty_Tier])</f>
        <v>Gold</v>
      </c>
      <c r="Y144" s="9">
        <f>_xlfn.XLOOKUP(Cleaned_data[[#This Row],[Customer_ID]],Customers[S],Customers[Signup_Date])</f>
        <v>45919</v>
      </c>
      <c r="Z144" s="12">
        <f>_xlfn.XLOOKUP(Cleaned_data[[#This Row],[SKU]],Products[SKU],Products[Standard_Cost])</f>
        <v>36</v>
      </c>
      <c r="AA144" s="10">
        <f>Cleaned_data[[#This Row],[Quantity]]*Cleaned_data[[#This Row],[Unit_Price]]</f>
        <v>675.72</v>
      </c>
      <c r="AB144" s="10">
        <f>Cleaned_data[[#This Row],[Unit_Price]]*Cleaned_data[[#This Row],[Discount_Pct]]</f>
        <v>3.0032000000000001</v>
      </c>
      <c r="AC144" s="10">
        <f>Cleaned_data[[#This Row],[Gross Sales]]-Cleaned_data[[#This Row],[Discount amount]]</f>
        <v>672.71680000000003</v>
      </c>
      <c r="AD144" s="10">
        <f>Cleaned_data[[#This Row],[Product Cost]]*Cleaned_data[[#This Row],[Quantity]]</f>
        <v>324</v>
      </c>
      <c r="AE144" s="10">
        <f>Cleaned_data[[#This Row],[Net Sales]]-Cleaned_data[[#This Row],[COGS]]</f>
        <v>348.71680000000003</v>
      </c>
      <c r="AF144" s="11">
        <f>Cleaned_data[[#This Row],[Gross Profit]]/Cleaned_data[[#This Row],[Net Sales]]</f>
        <v>0.51837088058451941</v>
      </c>
      <c r="AG144">
        <f>Cleaned_data[[#This Row],[Ship_Date]]-Cleaned_data[[#This Row],[Order_Date]]</f>
        <v>4</v>
      </c>
      <c r="AH144" t="str">
        <f>IF(Cleaned_data[[#This Row],[Delivery Days]]&gt;10,"late","on time")</f>
        <v>on time</v>
      </c>
      <c r="AI144" t="str">
        <f>TEXT(Cleaned_data[[#This Row],[Order_Date]],"mmmm")</f>
        <v>May</v>
      </c>
      <c r="AJ144" s="9" t="str">
        <f>"Q"&amp;ROUNDUP(MONTH(Cleaned_data[[#This Row],[Order_Date]])/3,0)</f>
        <v>Q2</v>
      </c>
    </row>
    <row r="145" spans="1:36">
      <c r="A145" t="s">
        <v>531</v>
      </c>
      <c r="B145" s="9">
        <v>45442</v>
      </c>
      <c r="C145" s="9">
        <v>45443</v>
      </c>
      <c r="D145" t="s">
        <v>173</v>
      </c>
      <c r="E145" t="s">
        <v>174</v>
      </c>
      <c r="F145" t="s">
        <v>89</v>
      </c>
      <c r="G145" t="s">
        <v>126</v>
      </c>
      <c r="H145" t="s">
        <v>127</v>
      </c>
      <c r="I145" t="s">
        <v>128</v>
      </c>
      <c r="J145" t="s">
        <v>219</v>
      </c>
      <c r="K145" t="s">
        <v>147</v>
      </c>
      <c r="L145" t="s">
        <v>169</v>
      </c>
      <c r="M145" t="s">
        <v>170</v>
      </c>
      <c r="N145" t="s">
        <v>103</v>
      </c>
      <c r="O145" t="s">
        <v>171</v>
      </c>
      <c r="P145" s="8">
        <v>6</v>
      </c>
      <c r="Q145" s="10">
        <v>14.72</v>
      </c>
      <c r="R145" s="11">
        <v>0.35</v>
      </c>
      <c r="S145" s="10">
        <v>6.59</v>
      </c>
      <c r="T145" t="s">
        <v>122</v>
      </c>
      <c r="U145" t="s">
        <v>85</v>
      </c>
      <c r="V145" s="8">
        <v>4</v>
      </c>
      <c r="W145" t="s">
        <v>1270</v>
      </c>
      <c r="X145" t="str">
        <f>_xlfn.XLOOKUP(Cleaned_data[[#This Row],[Customer_ID]],Customers[S],Customers[Loyalty_Tier])</f>
        <v>Gold</v>
      </c>
      <c r="Y145" s="9">
        <f>_xlfn.XLOOKUP(Cleaned_data[[#This Row],[Customer_ID]],Customers[S],Customers[Signup_Date])</f>
        <v>44543</v>
      </c>
      <c r="Z145" s="12">
        <f>_xlfn.XLOOKUP(Cleaned_data[[#This Row],[SKU]],Products[SKU],Products[Standard_Cost])</f>
        <v>6</v>
      </c>
      <c r="AA145" s="10">
        <f>Cleaned_data[[#This Row],[Quantity]]*Cleaned_data[[#This Row],[Unit_Price]]</f>
        <v>88.320000000000007</v>
      </c>
      <c r="AB145" s="10">
        <f>Cleaned_data[[#This Row],[Unit_Price]]*Cleaned_data[[#This Row],[Discount_Pct]]</f>
        <v>5.1520000000000001</v>
      </c>
      <c r="AC145" s="10">
        <f>Cleaned_data[[#This Row],[Gross Sales]]-Cleaned_data[[#This Row],[Discount amount]]</f>
        <v>83.168000000000006</v>
      </c>
      <c r="AD145" s="10">
        <f>Cleaned_data[[#This Row],[Product Cost]]*Cleaned_data[[#This Row],[Quantity]]</f>
        <v>36</v>
      </c>
      <c r="AE145" s="10">
        <f>Cleaned_data[[#This Row],[Net Sales]]-Cleaned_data[[#This Row],[COGS]]</f>
        <v>47.168000000000006</v>
      </c>
      <c r="AF145" s="11">
        <f>Cleaned_data[[#This Row],[Gross Profit]]/Cleaned_data[[#This Row],[Net Sales]]</f>
        <v>0.56714120815698343</v>
      </c>
      <c r="AG145">
        <f>Cleaned_data[[#This Row],[Ship_Date]]-Cleaned_data[[#This Row],[Order_Date]]</f>
        <v>1</v>
      </c>
      <c r="AH145" t="str">
        <f>IF(Cleaned_data[[#This Row],[Delivery Days]]&gt;10,"late","on time")</f>
        <v>on time</v>
      </c>
      <c r="AI145" t="str">
        <f>TEXT(Cleaned_data[[#This Row],[Order_Date]],"mmmm")</f>
        <v>May</v>
      </c>
      <c r="AJ145" s="9" t="str">
        <f>"Q"&amp;ROUNDUP(MONTH(Cleaned_data[[#This Row],[Order_Date]])/3,0)</f>
        <v>Q2</v>
      </c>
    </row>
    <row r="146" spans="1:36">
      <c r="A146" t="s">
        <v>532</v>
      </c>
      <c r="B146" s="9">
        <v>45447</v>
      </c>
      <c r="C146" s="9">
        <v>45453</v>
      </c>
      <c r="D146" t="s">
        <v>533</v>
      </c>
      <c r="E146" t="s">
        <v>534</v>
      </c>
      <c r="F146" t="s">
        <v>152</v>
      </c>
      <c r="G146" t="s">
        <v>75</v>
      </c>
      <c r="H146" t="s">
        <v>76</v>
      </c>
      <c r="I146" t="s">
        <v>77</v>
      </c>
      <c r="J146" t="s">
        <v>129</v>
      </c>
      <c r="K146" t="s">
        <v>79</v>
      </c>
      <c r="L146" t="s">
        <v>301</v>
      </c>
      <c r="M146" t="s">
        <v>302</v>
      </c>
      <c r="N146" t="s">
        <v>120</v>
      </c>
      <c r="O146" t="s">
        <v>190</v>
      </c>
      <c r="P146" s="8">
        <v>1</v>
      </c>
      <c r="Q146" s="10">
        <v>146.52000000000001</v>
      </c>
      <c r="R146" s="11">
        <v>7.0000000000000007E-2</v>
      </c>
      <c r="S146" s="10">
        <v>7.66</v>
      </c>
      <c r="T146" t="s">
        <v>122</v>
      </c>
      <c r="U146" t="s">
        <v>85</v>
      </c>
      <c r="V146" s="8">
        <v>4</v>
      </c>
      <c r="W146" t="s">
        <v>1270</v>
      </c>
      <c r="X146" t="str">
        <f>_xlfn.XLOOKUP(Cleaned_data[[#This Row],[Customer_ID]],Customers[S],Customers[Loyalty_Tier])</f>
        <v>Gold</v>
      </c>
      <c r="Y146" s="9">
        <f>_xlfn.XLOOKUP(Cleaned_data[[#This Row],[Customer_ID]],Customers[S],Customers[Signup_Date])</f>
        <v>45680</v>
      </c>
      <c r="Z146" s="12">
        <f>_xlfn.XLOOKUP(Cleaned_data[[#This Row],[SKU]],Products[SKU],Products[Standard_Cost])</f>
        <v>72</v>
      </c>
      <c r="AA146" s="10">
        <f>Cleaned_data[[#This Row],[Quantity]]*Cleaned_data[[#This Row],[Unit_Price]]</f>
        <v>146.52000000000001</v>
      </c>
      <c r="AB146" s="10">
        <f>Cleaned_data[[#This Row],[Unit_Price]]*Cleaned_data[[#This Row],[Discount_Pct]]</f>
        <v>10.256400000000001</v>
      </c>
      <c r="AC146" s="10">
        <f>Cleaned_data[[#This Row],[Gross Sales]]-Cleaned_data[[#This Row],[Discount amount]]</f>
        <v>136.2636</v>
      </c>
      <c r="AD146" s="10">
        <f>Cleaned_data[[#This Row],[Product Cost]]*Cleaned_data[[#This Row],[Quantity]]</f>
        <v>72</v>
      </c>
      <c r="AE146" s="10">
        <f>Cleaned_data[[#This Row],[Net Sales]]-Cleaned_data[[#This Row],[COGS]]</f>
        <v>64.263599999999997</v>
      </c>
      <c r="AF146" s="11">
        <f>Cleaned_data[[#This Row],[Gross Profit]]/Cleaned_data[[#This Row],[Net Sales]]</f>
        <v>0.4716123748381813</v>
      </c>
      <c r="AG146">
        <f>Cleaned_data[[#This Row],[Ship_Date]]-Cleaned_data[[#This Row],[Order_Date]]</f>
        <v>6</v>
      </c>
      <c r="AH146" t="str">
        <f>IF(Cleaned_data[[#This Row],[Delivery Days]]&gt;10,"late","on time")</f>
        <v>on time</v>
      </c>
      <c r="AI146" t="str">
        <f>TEXT(Cleaned_data[[#This Row],[Order_Date]],"mmmm")</f>
        <v>June</v>
      </c>
      <c r="AJ146" s="9" t="str">
        <f>"Q"&amp;ROUNDUP(MONTH(Cleaned_data[[#This Row],[Order_Date]])/3,0)</f>
        <v>Q2</v>
      </c>
    </row>
    <row r="147" spans="1:36">
      <c r="A147" t="s">
        <v>535</v>
      </c>
      <c r="B147" s="9">
        <v>45447</v>
      </c>
      <c r="C147" s="9">
        <v>45453</v>
      </c>
      <c r="D147" t="s">
        <v>519</v>
      </c>
      <c r="E147" t="s">
        <v>520</v>
      </c>
      <c r="F147" t="s">
        <v>74</v>
      </c>
      <c r="G147" t="s">
        <v>126</v>
      </c>
      <c r="H147" t="s">
        <v>127</v>
      </c>
      <c r="I147" t="s">
        <v>128</v>
      </c>
      <c r="J147" t="s">
        <v>219</v>
      </c>
      <c r="K147" t="s">
        <v>100</v>
      </c>
      <c r="L147" t="s">
        <v>234</v>
      </c>
      <c r="M147" t="s">
        <v>235</v>
      </c>
      <c r="N147" t="s">
        <v>93</v>
      </c>
      <c r="O147" t="s">
        <v>236</v>
      </c>
      <c r="P147" s="8">
        <v>3</v>
      </c>
      <c r="Q147" s="10">
        <v>140.12</v>
      </c>
      <c r="R147" s="11">
        <v>0.08</v>
      </c>
      <c r="S147" s="10">
        <v>29.85</v>
      </c>
      <c r="T147" t="s">
        <v>105</v>
      </c>
      <c r="U147" t="s">
        <v>85</v>
      </c>
      <c r="V147" s="8">
        <v>3</v>
      </c>
      <c r="W147" t="s">
        <v>1270</v>
      </c>
      <c r="X147" t="str">
        <f>_xlfn.XLOOKUP(Cleaned_data[[#This Row],[Customer_ID]],Customers[S],Customers[Loyalty_Tier])</f>
        <v>Gold</v>
      </c>
      <c r="Y147" s="9">
        <f>_xlfn.XLOOKUP(Cleaned_data[[#This Row],[Customer_ID]],Customers[S],Customers[Signup_Date])</f>
        <v>44755</v>
      </c>
      <c r="Z147" s="12">
        <f>_xlfn.XLOOKUP(Cleaned_data[[#This Row],[SKU]],Products[SKU],Products[Standard_Cost])</f>
        <v>82</v>
      </c>
      <c r="AA147" s="10">
        <f>Cleaned_data[[#This Row],[Quantity]]*Cleaned_data[[#This Row],[Unit_Price]]</f>
        <v>420.36</v>
      </c>
      <c r="AB147" s="10">
        <f>Cleaned_data[[#This Row],[Unit_Price]]*Cleaned_data[[#This Row],[Discount_Pct]]</f>
        <v>11.2096</v>
      </c>
      <c r="AC147" s="10">
        <f>Cleaned_data[[#This Row],[Gross Sales]]-Cleaned_data[[#This Row],[Discount amount]]</f>
        <v>409.15039999999999</v>
      </c>
      <c r="AD147" s="10">
        <f>Cleaned_data[[#This Row],[Product Cost]]*Cleaned_data[[#This Row],[Quantity]]</f>
        <v>246</v>
      </c>
      <c r="AE147" s="10">
        <f>Cleaned_data[[#This Row],[Net Sales]]-Cleaned_data[[#This Row],[COGS]]</f>
        <v>163.15039999999999</v>
      </c>
      <c r="AF147" s="11">
        <f>Cleaned_data[[#This Row],[Gross Profit]]/Cleaned_data[[#This Row],[Net Sales]]</f>
        <v>0.39875410118137483</v>
      </c>
      <c r="AG147">
        <f>Cleaned_data[[#This Row],[Ship_Date]]-Cleaned_data[[#This Row],[Order_Date]]</f>
        <v>6</v>
      </c>
      <c r="AH147" t="str">
        <f>IF(Cleaned_data[[#This Row],[Delivery Days]]&gt;10,"late","on time")</f>
        <v>on time</v>
      </c>
      <c r="AI147" t="str">
        <f>TEXT(Cleaned_data[[#This Row],[Order_Date]],"mmmm")</f>
        <v>June</v>
      </c>
      <c r="AJ147" s="9" t="str">
        <f>"Q"&amp;ROUNDUP(MONTH(Cleaned_data[[#This Row],[Order_Date]])/3,0)</f>
        <v>Q2</v>
      </c>
    </row>
    <row r="148" spans="1:36">
      <c r="A148" t="s">
        <v>536</v>
      </c>
      <c r="B148" s="9">
        <v>45449</v>
      </c>
      <c r="C148" s="9">
        <v>45454</v>
      </c>
      <c r="D148" t="s">
        <v>537</v>
      </c>
      <c r="E148" t="s">
        <v>538</v>
      </c>
      <c r="F148" t="s">
        <v>74</v>
      </c>
      <c r="G148" t="s">
        <v>138</v>
      </c>
      <c r="H148" t="s">
        <v>139</v>
      </c>
      <c r="I148" t="s">
        <v>140</v>
      </c>
      <c r="J148" t="s">
        <v>129</v>
      </c>
      <c r="K148" t="s">
        <v>130</v>
      </c>
      <c r="L148" t="s">
        <v>110</v>
      </c>
      <c r="M148" t="s">
        <v>111</v>
      </c>
      <c r="N148" t="s">
        <v>82</v>
      </c>
      <c r="O148" t="s">
        <v>112</v>
      </c>
      <c r="P148" s="8">
        <v>1</v>
      </c>
      <c r="Q148" s="10">
        <v>327.08</v>
      </c>
      <c r="R148" s="11">
        <v>0.02</v>
      </c>
      <c r="S148" s="10">
        <v>7.49</v>
      </c>
      <c r="T148" t="s">
        <v>122</v>
      </c>
      <c r="U148" t="s">
        <v>85</v>
      </c>
      <c r="V148" s="8">
        <v>3</v>
      </c>
      <c r="W148" t="s">
        <v>1270</v>
      </c>
      <c r="X148" t="str">
        <f>_xlfn.XLOOKUP(Cleaned_data[[#This Row],[Customer_ID]],Customers[S],Customers[Loyalty_Tier])</f>
        <v>Gold</v>
      </c>
      <c r="Y148" s="9">
        <f>_xlfn.XLOOKUP(Cleaned_data[[#This Row],[Customer_ID]],Customers[S],Customers[Signup_Date])</f>
        <v>45902</v>
      </c>
      <c r="Z148" s="12">
        <f>_xlfn.XLOOKUP(Cleaned_data[[#This Row],[SKU]],Products[SKU],Products[Standard_Cost])</f>
        <v>165</v>
      </c>
      <c r="AA148" s="10">
        <f>Cleaned_data[[#This Row],[Quantity]]*Cleaned_data[[#This Row],[Unit_Price]]</f>
        <v>327.08</v>
      </c>
      <c r="AB148" s="10">
        <f>Cleaned_data[[#This Row],[Unit_Price]]*Cleaned_data[[#This Row],[Discount_Pct]]</f>
        <v>6.5415999999999999</v>
      </c>
      <c r="AC148" s="10">
        <f>Cleaned_data[[#This Row],[Gross Sales]]-Cleaned_data[[#This Row],[Discount amount]]</f>
        <v>320.53839999999997</v>
      </c>
      <c r="AD148" s="10">
        <f>Cleaned_data[[#This Row],[Product Cost]]*Cleaned_data[[#This Row],[Quantity]]</f>
        <v>165</v>
      </c>
      <c r="AE148" s="10">
        <f>Cleaned_data[[#This Row],[Net Sales]]-Cleaned_data[[#This Row],[COGS]]</f>
        <v>155.53839999999997</v>
      </c>
      <c r="AF148" s="11">
        <f>Cleaned_data[[#This Row],[Gross Profit]]/Cleaned_data[[#This Row],[Net Sales]]</f>
        <v>0.4852410818797373</v>
      </c>
      <c r="AG148">
        <f>Cleaned_data[[#This Row],[Ship_Date]]-Cleaned_data[[#This Row],[Order_Date]]</f>
        <v>5</v>
      </c>
      <c r="AH148" t="str">
        <f>IF(Cleaned_data[[#This Row],[Delivery Days]]&gt;10,"late","on time")</f>
        <v>on time</v>
      </c>
      <c r="AI148" t="str">
        <f>TEXT(Cleaned_data[[#This Row],[Order_Date]],"mmmm")</f>
        <v>June</v>
      </c>
      <c r="AJ148" s="9" t="str">
        <f>"Q"&amp;ROUNDUP(MONTH(Cleaned_data[[#This Row],[Order_Date]])/3,0)</f>
        <v>Q2</v>
      </c>
    </row>
    <row r="149" spans="1:36">
      <c r="A149" t="s">
        <v>539</v>
      </c>
      <c r="B149" s="9">
        <v>45451</v>
      </c>
      <c r="C149" s="9">
        <v>45460</v>
      </c>
      <c r="D149" t="s">
        <v>282</v>
      </c>
      <c r="E149" t="s">
        <v>283</v>
      </c>
      <c r="F149" t="s">
        <v>89</v>
      </c>
      <c r="G149" t="s">
        <v>75</v>
      </c>
      <c r="H149" t="s">
        <v>273</v>
      </c>
      <c r="I149" t="s">
        <v>274</v>
      </c>
      <c r="J149" t="s">
        <v>109</v>
      </c>
      <c r="K149" t="s">
        <v>79</v>
      </c>
      <c r="L149" t="s">
        <v>131</v>
      </c>
      <c r="M149" t="s">
        <v>132</v>
      </c>
      <c r="N149" t="s">
        <v>120</v>
      </c>
      <c r="O149" t="s">
        <v>133</v>
      </c>
      <c r="P149" s="8">
        <v>2</v>
      </c>
      <c r="Q149" s="10">
        <v>86.24</v>
      </c>
      <c r="R149" s="11">
        <v>0.24</v>
      </c>
      <c r="S149" s="10">
        <v>14.59</v>
      </c>
      <c r="T149" t="s">
        <v>84</v>
      </c>
      <c r="U149" t="s">
        <v>148</v>
      </c>
      <c r="V149" s="8">
        <v>5</v>
      </c>
      <c r="W149" t="s">
        <v>1270</v>
      </c>
      <c r="X149" t="str">
        <f>_xlfn.XLOOKUP(Cleaned_data[[#This Row],[Customer_ID]],Customers[S],Customers[Loyalty_Tier])</f>
        <v>Platinum</v>
      </c>
      <c r="Y149" s="9">
        <f>_xlfn.XLOOKUP(Cleaned_data[[#This Row],[Customer_ID]],Customers[S],Customers[Signup_Date])</f>
        <v>44737</v>
      </c>
      <c r="Z149" s="12">
        <f>_xlfn.XLOOKUP(Cleaned_data[[#This Row],[SKU]],Products[SKU],Products[Standard_Cost])</f>
        <v>44</v>
      </c>
      <c r="AA149" s="10">
        <f>Cleaned_data[[#This Row],[Quantity]]*Cleaned_data[[#This Row],[Unit_Price]]</f>
        <v>172.48</v>
      </c>
      <c r="AB149" s="10">
        <f>Cleaned_data[[#This Row],[Unit_Price]]*Cleaned_data[[#This Row],[Discount_Pct]]</f>
        <v>20.697599999999998</v>
      </c>
      <c r="AC149" s="10">
        <f>Cleaned_data[[#This Row],[Gross Sales]]-Cleaned_data[[#This Row],[Discount amount]]</f>
        <v>151.7824</v>
      </c>
      <c r="AD149" s="10">
        <f>Cleaned_data[[#This Row],[Product Cost]]*Cleaned_data[[#This Row],[Quantity]]</f>
        <v>88</v>
      </c>
      <c r="AE149" s="10">
        <f>Cleaned_data[[#This Row],[Net Sales]]-Cleaned_data[[#This Row],[COGS]]</f>
        <v>63.782399999999996</v>
      </c>
      <c r="AF149" s="11">
        <f>Cleaned_data[[#This Row],[Gross Profit]]/Cleaned_data[[#This Row],[Net Sales]]</f>
        <v>0.42022263450834879</v>
      </c>
      <c r="AG149">
        <f>Cleaned_data[[#This Row],[Ship_Date]]-Cleaned_data[[#This Row],[Order_Date]]</f>
        <v>9</v>
      </c>
      <c r="AH149" t="str">
        <f>IF(Cleaned_data[[#This Row],[Delivery Days]]&gt;10,"late","on time")</f>
        <v>on time</v>
      </c>
      <c r="AI149" t="str">
        <f>TEXT(Cleaned_data[[#This Row],[Order_Date]],"mmmm")</f>
        <v>June</v>
      </c>
      <c r="AJ149" s="9" t="str">
        <f>"Q"&amp;ROUNDUP(MONTH(Cleaned_data[[#This Row],[Order_Date]])/3,0)</f>
        <v>Q2</v>
      </c>
    </row>
    <row r="150" spans="1:36">
      <c r="A150" t="s">
        <v>540</v>
      </c>
      <c r="B150" s="9">
        <v>45454</v>
      </c>
      <c r="C150" s="9">
        <v>45464</v>
      </c>
      <c r="D150" t="s">
        <v>541</v>
      </c>
      <c r="E150" t="s">
        <v>542</v>
      </c>
      <c r="F150" t="s">
        <v>89</v>
      </c>
      <c r="G150" t="s">
        <v>138</v>
      </c>
      <c r="H150" t="s">
        <v>139</v>
      </c>
      <c r="I150" t="s">
        <v>140</v>
      </c>
      <c r="J150" t="s">
        <v>78</v>
      </c>
      <c r="K150" t="s">
        <v>147</v>
      </c>
      <c r="L150" t="s">
        <v>118</v>
      </c>
      <c r="M150" t="s">
        <v>119</v>
      </c>
      <c r="N150" t="s">
        <v>120</v>
      </c>
      <c r="O150" t="s">
        <v>121</v>
      </c>
      <c r="P150" s="8">
        <v>4</v>
      </c>
      <c r="Q150" s="10">
        <v>298.3</v>
      </c>
      <c r="R150" s="11">
        <v>0.1</v>
      </c>
      <c r="S150" s="10">
        <v>12.09</v>
      </c>
      <c r="T150" t="s">
        <v>105</v>
      </c>
      <c r="U150" t="s">
        <v>85</v>
      </c>
      <c r="V150" s="8">
        <v>3</v>
      </c>
      <c r="W150" t="s">
        <v>1270</v>
      </c>
      <c r="X150" t="str">
        <f>_xlfn.XLOOKUP(Cleaned_data[[#This Row],[Customer_ID]],Customers[S],Customers[Loyalty_Tier])</f>
        <v>Silver</v>
      </c>
      <c r="Y150" s="9">
        <f>_xlfn.XLOOKUP(Cleaned_data[[#This Row],[Customer_ID]],Customers[S],Customers[Signup_Date])</f>
        <v>45674</v>
      </c>
      <c r="Z150" s="12">
        <f>_xlfn.XLOOKUP(Cleaned_data[[#This Row],[SKU]],Products[SKU],Products[Standard_Cost])</f>
        <v>168</v>
      </c>
      <c r="AA150" s="10">
        <f>Cleaned_data[[#This Row],[Quantity]]*Cleaned_data[[#This Row],[Unit_Price]]</f>
        <v>1193.2</v>
      </c>
      <c r="AB150" s="10">
        <f>Cleaned_data[[#This Row],[Unit_Price]]*Cleaned_data[[#This Row],[Discount_Pct]]</f>
        <v>29.830000000000002</v>
      </c>
      <c r="AC150" s="10">
        <f>Cleaned_data[[#This Row],[Gross Sales]]-Cleaned_data[[#This Row],[Discount amount]]</f>
        <v>1163.3700000000001</v>
      </c>
      <c r="AD150" s="10">
        <f>Cleaned_data[[#This Row],[Product Cost]]*Cleaned_data[[#This Row],[Quantity]]</f>
        <v>672</v>
      </c>
      <c r="AE150" s="10">
        <f>Cleaned_data[[#This Row],[Net Sales]]-Cleaned_data[[#This Row],[COGS]]</f>
        <v>491.37000000000012</v>
      </c>
      <c r="AF150" s="11">
        <f>Cleaned_data[[#This Row],[Gross Profit]]/Cleaned_data[[#This Row],[Net Sales]]</f>
        <v>0.42236777637381062</v>
      </c>
      <c r="AG150">
        <f>Cleaned_data[[#This Row],[Ship_Date]]-Cleaned_data[[#This Row],[Order_Date]]</f>
        <v>10</v>
      </c>
      <c r="AH150" t="str">
        <f>IF(Cleaned_data[[#This Row],[Delivery Days]]&gt;10,"late","on time")</f>
        <v>on time</v>
      </c>
      <c r="AI150" t="str">
        <f>TEXT(Cleaned_data[[#This Row],[Order_Date]],"mmmm")</f>
        <v>June</v>
      </c>
      <c r="AJ150" s="9" t="str">
        <f>"Q"&amp;ROUNDUP(MONTH(Cleaned_data[[#This Row],[Order_Date]])/3,0)</f>
        <v>Q2</v>
      </c>
    </row>
    <row r="151" spans="1:36">
      <c r="A151" t="s">
        <v>543</v>
      </c>
      <c r="B151" s="9">
        <v>45457</v>
      </c>
      <c r="C151" s="9">
        <v>45464</v>
      </c>
      <c r="D151" t="s">
        <v>451</v>
      </c>
      <c r="E151" t="s">
        <v>452</v>
      </c>
      <c r="F151" t="s">
        <v>89</v>
      </c>
      <c r="G151" t="s">
        <v>126</v>
      </c>
      <c r="H151" t="s">
        <v>160</v>
      </c>
      <c r="I151" t="s">
        <v>161</v>
      </c>
      <c r="J151" t="s">
        <v>219</v>
      </c>
      <c r="K151" t="s">
        <v>147</v>
      </c>
      <c r="L151" t="s">
        <v>162</v>
      </c>
      <c r="M151" t="s">
        <v>163</v>
      </c>
      <c r="N151" t="s">
        <v>120</v>
      </c>
      <c r="O151" t="s">
        <v>164</v>
      </c>
      <c r="P151" s="8">
        <v>2</v>
      </c>
      <c r="Q151" s="10">
        <v>935.32</v>
      </c>
      <c r="R151" s="11">
        <v>0.06</v>
      </c>
      <c r="S151" s="10">
        <v>6.02</v>
      </c>
      <c r="T151" t="s">
        <v>134</v>
      </c>
      <c r="U151" t="s">
        <v>148</v>
      </c>
      <c r="V151" s="8">
        <v>1</v>
      </c>
      <c r="W151" t="s">
        <v>1270</v>
      </c>
      <c r="X151" t="str">
        <f>_xlfn.XLOOKUP(Cleaned_data[[#This Row],[Customer_ID]],Customers[S],Customers[Loyalty_Tier])</f>
        <v>Silver</v>
      </c>
      <c r="Y151" s="9">
        <f>_xlfn.XLOOKUP(Cleaned_data[[#This Row],[Customer_ID]],Customers[S],Customers[Signup_Date])</f>
        <v>45495</v>
      </c>
      <c r="Z151" s="12">
        <f>_xlfn.XLOOKUP(Cleaned_data[[#This Row],[SKU]],Products[SKU],Products[Standard_Cost])</f>
        <v>585</v>
      </c>
      <c r="AA151" s="10">
        <f>Cleaned_data[[#This Row],[Quantity]]*Cleaned_data[[#This Row],[Unit_Price]]</f>
        <v>1870.64</v>
      </c>
      <c r="AB151" s="10">
        <f>Cleaned_data[[#This Row],[Unit_Price]]*Cleaned_data[[#This Row],[Discount_Pct]]</f>
        <v>56.119199999999999</v>
      </c>
      <c r="AC151" s="10">
        <f>Cleaned_data[[#This Row],[Gross Sales]]-Cleaned_data[[#This Row],[Discount amount]]</f>
        <v>1814.5208</v>
      </c>
      <c r="AD151" s="10">
        <f>Cleaned_data[[#This Row],[Product Cost]]*Cleaned_data[[#This Row],[Quantity]]</f>
        <v>1170</v>
      </c>
      <c r="AE151" s="10">
        <f>Cleaned_data[[#This Row],[Net Sales]]-Cleaned_data[[#This Row],[COGS]]</f>
        <v>644.52080000000001</v>
      </c>
      <c r="AF151" s="11">
        <f>Cleaned_data[[#This Row],[Gross Profit]]/Cleaned_data[[#This Row],[Net Sales]]</f>
        <v>0.35520165985421603</v>
      </c>
      <c r="AG151">
        <f>Cleaned_data[[#This Row],[Ship_Date]]-Cleaned_data[[#This Row],[Order_Date]]</f>
        <v>7</v>
      </c>
      <c r="AH151" t="str">
        <f>IF(Cleaned_data[[#This Row],[Delivery Days]]&gt;10,"late","on time")</f>
        <v>on time</v>
      </c>
      <c r="AI151" t="str">
        <f>TEXT(Cleaned_data[[#This Row],[Order_Date]],"mmmm")</f>
        <v>June</v>
      </c>
      <c r="AJ151" s="9" t="str">
        <f>"Q"&amp;ROUNDUP(MONTH(Cleaned_data[[#This Row],[Order_Date]])/3,0)</f>
        <v>Q2</v>
      </c>
    </row>
    <row r="152" spans="1:36">
      <c r="A152" t="s">
        <v>544</v>
      </c>
      <c r="B152" s="9">
        <v>45457</v>
      </c>
      <c r="C152" s="9">
        <v>45464</v>
      </c>
      <c r="D152" t="s">
        <v>223</v>
      </c>
      <c r="E152" t="s">
        <v>224</v>
      </c>
      <c r="F152" t="s">
        <v>152</v>
      </c>
      <c r="G152" t="s">
        <v>194</v>
      </c>
      <c r="H152" t="s">
        <v>225</v>
      </c>
      <c r="I152" t="s">
        <v>226</v>
      </c>
      <c r="J152" t="s">
        <v>78</v>
      </c>
      <c r="K152" t="s">
        <v>168</v>
      </c>
      <c r="L152" t="s">
        <v>131</v>
      </c>
      <c r="M152" t="s">
        <v>132</v>
      </c>
      <c r="N152" t="s">
        <v>120</v>
      </c>
      <c r="O152" t="s">
        <v>133</v>
      </c>
      <c r="P152" s="8">
        <v>2</v>
      </c>
      <c r="Q152" s="10">
        <v>88.1</v>
      </c>
      <c r="R152" s="11">
        <v>0.26</v>
      </c>
      <c r="S152" s="10">
        <v>8.83</v>
      </c>
      <c r="T152" t="s">
        <v>122</v>
      </c>
      <c r="U152" t="s">
        <v>85</v>
      </c>
      <c r="W152" t="s">
        <v>1270</v>
      </c>
      <c r="X152" t="str">
        <f>_xlfn.XLOOKUP(Cleaned_data[[#This Row],[Customer_ID]],Customers[S],Customers[Loyalty_Tier])</f>
        <v>Platinum</v>
      </c>
      <c r="Y152" s="9">
        <f>_xlfn.XLOOKUP(Cleaned_data[[#This Row],[Customer_ID]],Customers[S],Customers[Signup_Date])</f>
        <v>45171</v>
      </c>
      <c r="Z152" s="12">
        <f>_xlfn.XLOOKUP(Cleaned_data[[#This Row],[SKU]],Products[SKU],Products[Standard_Cost])</f>
        <v>44</v>
      </c>
      <c r="AA152" s="10">
        <f>Cleaned_data[[#This Row],[Quantity]]*Cleaned_data[[#This Row],[Unit_Price]]</f>
        <v>176.2</v>
      </c>
      <c r="AB152" s="10">
        <f>Cleaned_data[[#This Row],[Unit_Price]]*Cleaned_data[[#This Row],[Discount_Pct]]</f>
        <v>22.905999999999999</v>
      </c>
      <c r="AC152" s="10">
        <f>Cleaned_data[[#This Row],[Gross Sales]]-Cleaned_data[[#This Row],[Discount amount]]</f>
        <v>153.29399999999998</v>
      </c>
      <c r="AD152" s="10">
        <f>Cleaned_data[[#This Row],[Product Cost]]*Cleaned_data[[#This Row],[Quantity]]</f>
        <v>88</v>
      </c>
      <c r="AE152" s="10">
        <f>Cleaned_data[[#This Row],[Net Sales]]-Cleaned_data[[#This Row],[COGS]]</f>
        <v>65.293999999999983</v>
      </c>
      <c r="AF152" s="11">
        <f>Cleaned_data[[#This Row],[Gross Profit]]/Cleaned_data[[#This Row],[Net Sales]]</f>
        <v>0.42593969757459516</v>
      </c>
      <c r="AG152">
        <f>Cleaned_data[[#This Row],[Ship_Date]]-Cleaned_data[[#This Row],[Order_Date]]</f>
        <v>7</v>
      </c>
      <c r="AH152" t="str">
        <f>IF(Cleaned_data[[#This Row],[Delivery Days]]&gt;10,"late","on time")</f>
        <v>on time</v>
      </c>
      <c r="AI152" t="str">
        <f>TEXT(Cleaned_data[[#This Row],[Order_Date]],"mmmm")</f>
        <v>June</v>
      </c>
      <c r="AJ152" s="9" t="str">
        <f>"Q"&amp;ROUNDUP(MONTH(Cleaned_data[[#This Row],[Order_Date]])/3,0)</f>
        <v>Q2</v>
      </c>
    </row>
    <row r="153" spans="1:36">
      <c r="A153" t="s">
        <v>545</v>
      </c>
      <c r="B153" s="9">
        <v>45459</v>
      </c>
      <c r="C153" s="9">
        <v>45467</v>
      </c>
      <c r="D153" t="s">
        <v>184</v>
      </c>
      <c r="E153" t="s">
        <v>185</v>
      </c>
      <c r="F153" t="s">
        <v>74</v>
      </c>
      <c r="G153" t="s">
        <v>138</v>
      </c>
      <c r="H153" t="s">
        <v>186</v>
      </c>
      <c r="I153" t="s">
        <v>187</v>
      </c>
      <c r="J153" t="s">
        <v>129</v>
      </c>
      <c r="K153" t="s">
        <v>100</v>
      </c>
      <c r="L153" t="s">
        <v>301</v>
      </c>
      <c r="M153" t="s">
        <v>302</v>
      </c>
      <c r="N153" t="s">
        <v>120</v>
      </c>
      <c r="O153" t="s">
        <v>190</v>
      </c>
      <c r="P153" s="8">
        <v>1</v>
      </c>
      <c r="Q153" s="10">
        <v>145.77000000000001</v>
      </c>
      <c r="R153" s="11">
        <v>0</v>
      </c>
      <c r="S153" s="10">
        <v>18.14</v>
      </c>
      <c r="T153" t="s">
        <v>134</v>
      </c>
      <c r="U153" t="s">
        <v>85</v>
      </c>
      <c r="V153" s="8">
        <v>4</v>
      </c>
      <c r="W153" t="s">
        <v>1270</v>
      </c>
      <c r="X153" t="str">
        <f>_xlfn.XLOOKUP(Cleaned_data[[#This Row],[Customer_ID]],Customers[S],Customers[Loyalty_Tier])</f>
        <v>Platinum</v>
      </c>
      <c r="Y153" s="9">
        <f>_xlfn.XLOOKUP(Cleaned_data[[#This Row],[Customer_ID]],Customers[S],Customers[Signup_Date])</f>
        <v>46013</v>
      </c>
      <c r="Z153" s="12">
        <f>_xlfn.XLOOKUP(Cleaned_data[[#This Row],[SKU]],Products[SKU],Products[Standard_Cost])</f>
        <v>72</v>
      </c>
      <c r="AA153" s="10">
        <f>Cleaned_data[[#This Row],[Quantity]]*Cleaned_data[[#This Row],[Unit_Price]]</f>
        <v>145.77000000000001</v>
      </c>
      <c r="AB153" s="10">
        <f>Cleaned_data[[#This Row],[Unit_Price]]*Cleaned_data[[#This Row],[Discount_Pct]]</f>
        <v>0</v>
      </c>
      <c r="AC153" s="10">
        <f>Cleaned_data[[#This Row],[Gross Sales]]-Cleaned_data[[#This Row],[Discount amount]]</f>
        <v>145.77000000000001</v>
      </c>
      <c r="AD153" s="10">
        <f>Cleaned_data[[#This Row],[Product Cost]]*Cleaned_data[[#This Row],[Quantity]]</f>
        <v>72</v>
      </c>
      <c r="AE153" s="10">
        <f>Cleaned_data[[#This Row],[Net Sales]]-Cleaned_data[[#This Row],[COGS]]</f>
        <v>73.77000000000001</v>
      </c>
      <c r="AF153" s="11">
        <f>Cleaned_data[[#This Row],[Gross Profit]]/Cleaned_data[[#This Row],[Net Sales]]</f>
        <v>0.50607120806750361</v>
      </c>
      <c r="AG153">
        <f>Cleaned_data[[#This Row],[Ship_Date]]-Cleaned_data[[#This Row],[Order_Date]]</f>
        <v>8</v>
      </c>
      <c r="AH153" t="str">
        <f>IF(Cleaned_data[[#This Row],[Delivery Days]]&gt;10,"late","on time")</f>
        <v>on time</v>
      </c>
      <c r="AI153" t="str">
        <f>TEXT(Cleaned_data[[#This Row],[Order_Date]],"mmmm")</f>
        <v>June</v>
      </c>
      <c r="AJ153" s="9" t="str">
        <f>"Q"&amp;ROUNDUP(MONTH(Cleaned_data[[#This Row],[Order_Date]])/3,0)</f>
        <v>Q2</v>
      </c>
    </row>
    <row r="154" spans="1:36">
      <c r="A154" t="s">
        <v>546</v>
      </c>
      <c r="B154" s="9">
        <v>45460</v>
      </c>
      <c r="C154" s="9">
        <v>45465</v>
      </c>
      <c r="D154" t="s">
        <v>547</v>
      </c>
      <c r="E154" t="s">
        <v>548</v>
      </c>
      <c r="F154" t="s">
        <v>152</v>
      </c>
      <c r="G154" t="s">
        <v>75</v>
      </c>
      <c r="H154" t="s">
        <v>116</v>
      </c>
      <c r="I154" t="s">
        <v>117</v>
      </c>
      <c r="J154" t="s">
        <v>109</v>
      </c>
      <c r="K154" t="s">
        <v>168</v>
      </c>
      <c r="L154" t="s">
        <v>155</v>
      </c>
      <c r="M154" t="s">
        <v>156</v>
      </c>
      <c r="N154" t="s">
        <v>82</v>
      </c>
      <c r="O154" t="s">
        <v>112</v>
      </c>
      <c r="P154" s="8">
        <v>1</v>
      </c>
      <c r="Q154" s="10">
        <v>169.43</v>
      </c>
      <c r="R154" s="11">
        <v>0.03</v>
      </c>
      <c r="S154" s="10">
        <v>7.17</v>
      </c>
      <c r="T154" t="s">
        <v>134</v>
      </c>
      <c r="U154" t="s">
        <v>85</v>
      </c>
      <c r="W154" t="s">
        <v>1270</v>
      </c>
      <c r="X154" t="str">
        <f>_xlfn.XLOOKUP(Cleaned_data[[#This Row],[Customer_ID]],Customers[S],Customers[Loyalty_Tier])</f>
        <v>Platinum</v>
      </c>
      <c r="Y154" s="9">
        <f>_xlfn.XLOOKUP(Cleaned_data[[#This Row],[Customer_ID]],Customers[S],Customers[Signup_Date])</f>
        <v>45512</v>
      </c>
      <c r="Z154" s="12">
        <f>_xlfn.XLOOKUP(Cleaned_data[[#This Row],[SKU]],Products[SKU],Products[Standard_Cost])</f>
        <v>82</v>
      </c>
      <c r="AA154" s="10">
        <f>Cleaned_data[[#This Row],[Quantity]]*Cleaned_data[[#This Row],[Unit_Price]]</f>
        <v>169.43</v>
      </c>
      <c r="AB154" s="10">
        <f>Cleaned_data[[#This Row],[Unit_Price]]*Cleaned_data[[#This Row],[Discount_Pct]]</f>
        <v>5.0829000000000004</v>
      </c>
      <c r="AC154" s="10">
        <f>Cleaned_data[[#This Row],[Gross Sales]]-Cleaned_data[[#This Row],[Discount amount]]</f>
        <v>164.34710000000001</v>
      </c>
      <c r="AD154" s="10">
        <f>Cleaned_data[[#This Row],[Product Cost]]*Cleaned_data[[#This Row],[Quantity]]</f>
        <v>82</v>
      </c>
      <c r="AE154" s="10">
        <f>Cleaned_data[[#This Row],[Net Sales]]-Cleaned_data[[#This Row],[COGS]]</f>
        <v>82.347100000000012</v>
      </c>
      <c r="AF154" s="11">
        <f>Cleaned_data[[#This Row],[Gross Profit]]/Cleaned_data[[#This Row],[Net Sales]]</f>
        <v>0.50105599672887446</v>
      </c>
      <c r="AG154">
        <f>Cleaned_data[[#This Row],[Ship_Date]]-Cleaned_data[[#This Row],[Order_Date]]</f>
        <v>5</v>
      </c>
      <c r="AH154" t="str">
        <f>IF(Cleaned_data[[#This Row],[Delivery Days]]&gt;10,"late","on time")</f>
        <v>on time</v>
      </c>
      <c r="AI154" t="str">
        <f>TEXT(Cleaned_data[[#This Row],[Order_Date]],"mmmm")</f>
        <v>June</v>
      </c>
      <c r="AJ154" s="9" t="str">
        <f>"Q"&amp;ROUNDUP(MONTH(Cleaned_data[[#This Row],[Order_Date]])/3,0)</f>
        <v>Q2</v>
      </c>
    </row>
    <row r="155" spans="1:36">
      <c r="A155" t="s">
        <v>549</v>
      </c>
      <c r="B155" s="9">
        <v>45463</v>
      </c>
      <c r="C155" s="9">
        <v>45471</v>
      </c>
      <c r="D155" t="s">
        <v>550</v>
      </c>
      <c r="E155" t="s">
        <v>218</v>
      </c>
      <c r="F155" t="s">
        <v>152</v>
      </c>
      <c r="G155" t="s">
        <v>126</v>
      </c>
      <c r="H155" t="s">
        <v>127</v>
      </c>
      <c r="I155" t="s">
        <v>128</v>
      </c>
      <c r="J155" t="s">
        <v>78</v>
      </c>
      <c r="K155" t="s">
        <v>79</v>
      </c>
      <c r="L155" t="s">
        <v>118</v>
      </c>
      <c r="M155" t="s">
        <v>119</v>
      </c>
      <c r="N155" t="s">
        <v>120</v>
      </c>
      <c r="O155" t="s">
        <v>121</v>
      </c>
      <c r="P155" s="8">
        <v>4</v>
      </c>
      <c r="Q155" s="10">
        <v>272.14</v>
      </c>
      <c r="R155" s="11">
        <v>0.11</v>
      </c>
      <c r="S155" s="10">
        <v>7.75</v>
      </c>
      <c r="T155" t="s">
        <v>122</v>
      </c>
      <c r="U155" t="s">
        <v>85</v>
      </c>
      <c r="V155" s="8">
        <v>4</v>
      </c>
      <c r="W155" t="s">
        <v>1270</v>
      </c>
      <c r="X155" t="str">
        <f>_xlfn.XLOOKUP(Cleaned_data[[#This Row],[Customer_ID]],Customers[S],Customers[Loyalty_Tier])</f>
        <v>Platinum</v>
      </c>
      <c r="Y155" s="9">
        <f>_xlfn.XLOOKUP(Cleaned_data[[#This Row],[Customer_ID]],Customers[S],Customers[Signup_Date])</f>
        <v>44903</v>
      </c>
      <c r="Z155" s="12">
        <f>_xlfn.XLOOKUP(Cleaned_data[[#This Row],[SKU]],Products[SKU],Products[Standard_Cost])</f>
        <v>168</v>
      </c>
      <c r="AA155" s="10">
        <f>Cleaned_data[[#This Row],[Quantity]]*Cleaned_data[[#This Row],[Unit_Price]]</f>
        <v>1088.56</v>
      </c>
      <c r="AB155" s="10">
        <f>Cleaned_data[[#This Row],[Unit_Price]]*Cleaned_data[[#This Row],[Discount_Pct]]</f>
        <v>29.935399999999998</v>
      </c>
      <c r="AC155" s="10">
        <f>Cleaned_data[[#This Row],[Gross Sales]]-Cleaned_data[[#This Row],[Discount amount]]</f>
        <v>1058.6245999999999</v>
      </c>
      <c r="AD155" s="10">
        <f>Cleaned_data[[#This Row],[Product Cost]]*Cleaned_data[[#This Row],[Quantity]]</f>
        <v>672</v>
      </c>
      <c r="AE155" s="10">
        <f>Cleaned_data[[#This Row],[Net Sales]]-Cleaned_data[[#This Row],[COGS]]</f>
        <v>386.62459999999987</v>
      </c>
      <c r="AF155" s="11">
        <f>Cleaned_data[[#This Row],[Gross Profit]]/Cleaned_data[[#This Row],[Net Sales]]</f>
        <v>0.36521407116365889</v>
      </c>
      <c r="AG155">
        <f>Cleaned_data[[#This Row],[Ship_Date]]-Cleaned_data[[#This Row],[Order_Date]]</f>
        <v>8</v>
      </c>
      <c r="AH155" t="str">
        <f>IF(Cleaned_data[[#This Row],[Delivery Days]]&gt;10,"late","on time")</f>
        <v>on time</v>
      </c>
      <c r="AI155" t="str">
        <f>TEXT(Cleaned_data[[#This Row],[Order_Date]],"mmmm")</f>
        <v>June</v>
      </c>
      <c r="AJ155" s="9" t="str">
        <f>"Q"&amp;ROUNDUP(MONTH(Cleaned_data[[#This Row],[Order_Date]])/3,0)</f>
        <v>Q2</v>
      </c>
    </row>
    <row r="156" spans="1:36">
      <c r="A156" t="s">
        <v>551</v>
      </c>
      <c r="B156" s="9">
        <v>45463</v>
      </c>
      <c r="C156" s="9">
        <v>45473</v>
      </c>
      <c r="D156" t="s">
        <v>357</v>
      </c>
      <c r="E156" t="s">
        <v>358</v>
      </c>
      <c r="F156" t="s">
        <v>74</v>
      </c>
      <c r="G156" t="s">
        <v>75</v>
      </c>
      <c r="H156" t="s">
        <v>98</v>
      </c>
      <c r="I156" t="s">
        <v>99</v>
      </c>
      <c r="J156" t="s">
        <v>109</v>
      </c>
      <c r="K156" t="s">
        <v>79</v>
      </c>
      <c r="L156" t="s">
        <v>220</v>
      </c>
      <c r="M156" t="s">
        <v>221</v>
      </c>
      <c r="N156" t="s">
        <v>93</v>
      </c>
      <c r="O156" t="s">
        <v>177</v>
      </c>
      <c r="P156" s="8">
        <v>1</v>
      </c>
      <c r="Q156" s="10">
        <v>222.2</v>
      </c>
      <c r="R156" s="11">
        <v>0.03</v>
      </c>
      <c r="S156" s="10">
        <v>22.65</v>
      </c>
      <c r="T156" t="s">
        <v>105</v>
      </c>
      <c r="U156" t="s">
        <v>85</v>
      </c>
      <c r="V156" s="8">
        <v>3</v>
      </c>
      <c r="W156" t="s">
        <v>1270</v>
      </c>
      <c r="X156" t="str">
        <f>_xlfn.XLOOKUP(Cleaned_data[[#This Row],[Customer_ID]],Customers[S],Customers[Loyalty_Tier])</f>
        <v>Bronze</v>
      </c>
      <c r="Y156" s="9">
        <f>_xlfn.XLOOKUP(Cleaned_data[[#This Row],[Customer_ID]],Customers[S],Customers[Signup_Date])</f>
        <v>44916</v>
      </c>
      <c r="Z156" s="12">
        <f>_xlfn.XLOOKUP(Cleaned_data[[#This Row],[SKU]],Products[SKU],Products[Standard_Cost])</f>
        <v>118</v>
      </c>
      <c r="AA156" s="10">
        <f>Cleaned_data[[#This Row],[Quantity]]*Cleaned_data[[#This Row],[Unit_Price]]</f>
        <v>222.2</v>
      </c>
      <c r="AB156" s="10">
        <f>Cleaned_data[[#This Row],[Unit_Price]]*Cleaned_data[[#This Row],[Discount_Pct]]</f>
        <v>6.6659999999999995</v>
      </c>
      <c r="AC156" s="10">
        <f>Cleaned_data[[#This Row],[Gross Sales]]-Cleaned_data[[#This Row],[Discount amount]]</f>
        <v>215.53399999999999</v>
      </c>
      <c r="AD156" s="10">
        <f>Cleaned_data[[#This Row],[Product Cost]]*Cleaned_data[[#This Row],[Quantity]]</f>
        <v>118</v>
      </c>
      <c r="AE156" s="10">
        <f>Cleaned_data[[#This Row],[Net Sales]]-Cleaned_data[[#This Row],[COGS]]</f>
        <v>97.533999999999992</v>
      </c>
      <c r="AF156" s="11">
        <f>Cleaned_data[[#This Row],[Gross Profit]]/Cleaned_data[[#This Row],[Net Sales]]</f>
        <v>0.45252257184481331</v>
      </c>
      <c r="AG156">
        <f>Cleaned_data[[#This Row],[Ship_Date]]-Cleaned_data[[#This Row],[Order_Date]]</f>
        <v>10</v>
      </c>
      <c r="AH156" t="str">
        <f>IF(Cleaned_data[[#This Row],[Delivery Days]]&gt;10,"late","on time")</f>
        <v>on time</v>
      </c>
      <c r="AI156" t="str">
        <f>TEXT(Cleaned_data[[#This Row],[Order_Date]],"mmmm")</f>
        <v>June</v>
      </c>
      <c r="AJ156" s="9" t="str">
        <f>"Q"&amp;ROUNDUP(MONTH(Cleaned_data[[#This Row],[Order_Date]])/3,0)</f>
        <v>Q2</v>
      </c>
    </row>
    <row r="157" spans="1:36">
      <c r="A157" t="s">
        <v>552</v>
      </c>
      <c r="B157" s="9">
        <v>45464</v>
      </c>
      <c r="C157" s="9">
        <v>45466</v>
      </c>
      <c r="D157" t="s">
        <v>87</v>
      </c>
      <c r="E157" t="s">
        <v>88</v>
      </c>
      <c r="F157" t="s">
        <v>89</v>
      </c>
      <c r="G157" t="s">
        <v>75</v>
      </c>
      <c r="H157" t="s">
        <v>76</v>
      </c>
      <c r="I157" t="s">
        <v>77</v>
      </c>
      <c r="J157" t="s">
        <v>219</v>
      </c>
      <c r="K157" t="s">
        <v>147</v>
      </c>
      <c r="L157" t="s">
        <v>101</v>
      </c>
      <c r="M157" t="s">
        <v>102</v>
      </c>
      <c r="N157" t="s">
        <v>103</v>
      </c>
      <c r="O157" t="s">
        <v>104</v>
      </c>
      <c r="P157" s="8">
        <v>10</v>
      </c>
      <c r="Q157" s="10">
        <v>74.48</v>
      </c>
      <c r="R157" s="11">
        <v>0.05</v>
      </c>
      <c r="S157" s="10">
        <v>5.7</v>
      </c>
      <c r="T157" t="s">
        <v>84</v>
      </c>
      <c r="U157" t="s">
        <v>85</v>
      </c>
      <c r="V157" s="8">
        <v>5</v>
      </c>
      <c r="W157" t="s">
        <v>1270</v>
      </c>
      <c r="X157" t="str">
        <f>_xlfn.XLOOKUP(Cleaned_data[[#This Row],[Customer_ID]],Customers[S],Customers[Loyalty_Tier])</f>
        <v>Silver</v>
      </c>
      <c r="Y157" s="9">
        <f>_xlfn.XLOOKUP(Cleaned_data[[#This Row],[Customer_ID]],Customers[S],Customers[Signup_Date])</f>
        <v>44736</v>
      </c>
      <c r="Z157" s="12">
        <f>_xlfn.XLOOKUP(Cleaned_data[[#This Row],[SKU]],Products[SKU],Products[Standard_Cost])</f>
        <v>36</v>
      </c>
      <c r="AA157" s="10">
        <f>Cleaned_data[[#This Row],[Quantity]]*Cleaned_data[[#This Row],[Unit_Price]]</f>
        <v>744.80000000000007</v>
      </c>
      <c r="AB157" s="10">
        <f>Cleaned_data[[#This Row],[Unit_Price]]*Cleaned_data[[#This Row],[Discount_Pct]]</f>
        <v>3.7240000000000002</v>
      </c>
      <c r="AC157" s="10">
        <f>Cleaned_data[[#This Row],[Gross Sales]]-Cleaned_data[[#This Row],[Discount amount]]</f>
        <v>741.07600000000002</v>
      </c>
      <c r="AD157" s="10">
        <f>Cleaned_data[[#This Row],[Product Cost]]*Cleaned_data[[#This Row],[Quantity]]</f>
        <v>360</v>
      </c>
      <c r="AE157" s="10">
        <f>Cleaned_data[[#This Row],[Net Sales]]-Cleaned_data[[#This Row],[COGS]]</f>
        <v>381.07600000000002</v>
      </c>
      <c r="AF157" s="11">
        <f>Cleaned_data[[#This Row],[Gross Profit]]/Cleaned_data[[#This Row],[Net Sales]]</f>
        <v>0.51421986408951315</v>
      </c>
      <c r="AG157">
        <f>Cleaned_data[[#This Row],[Ship_Date]]-Cleaned_data[[#This Row],[Order_Date]]</f>
        <v>2</v>
      </c>
      <c r="AH157" t="str">
        <f>IF(Cleaned_data[[#This Row],[Delivery Days]]&gt;10,"late","on time")</f>
        <v>on time</v>
      </c>
      <c r="AI157" t="str">
        <f>TEXT(Cleaned_data[[#This Row],[Order_Date]],"mmmm")</f>
        <v>June</v>
      </c>
      <c r="AJ157" s="9" t="str">
        <f>"Q"&amp;ROUNDUP(MONTH(Cleaned_data[[#This Row],[Order_Date]])/3,0)</f>
        <v>Q2</v>
      </c>
    </row>
    <row r="158" spans="1:36">
      <c r="A158" t="s">
        <v>553</v>
      </c>
      <c r="B158" s="9">
        <v>45465</v>
      </c>
      <c r="C158" s="9">
        <v>45468</v>
      </c>
      <c r="D158" t="s">
        <v>482</v>
      </c>
      <c r="E158" t="s">
        <v>483</v>
      </c>
      <c r="F158" t="s">
        <v>74</v>
      </c>
      <c r="G158" t="s">
        <v>194</v>
      </c>
      <c r="H158" t="s">
        <v>240</v>
      </c>
      <c r="I158" t="s">
        <v>241</v>
      </c>
      <c r="J158" t="s">
        <v>129</v>
      </c>
      <c r="K158" t="s">
        <v>90</v>
      </c>
      <c r="L158" t="s">
        <v>91</v>
      </c>
      <c r="M158" t="s">
        <v>92</v>
      </c>
      <c r="N158" t="s">
        <v>93</v>
      </c>
      <c r="O158" t="s">
        <v>94</v>
      </c>
      <c r="P158" s="8">
        <v>2</v>
      </c>
      <c r="Q158" s="10">
        <v>346.12</v>
      </c>
      <c r="R158" s="11">
        <v>0.25</v>
      </c>
      <c r="S158" s="10">
        <v>20.72</v>
      </c>
      <c r="T158" t="s">
        <v>122</v>
      </c>
      <c r="U158" t="s">
        <v>85</v>
      </c>
      <c r="W158" t="s">
        <v>1270</v>
      </c>
      <c r="X158" t="str">
        <f>_xlfn.XLOOKUP(Cleaned_data[[#This Row],[Customer_ID]],Customers[S],Customers[Loyalty_Tier])</f>
        <v>Platinum</v>
      </c>
      <c r="Y158" s="9">
        <f>_xlfn.XLOOKUP(Cleaned_data[[#This Row],[Customer_ID]],Customers[S],Customers[Signup_Date])</f>
        <v>44396</v>
      </c>
      <c r="Z158" s="12">
        <f>_xlfn.XLOOKUP(Cleaned_data[[#This Row],[SKU]],Products[SKU],Products[Standard_Cost])</f>
        <v>184</v>
      </c>
      <c r="AA158" s="10">
        <f>Cleaned_data[[#This Row],[Quantity]]*Cleaned_data[[#This Row],[Unit_Price]]</f>
        <v>692.24</v>
      </c>
      <c r="AB158" s="10">
        <f>Cleaned_data[[#This Row],[Unit_Price]]*Cleaned_data[[#This Row],[Discount_Pct]]</f>
        <v>86.53</v>
      </c>
      <c r="AC158" s="10">
        <f>Cleaned_data[[#This Row],[Gross Sales]]-Cleaned_data[[#This Row],[Discount amount]]</f>
        <v>605.71</v>
      </c>
      <c r="AD158" s="10">
        <f>Cleaned_data[[#This Row],[Product Cost]]*Cleaned_data[[#This Row],[Quantity]]</f>
        <v>368</v>
      </c>
      <c r="AE158" s="10">
        <f>Cleaned_data[[#This Row],[Net Sales]]-Cleaned_data[[#This Row],[COGS]]</f>
        <v>237.71000000000004</v>
      </c>
      <c r="AF158" s="11">
        <f>Cleaned_data[[#This Row],[Gross Profit]]/Cleaned_data[[#This Row],[Net Sales]]</f>
        <v>0.39244853147545861</v>
      </c>
      <c r="AG158">
        <f>Cleaned_data[[#This Row],[Ship_Date]]-Cleaned_data[[#This Row],[Order_Date]]</f>
        <v>3</v>
      </c>
      <c r="AH158" t="str">
        <f>IF(Cleaned_data[[#This Row],[Delivery Days]]&gt;10,"late","on time")</f>
        <v>on time</v>
      </c>
      <c r="AI158" t="str">
        <f>TEXT(Cleaned_data[[#This Row],[Order_Date]],"mmmm")</f>
        <v>June</v>
      </c>
      <c r="AJ158" s="9" t="str">
        <f>"Q"&amp;ROUNDUP(MONTH(Cleaned_data[[#This Row],[Order_Date]])/3,0)</f>
        <v>Q2</v>
      </c>
    </row>
    <row r="159" spans="1:36">
      <c r="A159" t="s">
        <v>554</v>
      </c>
      <c r="B159" s="9">
        <v>45467</v>
      </c>
      <c r="C159" s="9">
        <v>45470</v>
      </c>
      <c r="D159" t="s">
        <v>487</v>
      </c>
      <c r="E159" t="s">
        <v>470</v>
      </c>
      <c r="F159" t="s">
        <v>152</v>
      </c>
      <c r="G159" t="s">
        <v>75</v>
      </c>
      <c r="H159" t="s">
        <v>98</v>
      </c>
      <c r="I159" t="s">
        <v>99</v>
      </c>
      <c r="J159" t="s">
        <v>78</v>
      </c>
      <c r="K159" t="s">
        <v>100</v>
      </c>
      <c r="L159" t="s">
        <v>261</v>
      </c>
      <c r="M159" t="s">
        <v>262</v>
      </c>
      <c r="N159" t="s">
        <v>103</v>
      </c>
      <c r="O159" t="s">
        <v>104</v>
      </c>
      <c r="P159" s="8">
        <v>1</v>
      </c>
      <c r="Q159" s="10">
        <v>28</v>
      </c>
      <c r="R159" s="11">
        <v>0.04</v>
      </c>
      <c r="S159" s="10">
        <v>12.53</v>
      </c>
      <c r="T159" t="s">
        <v>122</v>
      </c>
      <c r="U159" t="s">
        <v>85</v>
      </c>
      <c r="V159" s="8">
        <v>3</v>
      </c>
      <c r="W159" t="s">
        <v>1270</v>
      </c>
      <c r="X159" t="str">
        <f>_xlfn.XLOOKUP(Cleaned_data[[#This Row],[Customer_ID]],Customers[S],Customers[Loyalty_Tier])</f>
        <v>Gold</v>
      </c>
      <c r="Y159" s="9">
        <f>_xlfn.XLOOKUP(Cleaned_data[[#This Row],[Customer_ID]],Customers[S],Customers[Signup_Date])</f>
        <v>44199</v>
      </c>
      <c r="Z159" s="12">
        <f>_xlfn.XLOOKUP(Cleaned_data[[#This Row],[SKU]],Products[SKU],Products[Standard_Cost])</f>
        <v>12</v>
      </c>
      <c r="AA159" s="10">
        <f>Cleaned_data[[#This Row],[Quantity]]*Cleaned_data[[#This Row],[Unit_Price]]</f>
        <v>28</v>
      </c>
      <c r="AB159" s="10">
        <f>Cleaned_data[[#This Row],[Unit_Price]]*Cleaned_data[[#This Row],[Discount_Pct]]</f>
        <v>1.1200000000000001</v>
      </c>
      <c r="AC159" s="10">
        <f>Cleaned_data[[#This Row],[Gross Sales]]-Cleaned_data[[#This Row],[Discount amount]]</f>
        <v>26.88</v>
      </c>
      <c r="AD159" s="10">
        <f>Cleaned_data[[#This Row],[Product Cost]]*Cleaned_data[[#This Row],[Quantity]]</f>
        <v>12</v>
      </c>
      <c r="AE159" s="10">
        <f>Cleaned_data[[#This Row],[Net Sales]]-Cleaned_data[[#This Row],[COGS]]</f>
        <v>14.879999999999999</v>
      </c>
      <c r="AF159" s="11">
        <f>Cleaned_data[[#This Row],[Gross Profit]]/Cleaned_data[[#This Row],[Net Sales]]</f>
        <v>0.5535714285714286</v>
      </c>
      <c r="AG159">
        <f>Cleaned_data[[#This Row],[Ship_Date]]-Cleaned_data[[#This Row],[Order_Date]]</f>
        <v>3</v>
      </c>
      <c r="AH159" t="str">
        <f>IF(Cleaned_data[[#This Row],[Delivery Days]]&gt;10,"late","on time")</f>
        <v>on time</v>
      </c>
      <c r="AI159" t="str">
        <f>TEXT(Cleaned_data[[#This Row],[Order_Date]],"mmmm")</f>
        <v>June</v>
      </c>
      <c r="AJ159" s="9" t="str">
        <f>"Q"&amp;ROUNDUP(MONTH(Cleaned_data[[#This Row],[Order_Date]])/3,0)</f>
        <v>Q2</v>
      </c>
    </row>
    <row r="160" spans="1:36">
      <c r="A160" t="s">
        <v>555</v>
      </c>
      <c r="B160" s="9">
        <v>45467</v>
      </c>
      <c r="C160" s="9">
        <v>45474</v>
      </c>
      <c r="D160" t="s">
        <v>556</v>
      </c>
      <c r="E160" t="s">
        <v>557</v>
      </c>
      <c r="F160" t="s">
        <v>152</v>
      </c>
      <c r="G160" t="s">
        <v>75</v>
      </c>
      <c r="H160" t="s">
        <v>212</v>
      </c>
      <c r="I160" t="s">
        <v>213</v>
      </c>
      <c r="J160" t="s">
        <v>109</v>
      </c>
      <c r="K160" t="s">
        <v>168</v>
      </c>
      <c r="L160" t="s">
        <v>359</v>
      </c>
      <c r="M160" t="s">
        <v>360</v>
      </c>
      <c r="N160" t="s">
        <v>93</v>
      </c>
      <c r="O160" t="s">
        <v>94</v>
      </c>
      <c r="P160" s="8">
        <v>3</v>
      </c>
      <c r="Q160" s="10">
        <v>471.37</v>
      </c>
      <c r="R160" s="11">
        <v>0.01</v>
      </c>
      <c r="S160" s="10">
        <v>23.78</v>
      </c>
      <c r="T160" t="s">
        <v>134</v>
      </c>
      <c r="U160" t="s">
        <v>85</v>
      </c>
      <c r="V160" s="8">
        <v>2</v>
      </c>
      <c r="W160" t="s">
        <v>1270</v>
      </c>
      <c r="X160" t="str">
        <f>_xlfn.XLOOKUP(Cleaned_data[[#This Row],[Customer_ID]],Customers[S],Customers[Loyalty_Tier])</f>
        <v>Platinum</v>
      </c>
      <c r="Y160" s="9">
        <f>_xlfn.XLOOKUP(Cleaned_data[[#This Row],[Customer_ID]],Customers[S],Customers[Signup_Date])</f>
        <v>44341</v>
      </c>
      <c r="Z160" s="12">
        <f>_xlfn.XLOOKUP(Cleaned_data[[#This Row],[SKU]],Products[SKU],Products[Standard_Cost])</f>
        <v>265</v>
      </c>
      <c r="AA160" s="10">
        <f>Cleaned_data[[#This Row],[Quantity]]*Cleaned_data[[#This Row],[Unit_Price]]</f>
        <v>1414.1100000000001</v>
      </c>
      <c r="AB160" s="10">
        <f>Cleaned_data[[#This Row],[Unit_Price]]*Cleaned_data[[#This Row],[Discount_Pct]]</f>
        <v>4.7137000000000002</v>
      </c>
      <c r="AC160" s="10">
        <f>Cleaned_data[[#This Row],[Gross Sales]]-Cleaned_data[[#This Row],[Discount amount]]</f>
        <v>1409.3963000000001</v>
      </c>
      <c r="AD160" s="10">
        <f>Cleaned_data[[#This Row],[Product Cost]]*Cleaned_data[[#This Row],[Quantity]]</f>
        <v>795</v>
      </c>
      <c r="AE160" s="10">
        <f>Cleaned_data[[#This Row],[Net Sales]]-Cleaned_data[[#This Row],[COGS]]</f>
        <v>614.39630000000011</v>
      </c>
      <c r="AF160" s="11">
        <f>Cleaned_data[[#This Row],[Gross Profit]]/Cleaned_data[[#This Row],[Net Sales]]</f>
        <v>0.43592870223939145</v>
      </c>
      <c r="AG160">
        <f>Cleaned_data[[#This Row],[Ship_Date]]-Cleaned_data[[#This Row],[Order_Date]]</f>
        <v>7</v>
      </c>
      <c r="AH160" t="str">
        <f>IF(Cleaned_data[[#This Row],[Delivery Days]]&gt;10,"late","on time")</f>
        <v>on time</v>
      </c>
      <c r="AI160" t="str">
        <f>TEXT(Cleaned_data[[#This Row],[Order_Date]],"mmmm")</f>
        <v>June</v>
      </c>
      <c r="AJ160" s="9" t="str">
        <f>"Q"&amp;ROUNDUP(MONTH(Cleaned_data[[#This Row],[Order_Date]])/3,0)</f>
        <v>Q2</v>
      </c>
    </row>
    <row r="161" spans="1:36">
      <c r="A161" t="s">
        <v>558</v>
      </c>
      <c r="B161" s="9">
        <v>45468</v>
      </c>
      <c r="C161" s="9">
        <v>45476</v>
      </c>
      <c r="D161" t="s">
        <v>205</v>
      </c>
      <c r="E161" t="s">
        <v>206</v>
      </c>
      <c r="F161" t="s">
        <v>74</v>
      </c>
      <c r="G161" t="s">
        <v>194</v>
      </c>
      <c r="H161" t="s">
        <v>202</v>
      </c>
      <c r="I161" t="s">
        <v>203</v>
      </c>
      <c r="J161" t="s">
        <v>109</v>
      </c>
      <c r="K161" t="s">
        <v>100</v>
      </c>
      <c r="L161" t="s">
        <v>207</v>
      </c>
      <c r="M161" t="s">
        <v>208</v>
      </c>
      <c r="N161" t="s">
        <v>120</v>
      </c>
      <c r="O161" t="s">
        <v>164</v>
      </c>
      <c r="P161" s="8">
        <v>2</v>
      </c>
      <c r="Q161" s="10">
        <v>1472.21</v>
      </c>
      <c r="R161" s="11">
        <v>0.32</v>
      </c>
      <c r="S161" s="10">
        <v>12.66</v>
      </c>
      <c r="T161" t="s">
        <v>134</v>
      </c>
      <c r="U161" t="s">
        <v>85</v>
      </c>
      <c r="V161" s="8">
        <v>5</v>
      </c>
      <c r="W161" t="s">
        <v>1270</v>
      </c>
      <c r="X161" t="str">
        <f>_xlfn.XLOOKUP(Cleaned_data[[#This Row],[Customer_ID]],Customers[S],Customers[Loyalty_Tier])</f>
        <v>Silver</v>
      </c>
      <c r="Y161" s="9">
        <f>_xlfn.XLOOKUP(Cleaned_data[[#This Row],[Customer_ID]],Customers[S],Customers[Signup_Date])</f>
        <v>45725</v>
      </c>
      <c r="Z161" s="12">
        <f>_xlfn.XLOOKUP(Cleaned_data[[#This Row],[SKU]],Products[SKU],Products[Standard_Cost])</f>
        <v>885</v>
      </c>
      <c r="AA161" s="10">
        <f>Cleaned_data[[#This Row],[Quantity]]*Cleaned_data[[#This Row],[Unit_Price]]</f>
        <v>2944.42</v>
      </c>
      <c r="AB161" s="10">
        <f>Cleaned_data[[#This Row],[Unit_Price]]*Cleaned_data[[#This Row],[Discount_Pct]]</f>
        <v>471.10720000000003</v>
      </c>
      <c r="AC161" s="10">
        <f>Cleaned_data[[#This Row],[Gross Sales]]-Cleaned_data[[#This Row],[Discount amount]]</f>
        <v>2473.3128000000002</v>
      </c>
      <c r="AD161" s="10">
        <f>Cleaned_data[[#This Row],[Product Cost]]*Cleaned_data[[#This Row],[Quantity]]</f>
        <v>1770</v>
      </c>
      <c r="AE161" s="10">
        <f>Cleaned_data[[#This Row],[Net Sales]]-Cleaned_data[[#This Row],[COGS]]</f>
        <v>703.31280000000015</v>
      </c>
      <c r="AF161" s="11">
        <f>Cleaned_data[[#This Row],[Gross Profit]]/Cleaned_data[[#This Row],[Net Sales]]</f>
        <v>0.28436063566242009</v>
      </c>
      <c r="AG161">
        <f>Cleaned_data[[#This Row],[Ship_Date]]-Cleaned_data[[#This Row],[Order_Date]]</f>
        <v>8</v>
      </c>
      <c r="AH161" t="str">
        <f>IF(Cleaned_data[[#This Row],[Delivery Days]]&gt;10,"late","on time")</f>
        <v>on time</v>
      </c>
      <c r="AI161" t="str">
        <f>TEXT(Cleaned_data[[#This Row],[Order_Date]],"mmmm")</f>
        <v>June</v>
      </c>
      <c r="AJ161" s="9" t="str">
        <f>"Q"&amp;ROUNDUP(MONTH(Cleaned_data[[#This Row],[Order_Date]])/3,0)</f>
        <v>Q2</v>
      </c>
    </row>
    <row r="162" spans="1:36">
      <c r="A162" t="s">
        <v>559</v>
      </c>
      <c r="B162" s="9">
        <v>45470</v>
      </c>
      <c r="C162" s="9">
        <v>45480</v>
      </c>
      <c r="D162" t="s">
        <v>485</v>
      </c>
      <c r="E162" t="s">
        <v>193</v>
      </c>
      <c r="F162" t="s">
        <v>74</v>
      </c>
      <c r="G162" t="s">
        <v>138</v>
      </c>
      <c r="H162" t="s">
        <v>153</v>
      </c>
      <c r="I162" t="s">
        <v>154</v>
      </c>
      <c r="J162" t="s">
        <v>109</v>
      </c>
      <c r="K162" t="s">
        <v>79</v>
      </c>
      <c r="L162" t="s">
        <v>155</v>
      </c>
      <c r="M162" t="s">
        <v>156</v>
      </c>
      <c r="N162" t="s">
        <v>82</v>
      </c>
      <c r="O162" t="s">
        <v>112</v>
      </c>
      <c r="P162" s="8">
        <v>5</v>
      </c>
      <c r="Q162" s="10">
        <v>169.15</v>
      </c>
      <c r="R162" s="11">
        <v>0.04</v>
      </c>
      <c r="S162" s="10">
        <v>16.12</v>
      </c>
      <c r="T162" t="s">
        <v>122</v>
      </c>
      <c r="U162" t="s">
        <v>85</v>
      </c>
      <c r="V162" s="8">
        <v>5</v>
      </c>
      <c r="W162" t="s">
        <v>1270</v>
      </c>
      <c r="X162" t="str">
        <f>_xlfn.XLOOKUP(Cleaned_data[[#This Row],[Customer_ID]],Customers[S],Customers[Loyalty_Tier])</f>
        <v>Gold</v>
      </c>
      <c r="Y162" s="9">
        <f>_xlfn.XLOOKUP(Cleaned_data[[#This Row],[Customer_ID]],Customers[S],Customers[Signup_Date])</f>
        <v>46010</v>
      </c>
      <c r="Z162" s="12">
        <f>_xlfn.XLOOKUP(Cleaned_data[[#This Row],[SKU]],Products[SKU],Products[Standard_Cost])</f>
        <v>82</v>
      </c>
      <c r="AA162" s="10">
        <f>Cleaned_data[[#This Row],[Quantity]]*Cleaned_data[[#This Row],[Unit_Price]]</f>
        <v>845.75</v>
      </c>
      <c r="AB162" s="10">
        <f>Cleaned_data[[#This Row],[Unit_Price]]*Cleaned_data[[#This Row],[Discount_Pct]]</f>
        <v>6.766</v>
      </c>
      <c r="AC162" s="10">
        <f>Cleaned_data[[#This Row],[Gross Sales]]-Cleaned_data[[#This Row],[Discount amount]]</f>
        <v>838.98400000000004</v>
      </c>
      <c r="AD162" s="10">
        <f>Cleaned_data[[#This Row],[Product Cost]]*Cleaned_data[[#This Row],[Quantity]]</f>
        <v>410</v>
      </c>
      <c r="AE162" s="10">
        <f>Cleaned_data[[#This Row],[Net Sales]]-Cleaned_data[[#This Row],[COGS]]</f>
        <v>428.98400000000004</v>
      </c>
      <c r="AF162" s="11">
        <f>Cleaned_data[[#This Row],[Gross Profit]]/Cleaned_data[[#This Row],[Net Sales]]</f>
        <v>0.51131368417037748</v>
      </c>
      <c r="AG162">
        <f>Cleaned_data[[#This Row],[Ship_Date]]-Cleaned_data[[#This Row],[Order_Date]]</f>
        <v>10</v>
      </c>
      <c r="AH162" t="str">
        <f>IF(Cleaned_data[[#This Row],[Delivery Days]]&gt;10,"late","on time")</f>
        <v>on time</v>
      </c>
      <c r="AI162" t="str">
        <f>TEXT(Cleaned_data[[#This Row],[Order_Date]],"mmmm")</f>
        <v>June</v>
      </c>
      <c r="AJ162" s="9" t="str">
        <f>"Q"&amp;ROUNDUP(MONTH(Cleaned_data[[#This Row],[Order_Date]])/3,0)</f>
        <v>Q2</v>
      </c>
    </row>
    <row r="163" spans="1:36">
      <c r="A163" t="s">
        <v>560</v>
      </c>
      <c r="B163" s="9">
        <v>45470</v>
      </c>
      <c r="C163" s="9">
        <v>45480</v>
      </c>
      <c r="D163" t="s">
        <v>136</v>
      </c>
      <c r="E163" t="s">
        <v>137</v>
      </c>
      <c r="F163" t="s">
        <v>74</v>
      </c>
      <c r="G163" t="s">
        <v>138</v>
      </c>
      <c r="H163" t="s">
        <v>139</v>
      </c>
      <c r="I163" t="s">
        <v>140</v>
      </c>
      <c r="J163" t="s">
        <v>219</v>
      </c>
      <c r="K163" t="s">
        <v>168</v>
      </c>
      <c r="L163" t="s">
        <v>301</v>
      </c>
      <c r="M163" t="s">
        <v>302</v>
      </c>
      <c r="N163" t="s">
        <v>120</v>
      </c>
      <c r="O163" t="s">
        <v>190</v>
      </c>
      <c r="P163" s="8">
        <v>4</v>
      </c>
      <c r="Q163" s="10">
        <v>145.75</v>
      </c>
      <c r="R163" s="11">
        <v>0.09</v>
      </c>
      <c r="S163" s="10">
        <v>18.84</v>
      </c>
      <c r="T163" t="s">
        <v>122</v>
      </c>
      <c r="U163" t="s">
        <v>85</v>
      </c>
      <c r="V163" s="8">
        <v>1</v>
      </c>
      <c r="W163" t="s">
        <v>1270</v>
      </c>
      <c r="X163" t="str">
        <f>_xlfn.XLOOKUP(Cleaned_data[[#This Row],[Customer_ID]],Customers[S],Customers[Loyalty_Tier])</f>
        <v>Silver</v>
      </c>
      <c r="Y163" s="9">
        <f>_xlfn.XLOOKUP(Cleaned_data[[#This Row],[Customer_ID]],Customers[S],Customers[Signup_Date])</f>
        <v>45236</v>
      </c>
      <c r="Z163" s="12">
        <f>_xlfn.XLOOKUP(Cleaned_data[[#This Row],[SKU]],Products[SKU],Products[Standard_Cost])</f>
        <v>72</v>
      </c>
      <c r="AA163" s="10">
        <f>Cleaned_data[[#This Row],[Quantity]]*Cleaned_data[[#This Row],[Unit_Price]]</f>
        <v>583</v>
      </c>
      <c r="AB163" s="10">
        <f>Cleaned_data[[#This Row],[Unit_Price]]*Cleaned_data[[#This Row],[Discount_Pct]]</f>
        <v>13.1175</v>
      </c>
      <c r="AC163" s="10">
        <f>Cleaned_data[[#This Row],[Gross Sales]]-Cleaned_data[[#This Row],[Discount amount]]</f>
        <v>569.88250000000005</v>
      </c>
      <c r="AD163" s="10">
        <f>Cleaned_data[[#This Row],[Product Cost]]*Cleaned_data[[#This Row],[Quantity]]</f>
        <v>288</v>
      </c>
      <c r="AE163" s="10">
        <f>Cleaned_data[[#This Row],[Net Sales]]-Cleaned_data[[#This Row],[COGS]]</f>
        <v>281.88250000000005</v>
      </c>
      <c r="AF163" s="11">
        <f>Cleaned_data[[#This Row],[Gross Profit]]/Cleaned_data[[#This Row],[Net Sales]]</f>
        <v>0.49463266550560864</v>
      </c>
      <c r="AG163">
        <f>Cleaned_data[[#This Row],[Ship_Date]]-Cleaned_data[[#This Row],[Order_Date]]</f>
        <v>10</v>
      </c>
      <c r="AH163" t="str">
        <f>IF(Cleaned_data[[#This Row],[Delivery Days]]&gt;10,"late","on time")</f>
        <v>on time</v>
      </c>
      <c r="AI163" t="str">
        <f>TEXT(Cleaned_data[[#This Row],[Order_Date]],"mmmm")</f>
        <v>June</v>
      </c>
      <c r="AJ163" s="9" t="str">
        <f>"Q"&amp;ROUNDUP(MONTH(Cleaned_data[[#This Row],[Order_Date]])/3,0)</f>
        <v>Q2</v>
      </c>
    </row>
    <row r="164" spans="1:36">
      <c r="A164" t="s">
        <v>561</v>
      </c>
      <c r="B164" s="9">
        <v>45471</v>
      </c>
      <c r="C164" s="9">
        <v>45473</v>
      </c>
      <c r="D164" t="s">
        <v>514</v>
      </c>
      <c r="E164" t="s">
        <v>515</v>
      </c>
      <c r="F164" t="s">
        <v>74</v>
      </c>
      <c r="G164" t="s">
        <v>75</v>
      </c>
      <c r="H164" t="s">
        <v>212</v>
      </c>
      <c r="I164" t="s">
        <v>213</v>
      </c>
      <c r="J164" t="s">
        <v>109</v>
      </c>
      <c r="K164" t="s">
        <v>79</v>
      </c>
      <c r="L164" t="s">
        <v>80</v>
      </c>
      <c r="M164" t="s">
        <v>81</v>
      </c>
      <c r="N164" t="s">
        <v>82</v>
      </c>
      <c r="O164" t="s">
        <v>83</v>
      </c>
      <c r="P164" s="8">
        <v>6</v>
      </c>
      <c r="Q164" s="10">
        <v>236.34</v>
      </c>
      <c r="R164" s="11">
        <v>0.03</v>
      </c>
      <c r="S164" s="10">
        <v>13.75</v>
      </c>
      <c r="T164" t="s">
        <v>84</v>
      </c>
      <c r="U164" t="s">
        <v>85</v>
      </c>
      <c r="V164" s="8">
        <v>4</v>
      </c>
      <c r="W164" t="s">
        <v>1270</v>
      </c>
      <c r="X164" t="str">
        <f>_xlfn.XLOOKUP(Cleaned_data[[#This Row],[Customer_ID]],Customers[S],Customers[Loyalty_Tier])</f>
        <v>Silver</v>
      </c>
      <c r="Y164" s="9">
        <f>_xlfn.XLOOKUP(Cleaned_data[[#This Row],[Customer_ID]],Customers[S],Customers[Signup_Date])</f>
        <v>44271</v>
      </c>
      <c r="Z164" s="12">
        <f>_xlfn.XLOOKUP(Cleaned_data[[#This Row],[SKU]],Products[SKU],Products[Standard_Cost])</f>
        <v>125</v>
      </c>
      <c r="AA164" s="10">
        <f>Cleaned_data[[#This Row],[Quantity]]*Cleaned_data[[#This Row],[Unit_Price]]</f>
        <v>1418.04</v>
      </c>
      <c r="AB164" s="10">
        <f>Cleaned_data[[#This Row],[Unit_Price]]*Cleaned_data[[#This Row],[Discount_Pct]]</f>
        <v>7.0902000000000003</v>
      </c>
      <c r="AC164" s="10">
        <f>Cleaned_data[[#This Row],[Gross Sales]]-Cleaned_data[[#This Row],[Discount amount]]</f>
        <v>1410.9497999999999</v>
      </c>
      <c r="AD164" s="10">
        <f>Cleaned_data[[#This Row],[Product Cost]]*Cleaned_data[[#This Row],[Quantity]]</f>
        <v>750</v>
      </c>
      <c r="AE164" s="10">
        <f>Cleaned_data[[#This Row],[Net Sales]]-Cleaned_data[[#This Row],[COGS]]</f>
        <v>660.94979999999987</v>
      </c>
      <c r="AF164" s="11">
        <f>Cleaned_data[[#This Row],[Gross Profit]]/Cleaned_data[[#This Row],[Net Sales]]</f>
        <v>0.46844317211002118</v>
      </c>
      <c r="AG164">
        <f>Cleaned_data[[#This Row],[Ship_Date]]-Cleaned_data[[#This Row],[Order_Date]]</f>
        <v>2</v>
      </c>
      <c r="AH164" t="str">
        <f>IF(Cleaned_data[[#This Row],[Delivery Days]]&gt;10,"late","on time")</f>
        <v>on time</v>
      </c>
      <c r="AI164" t="str">
        <f>TEXT(Cleaned_data[[#This Row],[Order_Date]],"mmmm")</f>
        <v>June</v>
      </c>
      <c r="AJ164" s="9" t="str">
        <f>"Q"&amp;ROUNDUP(MONTH(Cleaned_data[[#This Row],[Order_Date]])/3,0)</f>
        <v>Q2</v>
      </c>
    </row>
    <row r="165" spans="1:36">
      <c r="A165" t="s">
        <v>562</v>
      </c>
      <c r="B165" s="9">
        <v>45471</v>
      </c>
      <c r="C165" s="9">
        <v>45477</v>
      </c>
      <c r="D165" t="s">
        <v>563</v>
      </c>
      <c r="E165" t="s">
        <v>564</v>
      </c>
      <c r="F165" t="s">
        <v>152</v>
      </c>
      <c r="G165" t="s">
        <v>138</v>
      </c>
      <c r="H165" t="s">
        <v>139</v>
      </c>
      <c r="I165" t="s">
        <v>140</v>
      </c>
      <c r="J165" t="s">
        <v>78</v>
      </c>
      <c r="K165" t="s">
        <v>90</v>
      </c>
      <c r="L165" t="s">
        <v>162</v>
      </c>
      <c r="M165" t="s">
        <v>163</v>
      </c>
      <c r="N165" t="s">
        <v>120</v>
      </c>
      <c r="O165" t="s">
        <v>164</v>
      </c>
      <c r="P165" s="8">
        <v>1</v>
      </c>
      <c r="Q165" s="10">
        <v>938.93</v>
      </c>
      <c r="R165" s="11">
        <v>0.26</v>
      </c>
      <c r="S165" s="10">
        <v>11.81</v>
      </c>
      <c r="T165" t="s">
        <v>84</v>
      </c>
      <c r="U165" t="s">
        <v>85</v>
      </c>
      <c r="V165" s="8">
        <v>1</v>
      </c>
      <c r="W165" t="s">
        <v>1270</v>
      </c>
      <c r="X165" t="str">
        <f>_xlfn.XLOOKUP(Cleaned_data[[#This Row],[Customer_ID]],Customers[S],Customers[Loyalty_Tier])</f>
        <v>Platinum</v>
      </c>
      <c r="Y165" s="9">
        <f>_xlfn.XLOOKUP(Cleaned_data[[#This Row],[Customer_ID]],Customers[S],Customers[Signup_Date])</f>
        <v>45510</v>
      </c>
      <c r="Z165" s="12">
        <f>_xlfn.XLOOKUP(Cleaned_data[[#This Row],[SKU]],Products[SKU],Products[Standard_Cost])</f>
        <v>585</v>
      </c>
      <c r="AA165" s="10">
        <f>Cleaned_data[[#This Row],[Quantity]]*Cleaned_data[[#This Row],[Unit_Price]]</f>
        <v>938.93</v>
      </c>
      <c r="AB165" s="10">
        <f>Cleaned_data[[#This Row],[Unit_Price]]*Cleaned_data[[#This Row],[Discount_Pct]]</f>
        <v>244.12180000000001</v>
      </c>
      <c r="AC165" s="10">
        <f>Cleaned_data[[#This Row],[Gross Sales]]-Cleaned_data[[#This Row],[Discount amount]]</f>
        <v>694.80819999999994</v>
      </c>
      <c r="AD165" s="10">
        <f>Cleaned_data[[#This Row],[Product Cost]]*Cleaned_data[[#This Row],[Quantity]]</f>
        <v>585</v>
      </c>
      <c r="AE165" s="10">
        <f>Cleaned_data[[#This Row],[Net Sales]]-Cleaned_data[[#This Row],[COGS]]</f>
        <v>109.80819999999994</v>
      </c>
      <c r="AF165" s="11">
        <f>Cleaned_data[[#This Row],[Gross Profit]]/Cleaned_data[[#This Row],[Net Sales]]</f>
        <v>0.15804102484685695</v>
      </c>
      <c r="AG165">
        <f>Cleaned_data[[#This Row],[Ship_Date]]-Cleaned_data[[#This Row],[Order_Date]]</f>
        <v>6</v>
      </c>
      <c r="AH165" t="str">
        <f>IF(Cleaned_data[[#This Row],[Delivery Days]]&gt;10,"late","on time")</f>
        <v>on time</v>
      </c>
      <c r="AI165" t="str">
        <f>TEXT(Cleaned_data[[#This Row],[Order_Date]],"mmmm")</f>
        <v>June</v>
      </c>
      <c r="AJ165" s="9" t="str">
        <f>"Q"&amp;ROUNDUP(MONTH(Cleaned_data[[#This Row],[Order_Date]])/3,0)</f>
        <v>Q2</v>
      </c>
    </row>
    <row r="166" spans="1:36">
      <c r="A166" t="s">
        <v>565</v>
      </c>
      <c r="B166" s="9">
        <v>45473</v>
      </c>
      <c r="C166" s="9">
        <v>45482</v>
      </c>
      <c r="D166" t="s">
        <v>469</v>
      </c>
      <c r="E166" t="s">
        <v>470</v>
      </c>
      <c r="F166" t="s">
        <v>89</v>
      </c>
      <c r="G166" t="s">
        <v>138</v>
      </c>
      <c r="H166" t="s">
        <v>186</v>
      </c>
      <c r="I166" t="s">
        <v>187</v>
      </c>
      <c r="J166" t="s">
        <v>219</v>
      </c>
      <c r="K166" t="s">
        <v>90</v>
      </c>
      <c r="L166" t="s">
        <v>242</v>
      </c>
      <c r="M166" t="s">
        <v>243</v>
      </c>
      <c r="N166" t="s">
        <v>120</v>
      </c>
      <c r="O166" t="s">
        <v>133</v>
      </c>
      <c r="P166" s="8">
        <v>3</v>
      </c>
      <c r="Q166" s="10">
        <v>197.98</v>
      </c>
      <c r="R166" s="11">
        <v>0.24</v>
      </c>
      <c r="S166" s="10">
        <v>5.98</v>
      </c>
      <c r="T166" t="s">
        <v>134</v>
      </c>
      <c r="U166" t="s">
        <v>85</v>
      </c>
      <c r="V166" s="8">
        <v>4</v>
      </c>
      <c r="W166" t="s">
        <v>1270</v>
      </c>
      <c r="X166" t="str">
        <f>_xlfn.XLOOKUP(Cleaned_data[[#This Row],[Customer_ID]],Customers[S],Customers[Loyalty_Tier])</f>
        <v>Platinum</v>
      </c>
      <c r="Y166" s="9">
        <f>_xlfn.XLOOKUP(Cleaned_data[[#This Row],[Customer_ID]],Customers[S],Customers[Signup_Date])</f>
        <v>45102</v>
      </c>
      <c r="Z166" s="12">
        <f>_xlfn.XLOOKUP(Cleaned_data[[#This Row],[SKU]],Products[SKU],Products[Standard_Cost])</f>
        <v>96</v>
      </c>
      <c r="AA166" s="10">
        <f>Cleaned_data[[#This Row],[Quantity]]*Cleaned_data[[#This Row],[Unit_Price]]</f>
        <v>593.93999999999994</v>
      </c>
      <c r="AB166" s="10">
        <f>Cleaned_data[[#This Row],[Unit_Price]]*Cleaned_data[[#This Row],[Discount_Pct]]</f>
        <v>47.515199999999993</v>
      </c>
      <c r="AC166" s="10">
        <f>Cleaned_data[[#This Row],[Gross Sales]]-Cleaned_data[[#This Row],[Discount amount]]</f>
        <v>546.4248</v>
      </c>
      <c r="AD166" s="10">
        <f>Cleaned_data[[#This Row],[Product Cost]]*Cleaned_data[[#This Row],[Quantity]]</f>
        <v>288</v>
      </c>
      <c r="AE166" s="10">
        <f>Cleaned_data[[#This Row],[Net Sales]]-Cleaned_data[[#This Row],[COGS]]</f>
        <v>258.4248</v>
      </c>
      <c r="AF166" s="11">
        <f>Cleaned_data[[#This Row],[Gross Profit]]/Cleaned_data[[#This Row],[Net Sales]]</f>
        <v>0.47293753870614952</v>
      </c>
      <c r="AG166">
        <f>Cleaned_data[[#This Row],[Ship_Date]]-Cleaned_data[[#This Row],[Order_Date]]</f>
        <v>9</v>
      </c>
      <c r="AH166" t="str">
        <f>IF(Cleaned_data[[#This Row],[Delivery Days]]&gt;10,"late","on time")</f>
        <v>on time</v>
      </c>
      <c r="AI166" t="str">
        <f>TEXT(Cleaned_data[[#This Row],[Order_Date]],"mmmm")</f>
        <v>June</v>
      </c>
      <c r="AJ166" s="9" t="str">
        <f>"Q"&amp;ROUNDUP(MONTH(Cleaned_data[[#This Row],[Order_Date]])/3,0)</f>
        <v>Q2</v>
      </c>
    </row>
    <row r="167" spans="1:36">
      <c r="A167" t="s">
        <v>566</v>
      </c>
      <c r="B167" s="9">
        <v>45473</v>
      </c>
      <c r="C167" s="9">
        <v>45480</v>
      </c>
      <c r="D167" t="s">
        <v>430</v>
      </c>
      <c r="E167" t="s">
        <v>224</v>
      </c>
      <c r="F167" t="s">
        <v>74</v>
      </c>
      <c r="G167" t="s">
        <v>194</v>
      </c>
      <c r="H167" t="s">
        <v>225</v>
      </c>
      <c r="I167" t="s">
        <v>226</v>
      </c>
      <c r="J167" t="s">
        <v>109</v>
      </c>
      <c r="K167" t="s">
        <v>100</v>
      </c>
      <c r="L167" t="s">
        <v>101</v>
      </c>
      <c r="M167" t="s">
        <v>102</v>
      </c>
      <c r="N167" t="s">
        <v>103</v>
      </c>
      <c r="O167" t="s">
        <v>104</v>
      </c>
      <c r="P167" s="8">
        <v>4</v>
      </c>
      <c r="Q167" s="10">
        <v>76.28</v>
      </c>
      <c r="R167" s="11">
        <v>0.01</v>
      </c>
      <c r="S167" s="10">
        <v>16.29</v>
      </c>
      <c r="T167" t="s">
        <v>105</v>
      </c>
      <c r="U167" t="s">
        <v>85</v>
      </c>
      <c r="V167" s="8">
        <v>3</v>
      </c>
      <c r="W167" t="s">
        <v>1270</v>
      </c>
      <c r="X167" t="str">
        <f>_xlfn.XLOOKUP(Cleaned_data[[#This Row],[Customer_ID]],Customers[S],Customers[Loyalty_Tier])</f>
        <v>Gold</v>
      </c>
      <c r="Y167" s="9">
        <f>_xlfn.XLOOKUP(Cleaned_data[[#This Row],[Customer_ID]],Customers[S],Customers[Signup_Date])</f>
        <v>44366</v>
      </c>
      <c r="Z167" s="12">
        <f>_xlfn.XLOOKUP(Cleaned_data[[#This Row],[SKU]],Products[SKU],Products[Standard_Cost])</f>
        <v>36</v>
      </c>
      <c r="AA167" s="10">
        <f>Cleaned_data[[#This Row],[Quantity]]*Cleaned_data[[#This Row],[Unit_Price]]</f>
        <v>305.12</v>
      </c>
      <c r="AB167" s="10">
        <f>Cleaned_data[[#This Row],[Unit_Price]]*Cleaned_data[[#This Row],[Discount_Pct]]</f>
        <v>0.76280000000000003</v>
      </c>
      <c r="AC167" s="10">
        <f>Cleaned_data[[#This Row],[Gross Sales]]-Cleaned_data[[#This Row],[Discount amount]]</f>
        <v>304.35719999999998</v>
      </c>
      <c r="AD167" s="10">
        <f>Cleaned_data[[#This Row],[Product Cost]]*Cleaned_data[[#This Row],[Quantity]]</f>
        <v>144</v>
      </c>
      <c r="AE167" s="10">
        <f>Cleaned_data[[#This Row],[Net Sales]]-Cleaned_data[[#This Row],[COGS]]</f>
        <v>160.35719999999998</v>
      </c>
      <c r="AF167" s="11">
        <f>Cleaned_data[[#This Row],[Gross Profit]]/Cleaned_data[[#This Row],[Net Sales]]</f>
        <v>0.52687171520831444</v>
      </c>
      <c r="AG167">
        <f>Cleaned_data[[#This Row],[Ship_Date]]-Cleaned_data[[#This Row],[Order_Date]]</f>
        <v>7</v>
      </c>
      <c r="AH167" t="str">
        <f>IF(Cleaned_data[[#This Row],[Delivery Days]]&gt;10,"late","on time")</f>
        <v>on time</v>
      </c>
      <c r="AI167" t="str">
        <f>TEXT(Cleaned_data[[#This Row],[Order_Date]],"mmmm")</f>
        <v>June</v>
      </c>
      <c r="AJ167" s="9" t="str">
        <f>"Q"&amp;ROUNDUP(MONTH(Cleaned_data[[#This Row],[Order_Date]])/3,0)</f>
        <v>Q2</v>
      </c>
    </row>
    <row r="168" spans="1:36">
      <c r="A168" t="s">
        <v>567</v>
      </c>
      <c r="B168" s="9">
        <v>45476</v>
      </c>
      <c r="C168" s="9">
        <v>45481</v>
      </c>
      <c r="D168" t="s">
        <v>392</v>
      </c>
      <c r="E168" t="s">
        <v>393</v>
      </c>
      <c r="F168" t="s">
        <v>74</v>
      </c>
      <c r="G168" t="s">
        <v>126</v>
      </c>
      <c r="H168" t="s">
        <v>160</v>
      </c>
      <c r="I168" t="s">
        <v>161</v>
      </c>
      <c r="J168" t="s">
        <v>129</v>
      </c>
      <c r="K168" t="s">
        <v>90</v>
      </c>
      <c r="L168" t="s">
        <v>337</v>
      </c>
      <c r="M168" t="s">
        <v>338</v>
      </c>
      <c r="N168" t="s">
        <v>93</v>
      </c>
      <c r="O168" t="s">
        <v>236</v>
      </c>
      <c r="P168" s="8">
        <v>3</v>
      </c>
      <c r="Q168" s="10">
        <v>264.86</v>
      </c>
      <c r="R168" s="11">
        <v>0.11</v>
      </c>
      <c r="S168" s="10">
        <v>23.24</v>
      </c>
      <c r="T168" t="s">
        <v>84</v>
      </c>
      <c r="U168" t="s">
        <v>85</v>
      </c>
      <c r="V168" s="8">
        <v>3</v>
      </c>
      <c r="W168" t="s">
        <v>1270</v>
      </c>
      <c r="X168" t="str">
        <f>_xlfn.XLOOKUP(Cleaned_data[[#This Row],[Customer_ID]],Customers[S],Customers[Loyalty_Tier])</f>
        <v>Gold</v>
      </c>
      <c r="Y168" s="9">
        <f>_xlfn.XLOOKUP(Cleaned_data[[#This Row],[Customer_ID]],Customers[S],Customers[Signup_Date])</f>
        <v>44236</v>
      </c>
      <c r="Z168" s="12">
        <f>_xlfn.XLOOKUP(Cleaned_data[[#This Row],[SKU]],Products[SKU],Products[Standard_Cost])</f>
        <v>146</v>
      </c>
      <c r="AA168" s="10">
        <f>Cleaned_data[[#This Row],[Quantity]]*Cleaned_data[[#This Row],[Unit_Price]]</f>
        <v>794.58</v>
      </c>
      <c r="AB168" s="10">
        <f>Cleaned_data[[#This Row],[Unit_Price]]*Cleaned_data[[#This Row],[Discount_Pct]]</f>
        <v>29.134600000000002</v>
      </c>
      <c r="AC168" s="10">
        <f>Cleaned_data[[#This Row],[Gross Sales]]-Cleaned_data[[#This Row],[Discount amount]]</f>
        <v>765.44540000000006</v>
      </c>
      <c r="AD168" s="10">
        <f>Cleaned_data[[#This Row],[Product Cost]]*Cleaned_data[[#This Row],[Quantity]]</f>
        <v>438</v>
      </c>
      <c r="AE168" s="10">
        <f>Cleaned_data[[#This Row],[Net Sales]]-Cleaned_data[[#This Row],[COGS]]</f>
        <v>327.44540000000006</v>
      </c>
      <c r="AF168" s="11">
        <f>Cleaned_data[[#This Row],[Gross Profit]]/Cleaned_data[[#This Row],[Net Sales]]</f>
        <v>0.42778413718339681</v>
      </c>
      <c r="AG168">
        <f>Cleaned_data[[#This Row],[Ship_Date]]-Cleaned_data[[#This Row],[Order_Date]]</f>
        <v>5</v>
      </c>
      <c r="AH168" t="str">
        <f>IF(Cleaned_data[[#This Row],[Delivery Days]]&gt;10,"late","on time")</f>
        <v>on time</v>
      </c>
      <c r="AI168" t="str">
        <f>TEXT(Cleaned_data[[#This Row],[Order_Date]],"mmmm")</f>
        <v>July</v>
      </c>
      <c r="AJ168" s="9" t="str">
        <f>"Q"&amp;ROUNDUP(MONTH(Cleaned_data[[#This Row],[Order_Date]])/3,0)</f>
        <v>Q3</v>
      </c>
    </row>
    <row r="169" spans="1:36">
      <c r="A169" t="s">
        <v>568</v>
      </c>
      <c r="B169" s="9">
        <v>45477</v>
      </c>
      <c r="C169" s="9">
        <v>45485</v>
      </c>
      <c r="D169" t="s">
        <v>276</v>
      </c>
      <c r="E169" t="s">
        <v>277</v>
      </c>
      <c r="F169" t="s">
        <v>152</v>
      </c>
      <c r="G169" t="s">
        <v>75</v>
      </c>
      <c r="H169" t="s">
        <v>212</v>
      </c>
      <c r="I169" t="s">
        <v>213</v>
      </c>
      <c r="J169" t="s">
        <v>219</v>
      </c>
      <c r="K169" t="s">
        <v>79</v>
      </c>
      <c r="L169" t="s">
        <v>175</v>
      </c>
      <c r="M169" t="s">
        <v>176</v>
      </c>
      <c r="N169" t="s">
        <v>93</v>
      </c>
      <c r="O169" t="s">
        <v>177</v>
      </c>
      <c r="P169" s="8">
        <v>3</v>
      </c>
      <c r="Q169" s="10">
        <v>173.59</v>
      </c>
      <c r="R169" s="11">
        <v>0.2</v>
      </c>
      <c r="S169" s="10">
        <v>24.73</v>
      </c>
      <c r="T169" t="s">
        <v>134</v>
      </c>
      <c r="U169" t="s">
        <v>148</v>
      </c>
      <c r="W169" t="s">
        <v>1270</v>
      </c>
      <c r="X169" t="str">
        <f>_xlfn.XLOOKUP(Cleaned_data[[#This Row],[Customer_ID]],Customers[S],Customers[Loyalty_Tier])</f>
        <v>Silver</v>
      </c>
      <c r="Y169" s="9">
        <f>_xlfn.XLOOKUP(Cleaned_data[[#This Row],[Customer_ID]],Customers[S],Customers[Signup_Date])</f>
        <v>44291</v>
      </c>
      <c r="Z169" s="12">
        <f>_xlfn.XLOOKUP(Cleaned_data[[#This Row],[SKU]],Products[SKU],Products[Standard_Cost])</f>
        <v>88</v>
      </c>
      <c r="AA169" s="10">
        <f>Cleaned_data[[#This Row],[Quantity]]*Cleaned_data[[#This Row],[Unit_Price]]</f>
        <v>520.77</v>
      </c>
      <c r="AB169" s="10">
        <f>Cleaned_data[[#This Row],[Unit_Price]]*Cleaned_data[[#This Row],[Discount_Pct]]</f>
        <v>34.718000000000004</v>
      </c>
      <c r="AC169" s="10">
        <f>Cleaned_data[[#This Row],[Gross Sales]]-Cleaned_data[[#This Row],[Discount amount]]</f>
        <v>486.05199999999996</v>
      </c>
      <c r="AD169" s="10">
        <f>Cleaned_data[[#This Row],[Product Cost]]*Cleaned_data[[#This Row],[Quantity]]</f>
        <v>264</v>
      </c>
      <c r="AE169" s="10">
        <f>Cleaned_data[[#This Row],[Net Sales]]-Cleaned_data[[#This Row],[COGS]]</f>
        <v>222.05199999999996</v>
      </c>
      <c r="AF169" s="11">
        <f>Cleaned_data[[#This Row],[Gross Profit]]/Cleaned_data[[#This Row],[Net Sales]]</f>
        <v>0.45684823846008243</v>
      </c>
      <c r="AG169">
        <f>Cleaned_data[[#This Row],[Ship_Date]]-Cleaned_data[[#This Row],[Order_Date]]</f>
        <v>8</v>
      </c>
      <c r="AH169" t="str">
        <f>IF(Cleaned_data[[#This Row],[Delivery Days]]&gt;10,"late","on time")</f>
        <v>on time</v>
      </c>
      <c r="AI169" t="str">
        <f>TEXT(Cleaned_data[[#This Row],[Order_Date]],"mmmm")</f>
        <v>July</v>
      </c>
      <c r="AJ169" s="9" t="str">
        <f>"Q"&amp;ROUNDUP(MONTH(Cleaned_data[[#This Row],[Order_Date]])/3,0)</f>
        <v>Q3</v>
      </c>
    </row>
    <row r="170" spans="1:36">
      <c r="A170" t="s">
        <v>569</v>
      </c>
      <c r="B170" s="9">
        <v>45482</v>
      </c>
      <c r="C170" s="9">
        <v>45485</v>
      </c>
      <c r="D170" t="s">
        <v>570</v>
      </c>
      <c r="E170" t="s">
        <v>571</v>
      </c>
      <c r="F170" t="s">
        <v>152</v>
      </c>
      <c r="G170" t="s">
        <v>126</v>
      </c>
      <c r="H170" t="s">
        <v>160</v>
      </c>
      <c r="I170" t="s">
        <v>182</v>
      </c>
      <c r="J170" t="s">
        <v>78</v>
      </c>
      <c r="K170" t="s">
        <v>168</v>
      </c>
      <c r="L170" t="s">
        <v>431</v>
      </c>
      <c r="M170" t="s">
        <v>432</v>
      </c>
      <c r="N170" t="s">
        <v>103</v>
      </c>
      <c r="O170" t="s">
        <v>251</v>
      </c>
      <c r="P170" s="8">
        <v>5</v>
      </c>
      <c r="Q170" s="10">
        <v>37.979999999999997</v>
      </c>
      <c r="R170" s="11">
        <v>0.03</v>
      </c>
      <c r="S170" s="10">
        <v>5.82</v>
      </c>
      <c r="T170" t="s">
        <v>84</v>
      </c>
      <c r="U170" t="s">
        <v>85</v>
      </c>
      <c r="V170" s="8">
        <v>2</v>
      </c>
      <c r="W170" t="s">
        <v>1270</v>
      </c>
      <c r="X170" t="str">
        <f>_xlfn.XLOOKUP(Cleaned_data[[#This Row],[Customer_ID]],Customers[S],Customers[Loyalty_Tier])</f>
        <v>Silver</v>
      </c>
      <c r="Y170" s="9">
        <f>_xlfn.XLOOKUP(Cleaned_data[[#This Row],[Customer_ID]],Customers[S],Customers[Signup_Date])</f>
        <v>44870</v>
      </c>
      <c r="Z170" s="12">
        <f>_xlfn.XLOOKUP(Cleaned_data[[#This Row],[SKU]],Products[SKU],Products[Standard_Cost])</f>
        <v>20</v>
      </c>
      <c r="AA170" s="10">
        <f>Cleaned_data[[#This Row],[Quantity]]*Cleaned_data[[#This Row],[Unit_Price]]</f>
        <v>189.89999999999998</v>
      </c>
      <c r="AB170" s="10">
        <f>Cleaned_data[[#This Row],[Unit_Price]]*Cleaned_data[[#This Row],[Discount_Pct]]</f>
        <v>1.1394</v>
      </c>
      <c r="AC170" s="10">
        <f>Cleaned_data[[#This Row],[Gross Sales]]-Cleaned_data[[#This Row],[Discount amount]]</f>
        <v>188.76059999999998</v>
      </c>
      <c r="AD170" s="10">
        <f>Cleaned_data[[#This Row],[Product Cost]]*Cleaned_data[[#This Row],[Quantity]]</f>
        <v>100</v>
      </c>
      <c r="AE170" s="10">
        <f>Cleaned_data[[#This Row],[Net Sales]]-Cleaned_data[[#This Row],[COGS]]</f>
        <v>88.760599999999982</v>
      </c>
      <c r="AF170" s="11">
        <f>Cleaned_data[[#This Row],[Gross Profit]]/Cleaned_data[[#This Row],[Net Sales]]</f>
        <v>0.47022842690688627</v>
      </c>
      <c r="AG170">
        <f>Cleaned_data[[#This Row],[Ship_Date]]-Cleaned_data[[#This Row],[Order_Date]]</f>
        <v>3</v>
      </c>
      <c r="AH170" t="str">
        <f>IF(Cleaned_data[[#This Row],[Delivery Days]]&gt;10,"late","on time")</f>
        <v>on time</v>
      </c>
      <c r="AI170" t="str">
        <f>TEXT(Cleaned_data[[#This Row],[Order_Date]],"mmmm")</f>
        <v>July</v>
      </c>
      <c r="AJ170" s="9" t="str">
        <f>"Q"&amp;ROUNDUP(MONTH(Cleaned_data[[#This Row],[Order_Date]])/3,0)</f>
        <v>Q3</v>
      </c>
    </row>
    <row r="171" spans="1:36">
      <c r="A171" t="s">
        <v>572</v>
      </c>
      <c r="B171" s="9">
        <v>45482</v>
      </c>
      <c r="C171" s="9">
        <v>45488</v>
      </c>
      <c r="D171" t="s">
        <v>271</v>
      </c>
      <c r="E171" t="s">
        <v>272</v>
      </c>
      <c r="F171" t="s">
        <v>89</v>
      </c>
      <c r="G171" t="s">
        <v>75</v>
      </c>
      <c r="H171" t="s">
        <v>273</v>
      </c>
      <c r="I171" t="s">
        <v>274</v>
      </c>
      <c r="J171" t="s">
        <v>78</v>
      </c>
      <c r="K171" t="s">
        <v>147</v>
      </c>
      <c r="L171" t="s">
        <v>155</v>
      </c>
      <c r="M171" t="s">
        <v>156</v>
      </c>
      <c r="N171" t="s">
        <v>82</v>
      </c>
      <c r="O171" t="s">
        <v>112</v>
      </c>
      <c r="P171" s="8">
        <v>8</v>
      </c>
      <c r="Q171" s="10">
        <v>170.07</v>
      </c>
      <c r="R171" s="11">
        <v>0.05</v>
      </c>
      <c r="S171" s="10">
        <v>6.93</v>
      </c>
      <c r="T171" t="s">
        <v>122</v>
      </c>
      <c r="U171" t="s">
        <v>85</v>
      </c>
      <c r="V171" s="8">
        <v>2</v>
      </c>
      <c r="W171" t="s">
        <v>1270</v>
      </c>
      <c r="X171" t="str">
        <f>_xlfn.XLOOKUP(Cleaned_data[[#This Row],[Customer_ID]],Customers[S],Customers[Loyalty_Tier])</f>
        <v>Silver</v>
      </c>
      <c r="Y171" s="9">
        <f>_xlfn.XLOOKUP(Cleaned_data[[#This Row],[Customer_ID]],Customers[S],Customers[Signup_Date])</f>
        <v>44909</v>
      </c>
      <c r="Z171" s="12">
        <f>_xlfn.XLOOKUP(Cleaned_data[[#This Row],[SKU]],Products[SKU],Products[Standard_Cost])</f>
        <v>82</v>
      </c>
      <c r="AA171" s="10">
        <f>Cleaned_data[[#This Row],[Quantity]]*Cleaned_data[[#This Row],[Unit_Price]]</f>
        <v>1360.56</v>
      </c>
      <c r="AB171" s="10">
        <f>Cleaned_data[[#This Row],[Unit_Price]]*Cleaned_data[[#This Row],[Discount_Pct]]</f>
        <v>8.5035000000000007</v>
      </c>
      <c r="AC171" s="10">
        <f>Cleaned_data[[#This Row],[Gross Sales]]-Cleaned_data[[#This Row],[Discount amount]]</f>
        <v>1352.0564999999999</v>
      </c>
      <c r="AD171" s="10">
        <f>Cleaned_data[[#This Row],[Product Cost]]*Cleaned_data[[#This Row],[Quantity]]</f>
        <v>656</v>
      </c>
      <c r="AE171" s="10">
        <f>Cleaned_data[[#This Row],[Net Sales]]-Cleaned_data[[#This Row],[COGS]]</f>
        <v>696.05649999999991</v>
      </c>
      <c r="AF171" s="11">
        <f>Cleaned_data[[#This Row],[Gross Profit]]/Cleaned_data[[#This Row],[Net Sales]]</f>
        <v>0.51481317533697735</v>
      </c>
      <c r="AG171">
        <f>Cleaned_data[[#This Row],[Ship_Date]]-Cleaned_data[[#This Row],[Order_Date]]</f>
        <v>6</v>
      </c>
      <c r="AH171" t="str">
        <f>IF(Cleaned_data[[#This Row],[Delivery Days]]&gt;10,"late","on time")</f>
        <v>on time</v>
      </c>
      <c r="AI171" t="str">
        <f>TEXT(Cleaned_data[[#This Row],[Order_Date]],"mmmm")</f>
        <v>July</v>
      </c>
      <c r="AJ171" s="9" t="str">
        <f>"Q"&amp;ROUNDUP(MONTH(Cleaned_data[[#This Row],[Order_Date]])/3,0)</f>
        <v>Q3</v>
      </c>
    </row>
    <row r="172" spans="1:36">
      <c r="A172" t="s">
        <v>573</v>
      </c>
      <c r="B172" s="9">
        <v>45483</v>
      </c>
      <c r="C172" s="9">
        <v>45486</v>
      </c>
      <c r="D172" t="s">
        <v>166</v>
      </c>
      <c r="E172" t="s">
        <v>167</v>
      </c>
      <c r="F172" t="s">
        <v>74</v>
      </c>
      <c r="G172" t="s">
        <v>75</v>
      </c>
      <c r="H172" t="s">
        <v>116</v>
      </c>
      <c r="I172" t="s">
        <v>117</v>
      </c>
      <c r="J172" t="s">
        <v>78</v>
      </c>
      <c r="K172" t="s">
        <v>90</v>
      </c>
      <c r="L172" t="s">
        <v>141</v>
      </c>
      <c r="M172" t="s">
        <v>142</v>
      </c>
      <c r="N172" t="s">
        <v>103</v>
      </c>
      <c r="O172" t="s">
        <v>143</v>
      </c>
      <c r="P172" s="8">
        <v>5</v>
      </c>
      <c r="Q172" s="10">
        <v>35.42</v>
      </c>
      <c r="R172" s="11">
        <v>0.02</v>
      </c>
      <c r="S172" s="10">
        <v>9.43</v>
      </c>
      <c r="T172" t="s">
        <v>122</v>
      </c>
      <c r="U172" t="s">
        <v>85</v>
      </c>
      <c r="V172" s="8">
        <v>3</v>
      </c>
      <c r="W172" t="s">
        <v>1270</v>
      </c>
      <c r="X172" t="str">
        <f>_xlfn.XLOOKUP(Cleaned_data[[#This Row],[Customer_ID]],Customers[S],Customers[Loyalty_Tier])</f>
        <v>Platinum</v>
      </c>
      <c r="Y172" s="9">
        <f>_xlfn.XLOOKUP(Cleaned_data[[#This Row],[Customer_ID]],Customers[S],Customers[Signup_Date])</f>
        <v>46013</v>
      </c>
      <c r="Z172" s="12">
        <f>_xlfn.XLOOKUP(Cleaned_data[[#This Row],[SKU]],Products[SKU],Products[Standard_Cost])</f>
        <v>18</v>
      </c>
      <c r="AA172" s="10">
        <f>Cleaned_data[[#This Row],[Quantity]]*Cleaned_data[[#This Row],[Unit_Price]]</f>
        <v>177.10000000000002</v>
      </c>
      <c r="AB172" s="10">
        <f>Cleaned_data[[#This Row],[Unit_Price]]*Cleaned_data[[#This Row],[Discount_Pct]]</f>
        <v>0.70840000000000003</v>
      </c>
      <c r="AC172" s="10">
        <f>Cleaned_data[[#This Row],[Gross Sales]]-Cleaned_data[[#This Row],[Discount amount]]</f>
        <v>176.39160000000001</v>
      </c>
      <c r="AD172" s="10">
        <f>Cleaned_data[[#This Row],[Product Cost]]*Cleaned_data[[#This Row],[Quantity]]</f>
        <v>90</v>
      </c>
      <c r="AE172" s="10">
        <f>Cleaned_data[[#This Row],[Net Sales]]-Cleaned_data[[#This Row],[COGS]]</f>
        <v>86.391600000000011</v>
      </c>
      <c r="AF172" s="11">
        <f>Cleaned_data[[#This Row],[Gross Profit]]/Cleaned_data[[#This Row],[Net Sales]]</f>
        <v>0.48977162177790784</v>
      </c>
      <c r="AG172">
        <f>Cleaned_data[[#This Row],[Ship_Date]]-Cleaned_data[[#This Row],[Order_Date]]</f>
        <v>3</v>
      </c>
      <c r="AH172" t="str">
        <f>IF(Cleaned_data[[#This Row],[Delivery Days]]&gt;10,"late","on time")</f>
        <v>on time</v>
      </c>
      <c r="AI172" t="str">
        <f>TEXT(Cleaned_data[[#This Row],[Order_Date]],"mmmm")</f>
        <v>July</v>
      </c>
      <c r="AJ172" s="9" t="str">
        <f>"Q"&amp;ROUNDUP(MONTH(Cleaned_data[[#This Row],[Order_Date]])/3,0)</f>
        <v>Q3</v>
      </c>
    </row>
    <row r="173" spans="1:36">
      <c r="A173" t="s">
        <v>574</v>
      </c>
      <c r="B173" s="9">
        <v>45484</v>
      </c>
      <c r="C173" s="9">
        <v>45488</v>
      </c>
      <c r="D173" t="s">
        <v>514</v>
      </c>
      <c r="E173" t="s">
        <v>515</v>
      </c>
      <c r="F173" t="s">
        <v>74</v>
      </c>
      <c r="G173" t="s">
        <v>75</v>
      </c>
      <c r="H173" t="s">
        <v>212</v>
      </c>
      <c r="I173" t="s">
        <v>213</v>
      </c>
      <c r="J173" t="s">
        <v>78</v>
      </c>
      <c r="K173" t="s">
        <v>79</v>
      </c>
      <c r="L173" t="s">
        <v>110</v>
      </c>
      <c r="M173" t="s">
        <v>111</v>
      </c>
      <c r="N173" t="s">
        <v>82</v>
      </c>
      <c r="O173" t="s">
        <v>112</v>
      </c>
      <c r="P173" s="8">
        <v>7</v>
      </c>
      <c r="Q173" s="10">
        <v>309.85000000000002</v>
      </c>
      <c r="R173" s="11">
        <v>0.05</v>
      </c>
      <c r="S173" s="10">
        <v>5.51</v>
      </c>
      <c r="T173" t="s">
        <v>134</v>
      </c>
      <c r="U173" t="s">
        <v>85</v>
      </c>
      <c r="W173" t="s">
        <v>1270</v>
      </c>
      <c r="X173" t="str">
        <f>_xlfn.XLOOKUP(Cleaned_data[[#This Row],[Customer_ID]],Customers[S],Customers[Loyalty_Tier])</f>
        <v>Silver</v>
      </c>
      <c r="Y173" s="9">
        <f>_xlfn.XLOOKUP(Cleaned_data[[#This Row],[Customer_ID]],Customers[S],Customers[Signup_Date])</f>
        <v>44271</v>
      </c>
      <c r="Z173" s="12">
        <f>_xlfn.XLOOKUP(Cleaned_data[[#This Row],[SKU]],Products[SKU],Products[Standard_Cost])</f>
        <v>165</v>
      </c>
      <c r="AA173" s="10">
        <f>Cleaned_data[[#This Row],[Quantity]]*Cleaned_data[[#This Row],[Unit_Price]]</f>
        <v>2168.9500000000003</v>
      </c>
      <c r="AB173" s="10">
        <f>Cleaned_data[[#This Row],[Unit_Price]]*Cleaned_data[[#This Row],[Discount_Pct]]</f>
        <v>15.492500000000001</v>
      </c>
      <c r="AC173" s="10">
        <f>Cleaned_data[[#This Row],[Gross Sales]]-Cleaned_data[[#This Row],[Discount amount]]</f>
        <v>2153.4575000000004</v>
      </c>
      <c r="AD173" s="10">
        <f>Cleaned_data[[#This Row],[Product Cost]]*Cleaned_data[[#This Row],[Quantity]]</f>
        <v>1155</v>
      </c>
      <c r="AE173" s="10">
        <f>Cleaned_data[[#This Row],[Net Sales]]-Cleaned_data[[#This Row],[COGS]]</f>
        <v>998.45750000000044</v>
      </c>
      <c r="AF173" s="11">
        <f>Cleaned_data[[#This Row],[Gross Profit]]/Cleaned_data[[#This Row],[Net Sales]]</f>
        <v>0.46365321813873744</v>
      </c>
      <c r="AG173">
        <f>Cleaned_data[[#This Row],[Ship_Date]]-Cleaned_data[[#This Row],[Order_Date]]</f>
        <v>4</v>
      </c>
      <c r="AH173" t="str">
        <f>IF(Cleaned_data[[#This Row],[Delivery Days]]&gt;10,"late","on time")</f>
        <v>on time</v>
      </c>
      <c r="AI173" t="str">
        <f>TEXT(Cleaned_data[[#This Row],[Order_Date]],"mmmm")</f>
        <v>July</v>
      </c>
      <c r="AJ173" s="9" t="str">
        <f>"Q"&amp;ROUNDUP(MONTH(Cleaned_data[[#This Row],[Order_Date]])/3,0)</f>
        <v>Q3</v>
      </c>
    </row>
    <row r="174" spans="1:36">
      <c r="A174" t="s">
        <v>575</v>
      </c>
      <c r="B174" s="9">
        <v>45484</v>
      </c>
      <c r="C174" s="9">
        <v>45492</v>
      </c>
      <c r="D174" t="s">
        <v>576</v>
      </c>
      <c r="E174" t="s">
        <v>577</v>
      </c>
      <c r="F174" t="s">
        <v>89</v>
      </c>
      <c r="G174" t="s">
        <v>126</v>
      </c>
      <c r="H174" t="s">
        <v>291</v>
      </c>
      <c r="I174" t="s">
        <v>292</v>
      </c>
      <c r="J174" t="s">
        <v>219</v>
      </c>
      <c r="K174" t="s">
        <v>168</v>
      </c>
      <c r="L174" t="s">
        <v>131</v>
      </c>
      <c r="M174" t="s">
        <v>132</v>
      </c>
      <c r="N174" t="s">
        <v>120</v>
      </c>
      <c r="O174" t="s">
        <v>133</v>
      </c>
      <c r="P174" s="8">
        <v>4</v>
      </c>
      <c r="Q174" s="10">
        <v>89.46</v>
      </c>
      <c r="R174" s="11">
        <v>0.04</v>
      </c>
      <c r="S174" s="10">
        <v>10.18</v>
      </c>
      <c r="T174" t="s">
        <v>84</v>
      </c>
      <c r="U174" t="s">
        <v>85</v>
      </c>
      <c r="W174" t="s">
        <v>1270</v>
      </c>
      <c r="X174" t="str">
        <f>_xlfn.XLOOKUP(Cleaned_data[[#This Row],[Customer_ID]],Customers[S],Customers[Loyalty_Tier])</f>
        <v>Bronze</v>
      </c>
      <c r="Y174" s="9">
        <f>_xlfn.XLOOKUP(Cleaned_data[[#This Row],[Customer_ID]],Customers[S],Customers[Signup_Date])</f>
        <v>44876</v>
      </c>
      <c r="Z174" s="12">
        <f>_xlfn.XLOOKUP(Cleaned_data[[#This Row],[SKU]],Products[SKU],Products[Standard_Cost])</f>
        <v>44</v>
      </c>
      <c r="AA174" s="10">
        <f>Cleaned_data[[#This Row],[Quantity]]*Cleaned_data[[#This Row],[Unit_Price]]</f>
        <v>357.84</v>
      </c>
      <c r="AB174" s="10">
        <f>Cleaned_data[[#This Row],[Unit_Price]]*Cleaned_data[[#This Row],[Discount_Pct]]</f>
        <v>3.5783999999999998</v>
      </c>
      <c r="AC174" s="10">
        <f>Cleaned_data[[#This Row],[Gross Sales]]-Cleaned_data[[#This Row],[Discount amount]]</f>
        <v>354.26159999999999</v>
      </c>
      <c r="AD174" s="10">
        <f>Cleaned_data[[#This Row],[Product Cost]]*Cleaned_data[[#This Row],[Quantity]]</f>
        <v>176</v>
      </c>
      <c r="AE174" s="10">
        <f>Cleaned_data[[#This Row],[Net Sales]]-Cleaned_data[[#This Row],[COGS]]</f>
        <v>178.26159999999999</v>
      </c>
      <c r="AF174" s="11">
        <f>Cleaned_data[[#This Row],[Gross Profit]]/Cleaned_data[[#This Row],[Net Sales]]</f>
        <v>0.50319199145490223</v>
      </c>
      <c r="AG174">
        <f>Cleaned_data[[#This Row],[Ship_Date]]-Cleaned_data[[#This Row],[Order_Date]]</f>
        <v>8</v>
      </c>
      <c r="AH174" t="str">
        <f>IF(Cleaned_data[[#This Row],[Delivery Days]]&gt;10,"late","on time")</f>
        <v>on time</v>
      </c>
      <c r="AI174" t="str">
        <f>TEXT(Cleaned_data[[#This Row],[Order_Date]],"mmmm")</f>
        <v>July</v>
      </c>
      <c r="AJ174" s="9" t="str">
        <f>"Q"&amp;ROUNDUP(MONTH(Cleaned_data[[#This Row],[Order_Date]])/3,0)</f>
        <v>Q3</v>
      </c>
    </row>
    <row r="175" spans="1:36">
      <c r="A175" t="s">
        <v>578</v>
      </c>
      <c r="B175" s="9">
        <v>45485</v>
      </c>
      <c r="C175" s="9">
        <v>45486</v>
      </c>
      <c r="D175" t="s">
        <v>312</v>
      </c>
      <c r="E175" t="s">
        <v>313</v>
      </c>
      <c r="F175" t="s">
        <v>74</v>
      </c>
      <c r="G175" t="s">
        <v>194</v>
      </c>
      <c r="H175" t="s">
        <v>225</v>
      </c>
      <c r="I175" t="s">
        <v>226</v>
      </c>
      <c r="J175" t="s">
        <v>219</v>
      </c>
      <c r="K175" t="s">
        <v>147</v>
      </c>
      <c r="L175" t="s">
        <v>169</v>
      </c>
      <c r="M175" t="s">
        <v>170</v>
      </c>
      <c r="N175" t="s">
        <v>103</v>
      </c>
      <c r="O175" t="s">
        <v>171</v>
      </c>
      <c r="P175" s="8">
        <v>6</v>
      </c>
      <c r="Q175" s="10">
        <v>15.53</v>
      </c>
      <c r="R175" s="11">
        <v>0.28000000000000003</v>
      </c>
      <c r="S175" s="10">
        <v>15.24</v>
      </c>
      <c r="T175" t="s">
        <v>105</v>
      </c>
      <c r="U175" t="s">
        <v>85</v>
      </c>
      <c r="V175" s="8">
        <v>4</v>
      </c>
      <c r="W175" t="s">
        <v>1270</v>
      </c>
      <c r="X175" t="str">
        <f>_xlfn.XLOOKUP(Cleaned_data[[#This Row],[Customer_ID]],Customers[S],Customers[Loyalty_Tier])</f>
        <v>Gold</v>
      </c>
      <c r="Y175" s="9">
        <f>_xlfn.XLOOKUP(Cleaned_data[[#This Row],[Customer_ID]],Customers[S],Customers[Signup_Date])</f>
        <v>44694</v>
      </c>
      <c r="Z175" s="12">
        <f>_xlfn.XLOOKUP(Cleaned_data[[#This Row],[SKU]],Products[SKU],Products[Standard_Cost])</f>
        <v>6</v>
      </c>
      <c r="AA175" s="10">
        <f>Cleaned_data[[#This Row],[Quantity]]*Cleaned_data[[#This Row],[Unit_Price]]</f>
        <v>93.179999999999993</v>
      </c>
      <c r="AB175" s="10">
        <f>Cleaned_data[[#This Row],[Unit_Price]]*Cleaned_data[[#This Row],[Discount_Pct]]</f>
        <v>4.3483999999999998</v>
      </c>
      <c r="AC175" s="10">
        <f>Cleaned_data[[#This Row],[Gross Sales]]-Cleaned_data[[#This Row],[Discount amount]]</f>
        <v>88.831599999999995</v>
      </c>
      <c r="AD175" s="10">
        <f>Cleaned_data[[#This Row],[Product Cost]]*Cleaned_data[[#This Row],[Quantity]]</f>
        <v>36</v>
      </c>
      <c r="AE175" s="10">
        <f>Cleaned_data[[#This Row],[Net Sales]]-Cleaned_data[[#This Row],[COGS]]</f>
        <v>52.831599999999995</v>
      </c>
      <c r="AF175" s="11">
        <f>Cleaned_data[[#This Row],[Gross Profit]]/Cleaned_data[[#This Row],[Net Sales]]</f>
        <v>0.59473880916250521</v>
      </c>
      <c r="AG175">
        <f>Cleaned_data[[#This Row],[Ship_Date]]-Cleaned_data[[#This Row],[Order_Date]]</f>
        <v>1</v>
      </c>
      <c r="AH175" t="str">
        <f>IF(Cleaned_data[[#This Row],[Delivery Days]]&gt;10,"late","on time")</f>
        <v>on time</v>
      </c>
      <c r="AI175" t="str">
        <f>TEXT(Cleaned_data[[#This Row],[Order_Date]],"mmmm")</f>
        <v>July</v>
      </c>
      <c r="AJ175" s="9" t="str">
        <f>"Q"&amp;ROUNDUP(MONTH(Cleaned_data[[#This Row],[Order_Date]])/3,0)</f>
        <v>Q3</v>
      </c>
    </row>
    <row r="176" spans="1:36">
      <c r="A176" t="s">
        <v>579</v>
      </c>
      <c r="B176" s="9">
        <v>45485</v>
      </c>
      <c r="C176" s="9">
        <v>45486</v>
      </c>
      <c r="D176" t="s">
        <v>445</v>
      </c>
      <c r="E176" t="s">
        <v>446</v>
      </c>
      <c r="F176" t="s">
        <v>152</v>
      </c>
      <c r="G176" t="s">
        <v>126</v>
      </c>
      <c r="H176" t="s">
        <v>160</v>
      </c>
      <c r="I176" t="s">
        <v>182</v>
      </c>
      <c r="J176" t="s">
        <v>219</v>
      </c>
      <c r="K176" t="s">
        <v>90</v>
      </c>
      <c r="L176" t="s">
        <v>197</v>
      </c>
      <c r="M176" t="s">
        <v>198</v>
      </c>
      <c r="N176" t="s">
        <v>120</v>
      </c>
      <c r="O176" t="s">
        <v>121</v>
      </c>
      <c r="P176" s="8">
        <v>2</v>
      </c>
      <c r="Q176" s="10">
        <v>553.65</v>
      </c>
      <c r="R176" s="11">
        <v>0.04</v>
      </c>
      <c r="S176" s="10">
        <v>17.84</v>
      </c>
      <c r="T176" t="s">
        <v>134</v>
      </c>
      <c r="U176" t="s">
        <v>85</v>
      </c>
      <c r="W176" t="s">
        <v>1270</v>
      </c>
      <c r="X176" t="str">
        <f>_xlfn.XLOOKUP(Cleaned_data[[#This Row],[Customer_ID]],Customers[S],Customers[Loyalty_Tier])</f>
        <v>Bronze</v>
      </c>
      <c r="Y176" s="9">
        <f>_xlfn.XLOOKUP(Cleaned_data[[#This Row],[Customer_ID]],Customers[S],Customers[Signup_Date])</f>
        <v>45690</v>
      </c>
      <c r="Z176" s="12">
        <f>_xlfn.XLOOKUP(Cleaned_data[[#This Row],[SKU]],Products[SKU],Products[Standard_Cost])</f>
        <v>310</v>
      </c>
      <c r="AA176" s="10">
        <f>Cleaned_data[[#This Row],[Quantity]]*Cleaned_data[[#This Row],[Unit_Price]]</f>
        <v>1107.3</v>
      </c>
      <c r="AB176" s="10">
        <f>Cleaned_data[[#This Row],[Unit_Price]]*Cleaned_data[[#This Row],[Discount_Pct]]</f>
        <v>22.146000000000001</v>
      </c>
      <c r="AC176" s="10">
        <f>Cleaned_data[[#This Row],[Gross Sales]]-Cleaned_data[[#This Row],[Discount amount]]</f>
        <v>1085.154</v>
      </c>
      <c r="AD176" s="10">
        <f>Cleaned_data[[#This Row],[Product Cost]]*Cleaned_data[[#This Row],[Quantity]]</f>
        <v>620</v>
      </c>
      <c r="AE176" s="10">
        <f>Cleaned_data[[#This Row],[Net Sales]]-Cleaned_data[[#This Row],[COGS]]</f>
        <v>465.154</v>
      </c>
      <c r="AF176" s="11">
        <f>Cleaned_data[[#This Row],[Gross Profit]]/Cleaned_data[[#This Row],[Net Sales]]</f>
        <v>0.42865252305202761</v>
      </c>
      <c r="AG176">
        <f>Cleaned_data[[#This Row],[Ship_Date]]-Cleaned_data[[#This Row],[Order_Date]]</f>
        <v>1</v>
      </c>
      <c r="AH176" t="str">
        <f>IF(Cleaned_data[[#This Row],[Delivery Days]]&gt;10,"late","on time")</f>
        <v>on time</v>
      </c>
      <c r="AI176" t="str">
        <f>TEXT(Cleaned_data[[#This Row],[Order_Date]],"mmmm")</f>
        <v>July</v>
      </c>
      <c r="AJ176" s="9" t="str">
        <f>"Q"&amp;ROUNDUP(MONTH(Cleaned_data[[#This Row],[Order_Date]])/3,0)</f>
        <v>Q3</v>
      </c>
    </row>
    <row r="177" spans="1:36">
      <c r="A177" t="s">
        <v>580</v>
      </c>
      <c r="B177" s="9">
        <v>45486</v>
      </c>
      <c r="C177" s="9">
        <v>45489</v>
      </c>
      <c r="D177" t="s">
        <v>184</v>
      </c>
      <c r="E177" t="s">
        <v>185</v>
      </c>
      <c r="F177" t="s">
        <v>74</v>
      </c>
      <c r="G177" t="s">
        <v>138</v>
      </c>
      <c r="H177" t="s">
        <v>186</v>
      </c>
      <c r="I177" t="s">
        <v>187</v>
      </c>
      <c r="J177" t="s">
        <v>109</v>
      </c>
      <c r="K177" t="s">
        <v>100</v>
      </c>
      <c r="L177" t="s">
        <v>242</v>
      </c>
      <c r="M177" t="s">
        <v>243</v>
      </c>
      <c r="N177" t="s">
        <v>120</v>
      </c>
      <c r="O177" t="s">
        <v>133</v>
      </c>
      <c r="P177" s="8">
        <v>4</v>
      </c>
      <c r="Q177" s="10">
        <v>178.59</v>
      </c>
      <c r="R177" s="11">
        <v>0.08</v>
      </c>
      <c r="S177" s="10">
        <v>13.81</v>
      </c>
      <c r="T177" t="s">
        <v>134</v>
      </c>
      <c r="U177" t="s">
        <v>85</v>
      </c>
      <c r="V177" s="8">
        <v>5</v>
      </c>
      <c r="W177" t="s">
        <v>1270</v>
      </c>
      <c r="X177" t="str">
        <f>_xlfn.XLOOKUP(Cleaned_data[[#This Row],[Customer_ID]],Customers[S],Customers[Loyalty_Tier])</f>
        <v>Platinum</v>
      </c>
      <c r="Y177" s="9">
        <f>_xlfn.XLOOKUP(Cleaned_data[[#This Row],[Customer_ID]],Customers[S],Customers[Signup_Date])</f>
        <v>46013</v>
      </c>
      <c r="Z177" s="12">
        <f>_xlfn.XLOOKUP(Cleaned_data[[#This Row],[SKU]],Products[SKU],Products[Standard_Cost])</f>
        <v>96</v>
      </c>
      <c r="AA177" s="10">
        <f>Cleaned_data[[#This Row],[Quantity]]*Cleaned_data[[#This Row],[Unit_Price]]</f>
        <v>714.36</v>
      </c>
      <c r="AB177" s="10">
        <f>Cleaned_data[[#This Row],[Unit_Price]]*Cleaned_data[[#This Row],[Discount_Pct]]</f>
        <v>14.2872</v>
      </c>
      <c r="AC177" s="10">
        <f>Cleaned_data[[#This Row],[Gross Sales]]-Cleaned_data[[#This Row],[Discount amount]]</f>
        <v>700.07280000000003</v>
      </c>
      <c r="AD177" s="10">
        <f>Cleaned_data[[#This Row],[Product Cost]]*Cleaned_data[[#This Row],[Quantity]]</f>
        <v>384</v>
      </c>
      <c r="AE177" s="10">
        <f>Cleaned_data[[#This Row],[Net Sales]]-Cleaned_data[[#This Row],[COGS]]</f>
        <v>316.07280000000003</v>
      </c>
      <c r="AF177" s="11">
        <f>Cleaned_data[[#This Row],[Gross Profit]]/Cleaned_data[[#This Row],[Net Sales]]</f>
        <v>0.4514856169244113</v>
      </c>
      <c r="AG177">
        <f>Cleaned_data[[#This Row],[Ship_Date]]-Cleaned_data[[#This Row],[Order_Date]]</f>
        <v>3</v>
      </c>
      <c r="AH177" t="str">
        <f>IF(Cleaned_data[[#This Row],[Delivery Days]]&gt;10,"late","on time")</f>
        <v>on time</v>
      </c>
      <c r="AI177" t="str">
        <f>TEXT(Cleaned_data[[#This Row],[Order_Date]],"mmmm")</f>
        <v>July</v>
      </c>
      <c r="AJ177" s="9" t="str">
        <f>"Q"&amp;ROUNDUP(MONTH(Cleaned_data[[#This Row],[Order_Date]])/3,0)</f>
        <v>Q3</v>
      </c>
    </row>
    <row r="178" spans="1:36">
      <c r="A178" t="s">
        <v>581</v>
      </c>
      <c r="B178" s="9">
        <v>45487</v>
      </c>
      <c r="C178" s="9">
        <v>45493</v>
      </c>
      <c r="D178" t="s">
        <v>490</v>
      </c>
      <c r="E178" t="s">
        <v>491</v>
      </c>
      <c r="F178" t="s">
        <v>152</v>
      </c>
      <c r="G178" t="s">
        <v>194</v>
      </c>
      <c r="H178" t="s">
        <v>202</v>
      </c>
      <c r="I178" t="s">
        <v>203</v>
      </c>
      <c r="J178" t="s">
        <v>78</v>
      </c>
      <c r="K178" t="s">
        <v>147</v>
      </c>
      <c r="L178" t="s">
        <v>118</v>
      </c>
      <c r="M178" t="s">
        <v>119</v>
      </c>
      <c r="N178" t="s">
        <v>120</v>
      </c>
      <c r="O178" t="s">
        <v>121</v>
      </c>
      <c r="P178" s="8">
        <v>3</v>
      </c>
      <c r="Q178" s="10">
        <v>282.75</v>
      </c>
      <c r="R178" s="11">
        <v>0.1</v>
      </c>
      <c r="S178" s="10">
        <v>5.5</v>
      </c>
      <c r="T178" t="s">
        <v>122</v>
      </c>
      <c r="U178" t="s">
        <v>85</v>
      </c>
      <c r="V178" s="8">
        <v>1</v>
      </c>
      <c r="W178" t="s">
        <v>1270</v>
      </c>
      <c r="X178" t="str">
        <f>_xlfn.XLOOKUP(Cleaned_data[[#This Row],[Customer_ID]],Customers[S],Customers[Loyalty_Tier])</f>
        <v>Gold</v>
      </c>
      <c r="Y178" s="9">
        <f>_xlfn.XLOOKUP(Cleaned_data[[#This Row],[Customer_ID]],Customers[S],Customers[Signup_Date])</f>
        <v>44414</v>
      </c>
      <c r="Z178" s="12">
        <f>_xlfn.XLOOKUP(Cleaned_data[[#This Row],[SKU]],Products[SKU],Products[Standard_Cost])</f>
        <v>168</v>
      </c>
      <c r="AA178" s="10">
        <f>Cleaned_data[[#This Row],[Quantity]]*Cleaned_data[[#This Row],[Unit_Price]]</f>
        <v>848.25</v>
      </c>
      <c r="AB178" s="10">
        <f>Cleaned_data[[#This Row],[Unit_Price]]*Cleaned_data[[#This Row],[Discount_Pct]]</f>
        <v>28.275000000000002</v>
      </c>
      <c r="AC178" s="10">
        <f>Cleaned_data[[#This Row],[Gross Sales]]-Cleaned_data[[#This Row],[Discount amount]]</f>
        <v>819.97500000000002</v>
      </c>
      <c r="AD178" s="10">
        <f>Cleaned_data[[#This Row],[Product Cost]]*Cleaned_data[[#This Row],[Quantity]]</f>
        <v>504</v>
      </c>
      <c r="AE178" s="10">
        <f>Cleaned_data[[#This Row],[Net Sales]]-Cleaned_data[[#This Row],[COGS]]</f>
        <v>315.97500000000002</v>
      </c>
      <c r="AF178" s="11">
        <f>Cleaned_data[[#This Row],[Gross Profit]]/Cleaned_data[[#This Row],[Net Sales]]</f>
        <v>0.38534711424128787</v>
      </c>
      <c r="AG178">
        <f>Cleaned_data[[#This Row],[Ship_Date]]-Cleaned_data[[#This Row],[Order_Date]]</f>
        <v>6</v>
      </c>
      <c r="AH178" t="str">
        <f>IF(Cleaned_data[[#This Row],[Delivery Days]]&gt;10,"late","on time")</f>
        <v>on time</v>
      </c>
      <c r="AI178" t="str">
        <f>TEXT(Cleaned_data[[#This Row],[Order_Date]],"mmmm")</f>
        <v>July</v>
      </c>
      <c r="AJ178" s="9" t="str">
        <f>"Q"&amp;ROUNDUP(MONTH(Cleaned_data[[#This Row],[Order_Date]])/3,0)</f>
        <v>Q3</v>
      </c>
    </row>
    <row r="179" spans="1:36">
      <c r="A179" t="s">
        <v>582</v>
      </c>
      <c r="B179" s="9">
        <v>45487</v>
      </c>
      <c r="C179" s="9">
        <v>45495</v>
      </c>
      <c r="D179" t="s">
        <v>583</v>
      </c>
      <c r="E179" t="s">
        <v>584</v>
      </c>
      <c r="F179" t="s">
        <v>89</v>
      </c>
      <c r="G179" t="s">
        <v>138</v>
      </c>
      <c r="H179" t="s">
        <v>139</v>
      </c>
      <c r="I179" t="s">
        <v>140</v>
      </c>
      <c r="J179" t="s">
        <v>109</v>
      </c>
      <c r="K179" t="s">
        <v>79</v>
      </c>
      <c r="L179" t="s">
        <v>110</v>
      </c>
      <c r="M179" t="s">
        <v>111</v>
      </c>
      <c r="N179" t="s">
        <v>82</v>
      </c>
      <c r="O179" t="s">
        <v>112</v>
      </c>
      <c r="P179" s="8">
        <v>4</v>
      </c>
      <c r="Q179" s="10">
        <v>323.60000000000002</v>
      </c>
      <c r="R179" s="11">
        <v>0.09</v>
      </c>
      <c r="S179" s="10">
        <v>10.34</v>
      </c>
      <c r="T179" t="s">
        <v>122</v>
      </c>
      <c r="U179" t="s">
        <v>85</v>
      </c>
      <c r="V179" s="8">
        <v>3</v>
      </c>
      <c r="W179" t="s">
        <v>1270</v>
      </c>
      <c r="X179" t="str">
        <f>_xlfn.XLOOKUP(Cleaned_data[[#This Row],[Customer_ID]],Customers[S],Customers[Loyalty_Tier])</f>
        <v>Silver</v>
      </c>
      <c r="Y179" s="9">
        <f>_xlfn.XLOOKUP(Cleaned_data[[#This Row],[Customer_ID]],Customers[S],Customers[Signup_Date])</f>
        <v>45174</v>
      </c>
      <c r="Z179" s="12">
        <f>_xlfn.XLOOKUP(Cleaned_data[[#This Row],[SKU]],Products[SKU],Products[Standard_Cost])</f>
        <v>165</v>
      </c>
      <c r="AA179" s="10">
        <f>Cleaned_data[[#This Row],[Quantity]]*Cleaned_data[[#This Row],[Unit_Price]]</f>
        <v>1294.4000000000001</v>
      </c>
      <c r="AB179" s="10">
        <f>Cleaned_data[[#This Row],[Unit_Price]]*Cleaned_data[[#This Row],[Discount_Pct]]</f>
        <v>29.124000000000002</v>
      </c>
      <c r="AC179" s="10">
        <f>Cleaned_data[[#This Row],[Gross Sales]]-Cleaned_data[[#This Row],[Discount amount]]</f>
        <v>1265.2760000000001</v>
      </c>
      <c r="AD179" s="10">
        <f>Cleaned_data[[#This Row],[Product Cost]]*Cleaned_data[[#This Row],[Quantity]]</f>
        <v>660</v>
      </c>
      <c r="AE179" s="10">
        <f>Cleaned_data[[#This Row],[Net Sales]]-Cleaned_data[[#This Row],[COGS]]</f>
        <v>605.27600000000007</v>
      </c>
      <c r="AF179" s="11">
        <f>Cleaned_data[[#This Row],[Gross Profit]]/Cleaned_data[[#This Row],[Net Sales]]</f>
        <v>0.47837467872622258</v>
      </c>
      <c r="AG179">
        <f>Cleaned_data[[#This Row],[Ship_Date]]-Cleaned_data[[#This Row],[Order_Date]]</f>
        <v>8</v>
      </c>
      <c r="AH179" t="str">
        <f>IF(Cleaned_data[[#This Row],[Delivery Days]]&gt;10,"late","on time")</f>
        <v>on time</v>
      </c>
      <c r="AI179" t="str">
        <f>TEXT(Cleaned_data[[#This Row],[Order_Date]],"mmmm")</f>
        <v>July</v>
      </c>
      <c r="AJ179" s="9" t="str">
        <f>"Q"&amp;ROUNDUP(MONTH(Cleaned_data[[#This Row],[Order_Date]])/3,0)</f>
        <v>Q3</v>
      </c>
    </row>
    <row r="180" spans="1:36">
      <c r="A180" t="s">
        <v>585</v>
      </c>
      <c r="B180" s="9">
        <v>45488</v>
      </c>
      <c r="C180" s="9">
        <v>45496</v>
      </c>
      <c r="D180" t="s">
        <v>586</v>
      </c>
      <c r="E180" t="s">
        <v>587</v>
      </c>
      <c r="F180" t="s">
        <v>89</v>
      </c>
      <c r="G180" t="s">
        <v>138</v>
      </c>
      <c r="H180" t="s">
        <v>139</v>
      </c>
      <c r="I180" t="s">
        <v>140</v>
      </c>
      <c r="J180" t="s">
        <v>219</v>
      </c>
      <c r="K180" t="s">
        <v>168</v>
      </c>
      <c r="L180" t="s">
        <v>141</v>
      </c>
      <c r="M180" t="s">
        <v>142</v>
      </c>
      <c r="N180" t="s">
        <v>103</v>
      </c>
      <c r="O180" t="s">
        <v>143</v>
      </c>
      <c r="P180" s="8">
        <v>9</v>
      </c>
      <c r="Q180" s="10">
        <v>34.56</v>
      </c>
      <c r="R180" s="11">
        <v>0.02</v>
      </c>
      <c r="S180" s="10">
        <v>10.47</v>
      </c>
      <c r="T180" t="s">
        <v>84</v>
      </c>
      <c r="U180" t="s">
        <v>85</v>
      </c>
      <c r="V180" s="8">
        <v>2</v>
      </c>
      <c r="W180" t="s">
        <v>1270</v>
      </c>
      <c r="X180" t="str">
        <f>_xlfn.XLOOKUP(Cleaned_data[[#This Row],[Customer_ID]],Customers[S],Customers[Loyalty_Tier])</f>
        <v>Silver</v>
      </c>
      <c r="Y180" s="9">
        <f>_xlfn.XLOOKUP(Cleaned_data[[#This Row],[Customer_ID]],Customers[S],Customers[Signup_Date])</f>
        <v>45201</v>
      </c>
      <c r="Z180" s="12">
        <f>_xlfn.XLOOKUP(Cleaned_data[[#This Row],[SKU]],Products[SKU],Products[Standard_Cost])</f>
        <v>18</v>
      </c>
      <c r="AA180" s="10">
        <f>Cleaned_data[[#This Row],[Quantity]]*Cleaned_data[[#This Row],[Unit_Price]]</f>
        <v>311.04000000000002</v>
      </c>
      <c r="AB180" s="10">
        <f>Cleaned_data[[#This Row],[Unit_Price]]*Cleaned_data[[#This Row],[Discount_Pct]]</f>
        <v>0.69120000000000004</v>
      </c>
      <c r="AC180" s="10">
        <f>Cleaned_data[[#This Row],[Gross Sales]]-Cleaned_data[[#This Row],[Discount amount]]</f>
        <v>310.34880000000004</v>
      </c>
      <c r="AD180" s="10">
        <f>Cleaned_data[[#This Row],[Product Cost]]*Cleaned_data[[#This Row],[Quantity]]</f>
        <v>162</v>
      </c>
      <c r="AE180" s="10">
        <f>Cleaned_data[[#This Row],[Net Sales]]-Cleaned_data[[#This Row],[COGS]]</f>
        <v>148.34880000000004</v>
      </c>
      <c r="AF180" s="11">
        <f>Cleaned_data[[#This Row],[Gross Profit]]/Cleaned_data[[#This Row],[Net Sales]]</f>
        <v>0.47800668151447667</v>
      </c>
      <c r="AG180">
        <f>Cleaned_data[[#This Row],[Ship_Date]]-Cleaned_data[[#This Row],[Order_Date]]</f>
        <v>8</v>
      </c>
      <c r="AH180" t="str">
        <f>IF(Cleaned_data[[#This Row],[Delivery Days]]&gt;10,"late","on time")</f>
        <v>on time</v>
      </c>
      <c r="AI180" t="str">
        <f>TEXT(Cleaned_data[[#This Row],[Order_Date]],"mmmm")</f>
        <v>July</v>
      </c>
      <c r="AJ180" s="9" t="str">
        <f>"Q"&amp;ROUNDUP(MONTH(Cleaned_data[[#This Row],[Order_Date]])/3,0)</f>
        <v>Q3</v>
      </c>
    </row>
    <row r="181" spans="1:36">
      <c r="A181" t="s">
        <v>588</v>
      </c>
      <c r="B181" s="9">
        <v>45490</v>
      </c>
      <c r="C181" s="9">
        <v>45491</v>
      </c>
      <c r="D181" t="s">
        <v>145</v>
      </c>
      <c r="E181" t="s">
        <v>146</v>
      </c>
      <c r="F181" t="s">
        <v>74</v>
      </c>
      <c r="G181" t="s">
        <v>75</v>
      </c>
      <c r="H181" t="s">
        <v>116</v>
      </c>
      <c r="I181" t="s">
        <v>117</v>
      </c>
      <c r="J181" t="s">
        <v>219</v>
      </c>
      <c r="K181" t="s">
        <v>100</v>
      </c>
      <c r="L181" t="s">
        <v>431</v>
      </c>
      <c r="M181" t="s">
        <v>432</v>
      </c>
      <c r="N181" t="s">
        <v>103</v>
      </c>
      <c r="O181" t="s">
        <v>251</v>
      </c>
      <c r="P181" s="8">
        <v>7</v>
      </c>
      <c r="Q181" s="10">
        <v>37.159999999999997</v>
      </c>
      <c r="R181" s="11">
        <v>0.03</v>
      </c>
      <c r="S181" s="10">
        <v>15.87</v>
      </c>
      <c r="T181" t="s">
        <v>122</v>
      </c>
      <c r="U181" t="s">
        <v>85</v>
      </c>
      <c r="V181" s="8">
        <v>5</v>
      </c>
      <c r="W181" t="s">
        <v>1270</v>
      </c>
      <c r="X181" t="str">
        <f>_xlfn.XLOOKUP(Cleaned_data[[#This Row],[Customer_ID]],Customers[S],Customers[Loyalty_Tier])</f>
        <v>Platinum</v>
      </c>
      <c r="Y181" s="9">
        <f>_xlfn.XLOOKUP(Cleaned_data[[#This Row],[Customer_ID]],Customers[S],Customers[Signup_Date])</f>
        <v>44668</v>
      </c>
      <c r="Z181" s="12">
        <f>_xlfn.XLOOKUP(Cleaned_data[[#This Row],[SKU]],Products[SKU],Products[Standard_Cost])</f>
        <v>20</v>
      </c>
      <c r="AA181" s="10">
        <f>Cleaned_data[[#This Row],[Quantity]]*Cleaned_data[[#This Row],[Unit_Price]]</f>
        <v>260.12</v>
      </c>
      <c r="AB181" s="10">
        <f>Cleaned_data[[#This Row],[Unit_Price]]*Cleaned_data[[#This Row],[Discount_Pct]]</f>
        <v>1.1147999999999998</v>
      </c>
      <c r="AC181" s="10">
        <f>Cleaned_data[[#This Row],[Gross Sales]]-Cleaned_data[[#This Row],[Discount amount]]</f>
        <v>259.0052</v>
      </c>
      <c r="AD181" s="10">
        <f>Cleaned_data[[#This Row],[Product Cost]]*Cleaned_data[[#This Row],[Quantity]]</f>
        <v>140</v>
      </c>
      <c r="AE181" s="10">
        <f>Cleaned_data[[#This Row],[Net Sales]]-Cleaned_data[[#This Row],[COGS]]</f>
        <v>119.0052</v>
      </c>
      <c r="AF181" s="11">
        <f>Cleaned_data[[#This Row],[Gross Profit]]/Cleaned_data[[#This Row],[Net Sales]]</f>
        <v>0.45947031179296788</v>
      </c>
      <c r="AG181">
        <f>Cleaned_data[[#This Row],[Ship_Date]]-Cleaned_data[[#This Row],[Order_Date]]</f>
        <v>1</v>
      </c>
      <c r="AH181" t="str">
        <f>IF(Cleaned_data[[#This Row],[Delivery Days]]&gt;10,"late","on time")</f>
        <v>on time</v>
      </c>
      <c r="AI181" t="str">
        <f>TEXT(Cleaned_data[[#This Row],[Order_Date]],"mmmm")</f>
        <v>July</v>
      </c>
      <c r="AJ181" s="9" t="str">
        <f>"Q"&amp;ROUNDUP(MONTH(Cleaned_data[[#This Row],[Order_Date]])/3,0)</f>
        <v>Q3</v>
      </c>
    </row>
    <row r="182" spans="1:36">
      <c r="A182" t="s">
        <v>589</v>
      </c>
      <c r="B182" s="9">
        <v>45491</v>
      </c>
      <c r="C182" s="9">
        <v>45492</v>
      </c>
      <c r="D182" t="s">
        <v>362</v>
      </c>
      <c r="E182" t="s">
        <v>363</v>
      </c>
      <c r="F182" t="s">
        <v>89</v>
      </c>
      <c r="G182" t="s">
        <v>194</v>
      </c>
      <c r="H182" t="s">
        <v>240</v>
      </c>
      <c r="I182" t="s">
        <v>241</v>
      </c>
      <c r="J182" t="s">
        <v>78</v>
      </c>
      <c r="K182" t="s">
        <v>90</v>
      </c>
      <c r="L182" t="s">
        <v>234</v>
      </c>
      <c r="M182" t="s">
        <v>235</v>
      </c>
      <c r="N182" t="s">
        <v>93</v>
      </c>
      <c r="O182" t="s">
        <v>236</v>
      </c>
      <c r="P182" s="8">
        <v>2</v>
      </c>
      <c r="Q182" s="10">
        <v>154.97999999999999</v>
      </c>
      <c r="R182" s="11">
        <v>0.02</v>
      </c>
      <c r="S182" s="10">
        <v>21.22</v>
      </c>
      <c r="T182" t="s">
        <v>84</v>
      </c>
      <c r="U182" t="s">
        <v>85</v>
      </c>
      <c r="V182" s="8">
        <v>3</v>
      </c>
      <c r="W182" t="s">
        <v>1270</v>
      </c>
      <c r="X182" t="str">
        <f>_xlfn.XLOOKUP(Cleaned_data[[#This Row],[Customer_ID]],Customers[S],Customers[Loyalty_Tier])</f>
        <v>Silver</v>
      </c>
      <c r="Y182" s="9">
        <f>_xlfn.XLOOKUP(Cleaned_data[[#This Row],[Customer_ID]],Customers[S],Customers[Signup_Date])</f>
        <v>45026</v>
      </c>
      <c r="Z182" s="12">
        <f>_xlfn.XLOOKUP(Cleaned_data[[#This Row],[SKU]],Products[SKU],Products[Standard_Cost])</f>
        <v>82</v>
      </c>
      <c r="AA182" s="10">
        <f>Cleaned_data[[#This Row],[Quantity]]*Cleaned_data[[#This Row],[Unit_Price]]</f>
        <v>309.95999999999998</v>
      </c>
      <c r="AB182" s="10">
        <f>Cleaned_data[[#This Row],[Unit_Price]]*Cleaned_data[[#This Row],[Discount_Pct]]</f>
        <v>3.0995999999999997</v>
      </c>
      <c r="AC182" s="10">
        <f>Cleaned_data[[#This Row],[Gross Sales]]-Cleaned_data[[#This Row],[Discount amount]]</f>
        <v>306.86039999999997</v>
      </c>
      <c r="AD182" s="10">
        <f>Cleaned_data[[#This Row],[Product Cost]]*Cleaned_data[[#This Row],[Quantity]]</f>
        <v>164</v>
      </c>
      <c r="AE182" s="10">
        <f>Cleaned_data[[#This Row],[Net Sales]]-Cleaned_data[[#This Row],[COGS]]</f>
        <v>142.86039999999997</v>
      </c>
      <c r="AF182" s="11">
        <f>Cleaned_data[[#This Row],[Gross Profit]]/Cleaned_data[[#This Row],[Net Sales]]</f>
        <v>0.46555502111057662</v>
      </c>
      <c r="AG182">
        <f>Cleaned_data[[#This Row],[Ship_Date]]-Cleaned_data[[#This Row],[Order_Date]]</f>
        <v>1</v>
      </c>
      <c r="AH182" t="str">
        <f>IF(Cleaned_data[[#This Row],[Delivery Days]]&gt;10,"late","on time")</f>
        <v>on time</v>
      </c>
      <c r="AI182" t="str">
        <f>TEXT(Cleaned_data[[#This Row],[Order_Date]],"mmmm")</f>
        <v>July</v>
      </c>
      <c r="AJ182" s="9" t="str">
        <f>"Q"&amp;ROUNDUP(MONTH(Cleaned_data[[#This Row],[Order_Date]])/3,0)</f>
        <v>Q3</v>
      </c>
    </row>
    <row r="183" spans="1:36">
      <c r="A183" t="s">
        <v>590</v>
      </c>
      <c r="B183" s="9">
        <v>45494</v>
      </c>
      <c r="C183" s="9">
        <v>45501</v>
      </c>
      <c r="D183" t="s">
        <v>591</v>
      </c>
      <c r="E183" t="s">
        <v>592</v>
      </c>
      <c r="F183" t="s">
        <v>74</v>
      </c>
      <c r="G183" t="s">
        <v>126</v>
      </c>
      <c r="H183" t="s">
        <v>160</v>
      </c>
      <c r="I183" t="s">
        <v>161</v>
      </c>
      <c r="J183" t="s">
        <v>78</v>
      </c>
      <c r="K183" t="s">
        <v>168</v>
      </c>
      <c r="L183" t="s">
        <v>131</v>
      </c>
      <c r="M183" t="s">
        <v>132</v>
      </c>
      <c r="N183" t="s">
        <v>120</v>
      </c>
      <c r="O183" t="s">
        <v>133</v>
      </c>
      <c r="P183" s="8">
        <v>3</v>
      </c>
      <c r="Q183" s="10">
        <v>89.47</v>
      </c>
      <c r="R183" s="11">
        <v>0</v>
      </c>
      <c r="S183" s="10">
        <v>19.89</v>
      </c>
      <c r="T183" t="s">
        <v>122</v>
      </c>
      <c r="U183" t="s">
        <v>85</v>
      </c>
      <c r="V183" s="8">
        <v>5</v>
      </c>
      <c r="W183" t="s">
        <v>1270</v>
      </c>
      <c r="X183" t="str">
        <f>_xlfn.XLOOKUP(Cleaned_data[[#This Row],[Customer_ID]],Customers[S],Customers[Loyalty_Tier])</f>
        <v>Bronze</v>
      </c>
      <c r="Y183" s="9">
        <f>_xlfn.XLOOKUP(Cleaned_data[[#This Row],[Customer_ID]],Customers[S],Customers[Signup_Date])</f>
        <v>44938</v>
      </c>
      <c r="Z183" s="12">
        <f>_xlfn.XLOOKUP(Cleaned_data[[#This Row],[SKU]],Products[SKU],Products[Standard_Cost])</f>
        <v>44</v>
      </c>
      <c r="AA183" s="10">
        <f>Cleaned_data[[#This Row],[Quantity]]*Cleaned_data[[#This Row],[Unit_Price]]</f>
        <v>268.40999999999997</v>
      </c>
      <c r="AB183" s="10">
        <f>Cleaned_data[[#This Row],[Unit_Price]]*Cleaned_data[[#This Row],[Discount_Pct]]</f>
        <v>0</v>
      </c>
      <c r="AC183" s="10">
        <f>Cleaned_data[[#This Row],[Gross Sales]]-Cleaned_data[[#This Row],[Discount amount]]</f>
        <v>268.40999999999997</v>
      </c>
      <c r="AD183" s="10">
        <f>Cleaned_data[[#This Row],[Product Cost]]*Cleaned_data[[#This Row],[Quantity]]</f>
        <v>132</v>
      </c>
      <c r="AE183" s="10">
        <f>Cleaned_data[[#This Row],[Net Sales]]-Cleaned_data[[#This Row],[COGS]]</f>
        <v>136.40999999999997</v>
      </c>
      <c r="AF183" s="11">
        <f>Cleaned_data[[#This Row],[Gross Profit]]/Cleaned_data[[#This Row],[Net Sales]]</f>
        <v>0.50821504414887664</v>
      </c>
      <c r="AG183">
        <f>Cleaned_data[[#This Row],[Ship_Date]]-Cleaned_data[[#This Row],[Order_Date]]</f>
        <v>7</v>
      </c>
      <c r="AH183" t="str">
        <f>IF(Cleaned_data[[#This Row],[Delivery Days]]&gt;10,"late","on time")</f>
        <v>on time</v>
      </c>
      <c r="AI183" t="str">
        <f>TEXT(Cleaned_data[[#This Row],[Order_Date]],"mmmm")</f>
        <v>July</v>
      </c>
      <c r="AJ183" s="9" t="str">
        <f>"Q"&amp;ROUNDUP(MONTH(Cleaned_data[[#This Row],[Order_Date]])/3,0)</f>
        <v>Q3</v>
      </c>
    </row>
    <row r="184" spans="1:36">
      <c r="A184" t="s">
        <v>593</v>
      </c>
      <c r="B184" s="9">
        <v>45494</v>
      </c>
      <c r="C184" s="9">
        <v>45503</v>
      </c>
      <c r="D184" t="s">
        <v>594</v>
      </c>
      <c r="E184" t="s">
        <v>595</v>
      </c>
      <c r="F184" t="s">
        <v>74</v>
      </c>
      <c r="G184" t="s">
        <v>75</v>
      </c>
      <c r="H184" t="s">
        <v>76</v>
      </c>
      <c r="I184" t="s">
        <v>77</v>
      </c>
      <c r="J184" t="s">
        <v>219</v>
      </c>
      <c r="K184" t="s">
        <v>130</v>
      </c>
      <c r="L184" t="s">
        <v>431</v>
      </c>
      <c r="M184" t="s">
        <v>432</v>
      </c>
      <c r="N184" t="s">
        <v>103</v>
      </c>
      <c r="O184" t="s">
        <v>251</v>
      </c>
      <c r="P184" s="8">
        <v>6</v>
      </c>
      <c r="Q184" s="10">
        <v>40.049999999999997</v>
      </c>
      <c r="R184" s="11">
        <v>0.06</v>
      </c>
      <c r="S184" s="10">
        <v>8.4600000000000009</v>
      </c>
      <c r="T184" t="s">
        <v>134</v>
      </c>
      <c r="U184" t="s">
        <v>85</v>
      </c>
      <c r="V184" s="8">
        <v>1</v>
      </c>
      <c r="W184" t="s">
        <v>1270</v>
      </c>
      <c r="X184" t="str">
        <f>_xlfn.XLOOKUP(Cleaned_data[[#This Row],[Customer_ID]],Customers[S],Customers[Loyalty_Tier])</f>
        <v>Gold</v>
      </c>
      <c r="Y184" s="9">
        <f>_xlfn.XLOOKUP(Cleaned_data[[#This Row],[Customer_ID]],Customers[S],Customers[Signup_Date])</f>
        <v>44818</v>
      </c>
      <c r="Z184" s="12">
        <f>_xlfn.XLOOKUP(Cleaned_data[[#This Row],[SKU]],Products[SKU],Products[Standard_Cost])</f>
        <v>20</v>
      </c>
      <c r="AA184" s="10">
        <f>Cleaned_data[[#This Row],[Quantity]]*Cleaned_data[[#This Row],[Unit_Price]]</f>
        <v>240.29999999999998</v>
      </c>
      <c r="AB184" s="10">
        <f>Cleaned_data[[#This Row],[Unit_Price]]*Cleaned_data[[#This Row],[Discount_Pct]]</f>
        <v>2.4029999999999996</v>
      </c>
      <c r="AC184" s="10">
        <f>Cleaned_data[[#This Row],[Gross Sales]]-Cleaned_data[[#This Row],[Discount amount]]</f>
        <v>237.89699999999999</v>
      </c>
      <c r="AD184" s="10">
        <f>Cleaned_data[[#This Row],[Product Cost]]*Cleaned_data[[#This Row],[Quantity]]</f>
        <v>120</v>
      </c>
      <c r="AE184" s="10">
        <f>Cleaned_data[[#This Row],[Net Sales]]-Cleaned_data[[#This Row],[COGS]]</f>
        <v>117.89699999999999</v>
      </c>
      <c r="AF184" s="11">
        <f>Cleaned_data[[#This Row],[Gross Profit]]/Cleaned_data[[#This Row],[Net Sales]]</f>
        <v>0.49558001992458922</v>
      </c>
      <c r="AG184">
        <f>Cleaned_data[[#This Row],[Ship_Date]]-Cleaned_data[[#This Row],[Order_Date]]</f>
        <v>9</v>
      </c>
      <c r="AH184" t="str">
        <f>IF(Cleaned_data[[#This Row],[Delivery Days]]&gt;10,"late","on time")</f>
        <v>on time</v>
      </c>
      <c r="AI184" t="str">
        <f>TEXT(Cleaned_data[[#This Row],[Order_Date]],"mmmm")</f>
        <v>July</v>
      </c>
      <c r="AJ184" s="9" t="str">
        <f>"Q"&amp;ROUNDUP(MONTH(Cleaned_data[[#This Row],[Order_Date]])/3,0)</f>
        <v>Q3</v>
      </c>
    </row>
    <row r="185" spans="1:36">
      <c r="A185" t="s">
        <v>596</v>
      </c>
      <c r="B185" s="9">
        <v>45495</v>
      </c>
      <c r="C185" s="9">
        <v>45499</v>
      </c>
      <c r="D185" t="s">
        <v>482</v>
      </c>
      <c r="E185" t="s">
        <v>483</v>
      </c>
      <c r="F185" t="s">
        <v>74</v>
      </c>
      <c r="G185" t="s">
        <v>194</v>
      </c>
      <c r="H185" t="s">
        <v>240</v>
      </c>
      <c r="I185" t="s">
        <v>241</v>
      </c>
      <c r="J185" t="s">
        <v>129</v>
      </c>
      <c r="K185" t="s">
        <v>79</v>
      </c>
      <c r="L185" t="s">
        <v>169</v>
      </c>
      <c r="M185" t="s">
        <v>170</v>
      </c>
      <c r="N185" t="s">
        <v>103</v>
      </c>
      <c r="O185" t="s">
        <v>171</v>
      </c>
      <c r="P185" s="8">
        <v>8</v>
      </c>
      <c r="Q185" s="10">
        <v>14.55</v>
      </c>
      <c r="R185" s="11">
        <v>0.11</v>
      </c>
      <c r="S185" s="10">
        <v>15.68</v>
      </c>
      <c r="T185" t="s">
        <v>134</v>
      </c>
      <c r="U185" t="s">
        <v>85</v>
      </c>
      <c r="V185" s="8">
        <v>5</v>
      </c>
      <c r="W185" t="s">
        <v>1270</v>
      </c>
      <c r="X185" t="str">
        <f>_xlfn.XLOOKUP(Cleaned_data[[#This Row],[Customer_ID]],Customers[S],Customers[Loyalty_Tier])</f>
        <v>Platinum</v>
      </c>
      <c r="Y185" s="9">
        <f>_xlfn.XLOOKUP(Cleaned_data[[#This Row],[Customer_ID]],Customers[S],Customers[Signup_Date])</f>
        <v>44396</v>
      </c>
      <c r="Z185" s="12">
        <f>_xlfn.XLOOKUP(Cleaned_data[[#This Row],[SKU]],Products[SKU],Products[Standard_Cost])</f>
        <v>6</v>
      </c>
      <c r="AA185" s="10">
        <f>Cleaned_data[[#This Row],[Quantity]]*Cleaned_data[[#This Row],[Unit_Price]]</f>
        <v>116.4</v>
      </c>
      <c r="AB185" s="10">
        <f>Cleaned_data[[#This Row],[Unit_Price]]*Cleaned_data[[#This Row],[Discount_Pct]]</f>
        <v>1.6005</v>
      </c>
      <c r="AC185" s="10">
        <f>Cleaned_data[[#This Row],[Gross Sales]]-Cleaned_data[[#This Row],[Discount amount]]</f>
        <v>114.79950000000001</v>
      </c>
      <c r="AD185" s="10">
        <f>Cleaned_data[[#This Row],[Product Cost]]*Cleaned_data[[#This Row],[Quantity]]</f>
        <v>48</v>
      </c>
      <c r="AE185" s="10">
        <f>Cleaned_data[[#This Row],[Net Sales]]-Cleaned_data[[#This Row],[COGS]]</f>
        <v>66.799500000000009</v>
      </c>
      <c r="AF185" s="11">
        <f>Cleaned_data[[#This Row],[Gross Profit]]/Cleaned_data[[#This Row],[Net Sales]]</f>
        <v>0.58187971201965172</v>
      </c>
      <c r="AG185">
        <f>Cleaned_data[[#This Row],[Ship_Date]]-Cleaned_data[[#This Row],[Order_Date]]</f>
        <v>4</v>
      </c>
      <c r="AH185" t="str">
        <f>IF(Cleaned_data[[#This Row],[Delivery Days]]&gt;10,"late","on time")</f>
        <v>on time</v>
      </c>
      <c r="AI185" t="str">
        <f>TEXT(Cleaned_data[[#This Row],[Order_Date]],"mmmm")</f>
        <v>July</v>
      </c>
      <c r="AJ185" s="9" t="str">
        <f>"Q"&amp;ROUNDUP(MONTH(Cleaned_data[[#This Row],[Order_Date]])/3,0)</f>
        <v>Q3</v>
      </c>
    </row>
    <row r="186" spans="1:36">
      <c r="A186" t="s">
        <v>597</v>
      </c>
      <c r="B186" s="9">
        <v>45495</v>
      </c>
      <c r="C186" s="9">
        <v>45503</v>
      </c>
      <c r="D186" t="s">
        <v>598</v>
      </c>
      <c r="E186" t="s">
        <v>599</v>
      </c>
      <c r="F186" t="s">
        <v>89</v>
      </c>
      <c r="G186" t="s">
        <v>138</v>
      </c>
      <c r="H186" t="s">
        <v>457</v>
      </c>
      <c r="I186" t="s">
        <v>458</v>
      </c>
      <c r="J186" t="s">
        <v>109</v>
      </c>
      <c r="K186" t="s">
        <v>100</v>
      </c>
      <c r="L186" t="s">
        <v>188</v>
      </c>
      <c r="M186" t="s">
        <v>189</v>
      </c>
      <c r="N186" t="s">
        <v>120</v>
      </c>
      <c r="O186" t="s">
        <v>190</v>
      </c>
      <c r="P186" s="8">
        <v>2</v>
      </c>
      <c r="Q186" s="10">
        <v>57.62</v>
      </c>
      <c r="R186" s="11">
        <v>0.06</v>
      </c>
      <c r="S186" s="10">
        <v>20.38</v>
      </c>
      <c r="T186" t="s">
        <v>122</v>
      </c>
      <c r="U186" t="s">
        <v>85</v>
      </c>
      <c r="V186" s="8">
        <v>2</v>
      </c>
      <c r="W186" t="s">
        <v>1270</v>
      </c>
      <c r="X186" t="str">
        <f>_xlfn.XLOOKUP(Cleaned_data[[#This Row],[Customer_ID]],Customers[S],Customers[Loyalty_Tier])</f>
        <v>Platinum</v>
      </c>
      <c r="Y186" s="9">
        <f>_xlfn.XLOOKUP(Cleaned_data[[#This Row],[Customer_ID]],Customers[S],Customers[Signup_Date])</f>
        <v>45908</v>
      </c>
      <c r="Z186" s="12">
        <f>_xlfn.XLOOKUP(Cleaned_data[[#This Row],[SKU]],Products[SKU],Products[Standard_Cost])</f>
        <v>28</v>
      </c>
      <c r="AA186" s="10">
        <f>Cleaned_data[[#This Row],[Quantity]]*Cleaned_data[[#This Row],[Unit_Price]]</f>
        <v>115.24</v>
      </c>
      <c r="AB186" s="10">
        <f>Cleaned_data[[#This Row],[Unit_Price]]*Cleaned_data[[#This Row],[Discount_Pct]]</f>
        <v>3.4571999999999998</v>
      </c>
      <c r="AC186" s="10">
        <f>Cleaned_data[[#This Row],[Gross Sales]]-Cleaned_data[[#This Row],[Discount amount]]</f>
        <v>111.78279999999999</v>
      </c>
      <c r="AD186" s="10">
        <f>Cleaned_data[[#This Row],[Product Cost]]*Cleaned_data[[#This Row],[Quantity]]</f>
        <v>56</v>
      </c>
      <c r="AE186" s="10">
        <f>Cleaned_data[[#This Row],[Net Sales]]-Cleaned_data[[#This Row],[COGS]]</f>
        <v>55.782799999999995</v>
      </c>
      <c r="AF186" s="11">
        <f>Cleaned_data[[#This Row],[Gross Profit]]/Cleaned_data[[#This Row],[Net Sales]]</f>
        <v>0.4990284730745696</v>
      </c>
      <c r="AG186">
        <f>Cleaned_data[[#This Row],[Ship_Date]]-Cleaned_data[[#This Row],[Order_Date]]</f>
        <v>8</v>
      </c>
      <c r="AH186" t="str">
        <f>IF(Cleaned_data[[#This Row],[Delivery Days]]&gt;10,"late","on time")</f>
        <v>on time</v>
      </c>
      <c r="AI186" t="str">
        <f>TEXT(Cleaned_data[[#This Row],[Order_Date]],"mmmm")</f>
        <v>July</v>
      </c>
      <c r="AJ186" s="9" t="str">
        <f>"Q"&amp;ROUNDUP(MONTH(Cleaned_data[[#This Row],[Order_Date]])/3,0)</f>
        <v>Q3</v>
      </c>
    </row>
    <row r="187" spans="1:36">
      <c r="A187" t="s">
        <v>600</v>
      </c>
      <c r="B187" s="9">
        <v>45495</v>
      </c>
      <c r="C187" s="9">
        <v>45497</v>
      </c>
      <c r="D187" t="s">
        <v>601</v>
      </c>
      <c r="E187" t="s">
        <v>351</v>
      </c>
      <c r="F187" t="s">
        <v>74</v>
      </c>
      <c r="G187" t="s">
        <v>194</v>
      </c>
      <c r="H187" t="s">
        <v>240</v>
      </c>
      <c r="I187" t="s">
        <v>241</v>
      </c>
      <c r="J187" t="s">
        <v>109</v>
      </c>
      <c r="K187" t="s">
        <v>147</v>
      </c>
      <c r="L187" t="s">
        <v>162</v>
      </c>
      <c r="M187" t="s">
        <v>163</v>
      </c>
      <c r="N187" t="s">
        <v>120</v>
      </c>
      <c r="O187" t="s">
        <v>164</v>
      </c>
      <c r="P187" s="8">
        <v>3</v>
      </c>
      <c r="Q187" s="10">
        <v>908.53</v>
      </c>
      <c r="R187" s="11">
        <v>0.08</v>
      </c>
      <c r="S187" s="10">
        <v>12.17</v>
      </c>
      <c r="T187" t="s">
        <v>84</v>
      </c>
      <c r="U187" t="s">
        <v>85</v>
      </c>
      <c r="W187" t="s">
        <v>1270</v>
      </c>
      <c r="X187" t="str">
        <f>_xlfn.XLOOKUP(Cleaned_data[[#This Row],[Customer_ID]],Customers[S],Customers[Loyalty_Tier])</f>
        <v>Platinum</v>
      </c>
      <c r="Y187" s="9">
        <f>_xlfn.XLOOKUP(Cleaned_data[[#This Row],[Customer_ID]],Customers[S],Customers[Signup_Date])</f>
        <v>45567</v>
      </c>
      <c r="Z187" s="12">
        <f>_xlfn.XLOOKUP(Cleaned_data[[#This Row],[SKU]],Products[SKU],Products[Standard_Cost])</f>
        <v>585</v>
      </c>
      <c r="AA187" s="10">
        <f>Cleaned_data[[#This Row],[Quantity]]*Cleaned_data[[#This Row],[Unit_Price]]</f>
        <v>2725.59</v>
      </c>
      <c r="AB187" s="10">
        <f>Cleaned_data[[#This Row],[Unit_Price]]*Cleaned_data[[#This Row],[Discount_Pct]]</f>
        <v>72.682400000000001</v>
      </c>
      <c r="AC187" s="10">
        <f>Cleaned_data[[#This Row],[Gross Sales]]-Cleaned_data[[#This Row],[Discount amount]]</f>
        <v>2652.9076</v>
      </c>
      <c r="AD187" s="10">
        <f>Cleaned_data[[#This Row],[Product Cost]]*Cleaned_data[[#This Row],[Quantity]]</f>
        <v>1755</v>
      </c>
      <c r="AE187" s="10">
        <f>Cleaned_data[[#This Row],[Net Sales]]-Cleaned_data[[#This Row],[COGS]]</f>
        <v>897.9076</v>
      </c>
      <c r="AF187" s="11">
        <f>Cleaned_data[[#This Row],[Gross Profit]]/Cleaned_data[[#This Row],[Net Sales]]</f>
        <v>0.33846169387882186</v>
      </c>
      <c r="AG187">
        <f>Cleaned_data[[#This Row],[Ship_Date]]-Cleaned_data[[#This Row],[Order_Date]]</f>
        <v>2</v>
      </c>
      <c r="AH187" t="str">
        <f>IF(Cleaned_data[[#This Row],[Delivery Days]]&gt;10,"late","on time")</f>
        <v>on time</v>
      </c>
      <c r="AI187" t="str">
        <f>TEXT(Cleaned_data[[#This Row],[Order_Date]],"mmmm")</f>
        <v>July</v>
      </c>
      <c r="AJ187" s="9" t="str">
        <f>"Q"&amp;ROUNDUP(MONTH(Cleaned_data[[#This Row],[Order_Date]])/3,0)</f>
        <v>Q3</v>
      </c>
    </row>
    <row r="188" spans="1:36">
      <c r="A188" t="s">
        <v>602</v>
      </c>
      <c r="B188" s="9">
        <v>45496</v>
      </c>
      <c r="C188" s="9">
        <v>45505</v>
      </c>
      <c r="D188" t="s">
        <v>335</v>
      </c>
      <c r="E188" t="s">
        <v>336</v>
      </c>
      <c r="F188" t="s">
        <v>74</v>
      </c>
      <c r="G188" t="s">
        <v>126</v>
      </c>
      <c r="H188" t="s">
        <v>291</v>
      </c>
      <c r="I188" t="s">
        <v>292</v>
      </c>
      <c r="J188" t="s">
        <v>78</v>
      </c>
      <c r="K188" t="s">
        <v>168</v>
      </c>
      <c r="L188" t="s">
        <v>254</v>
      </c>
      <c r="M188" t="s">
        <v>255</v>
      </c>
      <c r="N188" t="s">
        <v>82</v>
      </c>
      <c r="O188" t="s">
        <v>83</v>
      </c>
      <c r="P188" s="8">
        <v>8</v>
      </c>
      <c r="Q188" s="10">
        <v>99.4</v>
      </c>
      <c r="R188" s="11">
        <v>0.06</v>
      </c>
      <c r="S188" s="10">
        <v>11.21</v>
      </c>
      <c r="T188" t="s">
        <v>134</v>
      </c>
      <c r="U188" t="s">
        <v>85</v>
      </c>
      <c r="V188" s="8">
        <v>1</v>
      </c>
      <c r="W188" t="s">
        <v>1270</v>
      </c>
      <c r="X188" t="str">
        <f>_xlfn.XLOOKUP(Cleaned_data[[#This Row],[Customer_ID]],Customers[S],Customers[Loyalty_Tier])</f>
        <v>Bronze</v>
      </c>
      <c r="Y188" s="9">
        <f>_xlfn.XLOOKUP(Cleaned_data[[#This Row],[Customer_ID]],Customers[S],Customers[Signup_Date])</f>
        <v>44764</v>
      </c>
      <c r="Z188" s="12">
        <f>_xlfn.XLOOKUP(Cleaned_data[[#This Row],[SKU]],Products[SKU],Products[Standard_Cost])</f>
        <v>48</v>
      </c>
      <c r="AA188" s="10">
        <f>Cleaned_data[[#This Row],[Quantity]]*Cleaned_data[[#This Row],[Unit_Price]]</f>
        <v>795.2</v>
      </c>
      <c r="AB188" s="10">
        <f>Cleaned_data[[#This Row],[Unit_Price]]*Cleaned_data[[#This Row],[Discount_Pct]]</f>
        <v>5.9640000000000004</v>
      </c>
      <c r="AC188" s="10">
        <f>Cleaned_data[[#This Row],[Gross Sales]]-Cleaned_data[[#This Row],[Discount amount]]</f>
        <v>789.23599999999999</v>
      </c>
      <c r="AD188" s="10">
        <f>Cleaned_data[[#This Row],[Product Cost]]*Cleaned_data[[#This Row],[Quantity]]</f>
        <v>384</v>
      </c>
      <c r="AE188" s="10">
        <f>Cleaned_data[[#This Row],[Net Sales]]-Cleaned_data[[#This Row],[COGS]]</f>
        <v>405.23599999999999</v>
      </c>
      <c r="AF188" s="11">
        <f>Cleaned_data[[#This Row],[Gross Profit]]/Cleaned_data[[#This Row],[Net Sales]]</f>
        <v>0.51345351707220654</v>
      </c>
      <c r="AG188">
        <f>Cleaned_data[[#This Row],[Ship_Date]]-Cleaned_data[[#This Row],[Order_Date]]</f>
        <v>9</v>
      </c>
      <c r="AH188" t="str">
        <f>IF(Cleaned_data[[#This Row],[Delivery Days]]&gt;10,"late","on time")</f>
        <v>on time</v>
      </c>
      <c r="AI188" t="str">
        <f>TEXT(Cleaned_data[[#This Row],[Order_Date]],"mmmm")</f>
        <v>July</v>
      </c>
      <c r="AJ188" s="9" t="str">
        <f>"Q"&amp;ROUNDUP(MONTH(Cleaned_data[[#This Row],[Order_Date]])/3,0)</f>
        <v>Q3</v>
      </c>
    </row>
    <row r="189" spans="1:36">
      <c r="A189" t="s">
        <v>603</v>
      </c>
      <c r="B189" s="9">
        <v>45498</v>
      </c>
      <c r="C189" s="9">
        <v>45508</v>
      </c>
      <c r="D189" t="s">
        <v>400</v>
      </c>
      <c r="E189" t="s">
        <v>316</v>
      </c>
      <c r="F189" t="s">
        <v>152</v>
      </c>
      <c r="G189" t="s">
        <v>75</v>
      </c>
      <c r="H189" t="s">
        <v>273</v>
      </c>
      <c r="I189" t="s">
        <v>274</v>
      </c>
      <c r="J189" t="s">
        <v>109</v>
      </c>
      <c r="K189" t="s">
        <v>79</v>
      </c>
      <c r="L189" t="s">
        <v>254</v>
      </c>
      <c r="M189" t="s">
        <v>255</v>
      </c>
      <c r="N189" t="s">
        <v>82</v>
      </c>
      <c r="O189" t="s">
        <v>83</v>
      </c>
      <c r="P189" s="8">
        <v>5</v>
      </c>
      <c r="Q189" s="10">
        <v>91.19</v>
      </c>
      <c r="R189" s="11">
        <v>0.11</v>
      </c>
      <c r="S189" s="10">
        <v>10.07</v>
      </c>
      <c r="T189" t="s">
        <v>105</v>
      </c>
      <c r="U189" t="s">
        <v>85</v>
      </c>
      <c r="V189" s="8">
        <v>4</v>
      </c>
      <c r="W189" t="s">
        <v>1270</v>
      </c>
      <c r="X189" t="str">
        <f>_xlfn.XLOOKUP(Cleaned_data[[#This Row],[Customer_ID]],Customers[S],Customers[Loyalty_Tier])</f>
        <v>Gold</v>
      </c>
      <c r="Y189" s="9">
        <f>_xlfn.XLOOKUP(Cleaned_data[[#This Row],[Customer_ID]],Customers[S],Customers[Signup_Date])</f>
        <v>44279</v>
      </c>
      <c r="Z189" s="12">
        <f>_xlfn.XLOOKUP(Cleaned_data[[#This Row],[SKU]],Products[SKU],Products[Standard_Cost])</f>
        <v>48</v>
      </c>
      <c r="AA189" s="10">
        <f>Cleaned_data[[#This Row],[Quantity]]*Cleaned_data[[#This Row],[Unit_Price]]</f>
        <v>455.95</v>
      </c>
      <c r="AB189" s="10">
        <f>Cleaned_data[[#This Row],[Unit_Price]]*Cleaned_data[[#This Row],[Discount_Pct]]</f>
        <v>10.030899999999999</v>
      </c>
      <c r="AC189" s="10">
        <f>Cleaned_data[[#This Row],[Gross Sales]]-Cleaned_data[[#This Row],[Discount amount]]</f>
        <v>445.91910000000001</v>
      </c>
      <c r="AD189" s="10">
        <f>Cleaned_data[[#This Row],[Product Cost]]*Cleaned_data[[#This Row],[Quantity]]</f>
        <v>240</v>
      </c>
      <c r="AE189" s="10">
        <f>Cleaned_data[[#This Row],[Net Sales]]-Cleaned_data[[#This Row],[COGS]]</f>
        <v>205.91910000000001</v>
      </c>
      <c r="AF189" s="11">
        <f>Cleaned_data[[#This Row],[Gross Profit]]/Cleaned_data[[#This Row],[Net Sales]]</f>
        <v>0.46178578132221743</v>
      </c>
      <c r="AG189">
        <f>Cleaned_data[[#This Row],[Ship_Date]]-Cleaned_data[[#This Row],[Order_Date]]</f>
        <v>10</v>
      </c>
      <c r="AH189" t="str">
        <f>IF(Cleaned_data[[#This Row],[Delivery Days]]&gt;10,"late","on time")</f>
        <v>on time</v>
      </c>
      <c r="AI189" t="str">
        <f>TEXT(Cleaned_data[[#This Row],[Order_Date]],"mmmm")</f>
        <v>July</v>
      </c>
      <c r="AJ189" s="9" t="str">
        <f>"Q"&amp;ROUNDUP(MONTH(Cleaned_data[[#This Row],[Order_Date]])/3,0)</f>
        <v>Q3</v>
      </c>
    </row>
    <row r="190" spans="1:36">
      <c r="A190" t="s">
        <v>604</v>
      </c>
      <c r="B190" s="9">
        <v>45500</v>
      </c>
      <c r="C190" s="9">
        <v>45509</v>
      </c>
      <c r="D190" t="s">
        <v>605</v>
      </c>
      <c r="E190" t="s">
        <v>606</v>
      </c>
      <c r="F190" t="s">
        <v>74</v>
      </c>
      <c r="G190" t="s">
        <v>138</v>
      </c>
      <c r="H190" t="s">
        <v>153</v>
      </c>
      <c r="I190" t="s">
        <v>154</v>
      </c>
      <c r="J190" t="s">
        <v>78</v>
      </c>
      <c r="K190" t="s">
        <v>100</v>
      </c>
      <c r="L190" t="s">
        <v>249</v>
      </c>
      <c r="M190" t="s">
        <v>250</v>
      </c>
      <c r="N190" t="s">
        <v>103</v>
      </c>
      <c r="O190" t="s">
        <v>251</v>
      </c>
      <c r="P190" s="8">
        <v>2</v>
      </c>
      <c r="Q190" s="10">
        <v>20.84</v>
      </c>
      <c r="R190" s="11">
        <v>0.04</v>
      </c>
      <c r="S190" s="10">
        <v>6.29</v>
      </c>
      <c r="T190" t="s">
        <v>84</v>
      </c>
      <c r="U190" t="s">
        <v>85</v>
      </c>
      <c r="V190" s="8">
        <v>4</v>
      </c>
      <c r="W190" t="s">
        <v>1270</v>
      </c>
      <c r="X190" t="str">
        <f>_xlfn.XLOOKUP(Cleaned_data[[#This Row],[Customer_ID]],Customers[S],Customers[Loyalty_Tier])</f>
        <v>Platinum</v>
      </c>
      <c r="Y190" s="9">
        <f>_xlfn.XLOOKUP(Cleaned_data[[#This Row],[Customer_ID]],Customers[S],Customers[Signup_Date])</f>
        <v>44450</v>
      </c>
      <c r="Z190" s="12">
        <f>_xlfn.XLOOKUP(Cleaned_data[[#This Row],[SKU]],Products[SKU],Products[Standard_Cost])</f>
        <v>10</v>
      </c>
      <c r="AA190" s="10">
        <f>Cleaned_data[[#This Row],[Quantity]]*Cleaned_data[[#This Row],[Unit_Price]]</f>
        <v>41.68</v>
      </c>
      <c r="AB190" s="10">
        <f>Cleaned_data[[#This Row],[Unit_Price]]*Cleaned_data[[#This Row],[Discount_Pct]]</f>
        <v>0.83360000000000001</v>
      </c>
      <c r="AC190" s="10">
        <f>Cleaned_data[[#This Row],[Gross Sales]]-Cleaned_data[[#This Row],[Discount amount]]</f>
        <v>40.846400000000003</v>
      </c>
      <c r="AD190" s="10">
        <f>Cleaned_data[[#This Row],[Product Cost]]*Cleaned_data[[#This Row],[Quantity]]</f>
        <v>20</v>
      </c>
      <c r="AE190" s="10">
        <f>Cleaned_data[[#This Row],[Net Sales]]-Cleaned_data[[#This Row],[COGS]]</f>
        <v>20.846400000000003</v>
      </c>
      <c r="AF190" s="11">
        <f>Cleaned_data[[#This Row],[Gross Profit]]/Cleaned_data[[#This Row],[Net Sales]]</f>
        <v>0.51036076618747306</v>
      </c>
      <c r="AG190">
        <f>Cleaned_data[[#This Row],[Ship_Date]]-Cleaned_data[[#This Row],[Order_Date]]</f>
        <v>9</v>
      </c>
      <c r="AH190" t="str">
        <f>IF(Cleaned_data[[#This Row],[Delivery Days]]&gt;10,"late","on time")</f>
        <v>on time</v>
      </c>
      <c r="AI190" t="str">
        <f>TEXT(Cleaned_data[[#This Row],[Order_Date]],"mmmm")</f>
        <v>July</v>
      </c>
      <c r="AJ190" s="9" t="str">
        <f>"Q"&amp;ROUNDUP(MONTH(Cleaned_data[[#This Row],[Order_Date]])/3,0)</f>
        <v>Q3</v>
      </c>
    </row>
    <row r="191" spans="1:36">
      <c r="A191" t="s">
        <v>607</v>
      </c>
      <c r="B191" s="9">
        <v>45500</v>
      </c>
      <c r="C191" s="9">
        <v>45505</v>
      </c>
      <c r="D191" t="s">
        <v>497</v>
      </c>
      <c r="E191" t="s">
        <v>498</v>
      </c>
      <c r="F191" t="s">
        <v>89</v>
      </c>
      <c r="G191" t="s">
        <v>126</v>
      </c>
      <c r="H191" t="s">
        <v>291</v>
      </c>
      <c r="I191" t="s">
        <v>292</v>
      </c>
      <c r="J191" t="s">
        <v>109</v>
      </c>
      <c r="K191" t="s">
        <v>79</v>
      </c>
      <c r="L191" t="s">
        <v>207</v>
      </c>
      <c r="M191" t="s">
        <v>208</v>
      </c>
      <c r="N191" t="s">
        <v>120</v>
      </c>
      <c r="O191" t="s">
        <v>164</v>
      </c>
      <c r="P191" s="8">
        <v>2</v>
      </c>
      <c r="Q191" s="10">
        <v>1340.94</v>
      </c>
      <c r="R191" s="11">
        <v>0.1</v>
      </c>
      <c r="S191" s="10">
        <v>12.15</v>
      </c>
      <c r="T191" t="s">
        <v>105</v>
      </c>
      <c r="U191" t="s">
        <v>85</v>
      </c>
      <c r="V191" s="8">
        <v>2</v>
      </c>
      <c r="W191" t="s">
        <v>1270</v>
      </c>
      <c r="X191" t="str">
        <f>_xlfn.XLOOKUP(Cleaned_data[[#This Row],[Customer_ID]],Customers[S],Customers[Loyalty_Tier])</f>
        <v>Bronze</v>
      </c>
      <c r="Y191" s="9">
        <f>_xlfn.XLOOKUP(Cleaned_data[[#This Row],[Customer_ID]],Customers[S],Customers[Signup_Date])</f>
        <v>45384</v>
      </c>
      <c r="Z191" s="12">
        <f>_xlfn.XLOOKUP(Cleaned_data[[#This Row],[SKU]],Products[SKU],Products[Standard_Cost])</f>
        <v>885</v>
      </c>
      <c r="AA191" s="10">
        <f>Cleaned_data[[#This Row],[Quantity]]*Cleaned_data[[#This Row],[Unit_Price]]</f>
        <v>2681.88</v>
      </c>
      <c r="AB191" s="10">
        <f>Cleaned_data[[#This Row],[Unit_Price]]*Cleaned_data[[#This Row],[Discount_Pct]]</f>
        <v>134.09400000000002</v>
      </c>
      <c r="AC191" s="10">
        <f>Cleaned_data[[#This Row],[Gross Sales]]-Cleaned_data[[#This Row],[Discount amount]]</f>
        <v>2547.7860000000001</v>
      </c>
      <c r="AD191" s="10">
        <f>Cleaned_data[[#This Row],[Product Cost]]*Cleaned_data[[#This Row],[Quantity]]</f>
        <v>1770</v>
      </c>
      <c r="AE191" s="10">
        <f>Cleaned_data[[#This Row],[Net Sales]]-Cleaned_data[[#This Row],[COGS]]</f>
        <v>777.78600000000006</v>
      </c>
      <c r="AF191" s="11">
        <f>Cleaned_data[[#This Row],[Gross Profit]]/Cleaned_data[[#This Row],[Net Sales]]</f>
        <v>0.30527917179857339</v>
      </c>
      <c r="AG191">
        <f>Cleaned_data[[#This Row],[Ship_Date]]-Cleaned_data[[#This Row],[Order_Date]]</f>
        <v>5</v>
      </c>
      <c r="AH191" t="str">
        <f>IF(Cleaned_data[[#This Row],[Delivery Days]]&gt;10,"late","on time")</f>
        <v>on time</v>
      </c>
      <c r="AI191" t="str">
        <f>TEXT(Cleaned_data[[#This Row],[Order_Date]],"mmmm")</f>
        <v>July</v>
      </c>
      <c r="AJ191" s="9" t="str">
        <f>"Q"&amp;ROUNDUP(MONTH(Cleaned_data[[#This Row],[Order_Date]])/3,0)</f>
        <v>Q3</v>
      </c>
    </row>
    <row r="192" spans="1:36">
      <c r="A192" t="s">
        <v>608</v>
      </c>
      <c r="B192" s="9">
        <v>45500</v>
      </c>
      <c r="C192" s="9">
        <v>45505</v>
      </c>
      <c r="D192" t="s">
        <v>309</v>
      </c>
      <c r="E192" t="s">
        <v>310</v>
      </c>
      <c r="F192" t="s">
        <v>89</v>
      </c>
      <c r="G192" t="s">
        <v>75</v>
      </c>
      <c r="H192" t="s">
        <v>76</v>
      </c>
      <c r="I192" t="s">
        <v>77</v>
      </c>
      <c r="J192" t="s">
        <v>109</v>
      </c>
      <c r="K192" t="s">
        <v>79</v>
      </c>
      <c r="L192" t="s">
        <v>101</v>
      </c>
      <c r="M192" t="s">
        <v>102</v>
      </c>
      <c r="N192" t="s">
        <v>103</v>
      </c>
      <c r="O192" t="s">
        <v>104</v>
      </c>
      <c r="P192" s="8">
        <v>4</v>
      </c>
      <c r="Q192" s="10">
        <v>75.260000000000005</v>
      </c>
      <c r="R192" s="11">
        <v>0</v>
      </c>
      <c r="S192" s="10">
        <v>13.7</v>
      </c>
      <c r="T192" t="s">
        <v>134</v>
      </c>
      <c r="U192" t="s">
        <v>85</v>
      </c>
      <c r="V192" s="8">
        <v>5</v>
      </c>
      <c r="W192" t="s">
        <v>1270</v>
      </c>
      <c r="X192" t="str">
        <f>_xlfn.XLOOKUP(Cleaned_data[[#This Row],[Customer_ID]],Customers[S],Customers[Loyalty_Tier])</f>
        <v>Platinum</v>
      </c>
      <c r="Y192" s="9">
        <f>_xlfn.XLOOKUP(Cleaned_data[[#This Row],[Customer_ID]],Customers[S],Customers[Signup_Date])</f>
        <v>44518</v>
      </c>
      <c r="Z192" s="12">
        <f>_xlfn.XLOOKUP(Cleaned_data[[#This Row],[SKU]],Products[SKU],Products[Standard_Cost])</f>
        <v>36</v>
      </c>
      <c r="AA192" s="10">
        <f>Cleaned_data[[#This Row],[Quantity]]*Cleaned_data[[#This Row],[Unit_Price]]</f>
        <v>301.04000000000002</v>
      </c>
      <c r="AB192" s="10">
        <f>Cleaned_data[[#This Row],[Unit_Price]]*Cleaned_data[[#This Row],[Discount_Pct]]</f>
        <v>0</v>
      </c>
      <c r="AC192" s="10">
        <f>Cleaned_data[[#This Row],[Gross Sales]]-Cleaned_data[[#This Row],[Discount amount]]</f>
        <v>301.04000000000002</v>
      </c>
      <c r="AD192" s="10">
        <f>Cleaned_data[[#This Row],[Product Cost]]*Cleaned_data[[#This Row],[Quantity]]</f>
        <v>144</v>
      </c>
      <c r="AE192" s="10">
        <f>Cleaned_data[[#This Row],[Net Sales]]-Cleaned_data[[#This Row],[COGS]]</f>
        <v>157.04000000000002</v>
      </c>
      <c r="AF192" s="11">
        <f>Cleaned_data[[#This Row],[Gross Profit]]/Cleaned_data[[#This Row],[Net Sales]]</f>
        <v>0.52165825139516342</v>
      </c>
      <c r="AG192">
        <f>Cleaned_data[[#This Row],[Ship_Date]]-Cleaned_data[[#This Row],[Order_Date]]</f>
        <v>5</v>
      </c>
      <c r="AH192" t="str">
        <f>IF(Cleaned_data[[#This Row],[Delivery Days]]&gt;10,"late","on time")</f>
        <v>on time</v>
      </c>
      <c r="AI192" t="str">
        <f>TEXT(Cleaned_data[[#This Row],[Order_Date]],"mmmm")</f>
        <v>July</v>
      </c>
      <c r="AJ192" s="9" t="str">
        <f>"Q"&amp;ROUNDUP(MONTH(Cleaned_data[[#This Row],[Order_Date]])/3,0)</f>
        <v>Q3</v>
      </c>
    </row>
    <row r="193" spans="1:36">
      <c r="A193" t="s">
        <v>609</v>
      </c>
      <c r="B193" s="9">
        <v>45500</v>
      </c>
      <c r="C193" s="9">
        <v>45502</v>
      </c>
      <c r="D193" t="s">
        <v>504</v>
      </c>
      <c r="E193" t="s">
        <v>505</v>
      </c>
      <c r="F193" t="s">
        <v>74</v>
      </c>
      <c r="G193" t="s">
        <v>126</v>
      </c>
      <c r="H193" t="s">
        <v>160</v>
      </c>
      <c r="I193" t="s">
        <v>161</v>
      </c>
      <c r="J193" t="s">
        <v>129</v>
      </c>
      <c r="K193" t="s">
        <v>100</v>
      </c>
      <c r="L193" t="s">
        <v>188</v>
      </c>
      <c r="M193" t="s">
        <v>189</v>
      </c>
      <c r="N193" t="s">
        <v>120</v>
      </c>
      <c r="O193" t="s">
        <v>190</v>
      </c>
      <c r="P193" s="8">
        <v>1</v>
      </c>
      <c r="Q193" s="10">
        <v>57.24</v>
      </c>
      <c r="R193" s="11">
        <v>0.01</v>
      </c>
      <c r="S193" s="10">
        <v>5.56</v>
      </c>
      <c r="T193" t="s">
        <v>134</v>
      </c>
      <c r="U193" t="s">
        <v>85</v>
      </c>
      <c r="V193" s="8">
        <v>2</v>
      </c>
      <c r="W193" t="s">
        <v>1270</v>
      </c>
      <c r="X193" t="str">
        <f>_xlfn.XLOOKUP(Cleaned_data[[#This Row],[Customer_ID]],Customers[S],Customers[Loyalty_Tier])</f>
        <v>Bronze</v>
      </c>
      <c r="Y193" s="9">
        <f>_xlfn.XLOOKUP(Cleaned_data[[#This Row],[Customer_ID]],Customers[S],Customers[Signup_Date])</f>
        <v>44699</v>
      </c>
      <c r="Z193" s="12">
        <f>_xlfn.XLOOKUP(Cleaned_data[[#This Row],[SKU]],Products[SKU],Products[Standard_Cost])</f>
        <v>28</v>
      </c>
      <c r="AA193" s="10">
        <f>Cleaned_data[[#This Row],[Quantity]]*Cleaned_data[[#This Row],[Unit_Price]]</f>
        <v>57.24</v>
      </c>
      <c r="AB193" s="10">
        <f>Cleaned_data[[#This Row],[Unit_Price]]*Cleaned_data[[#This Row],[Discount_Pct]]</f>
        <v>0.57240000000000002</v>
      </c>
      <c r="AC193" s="10">
        <f>Cleaned_data[[#This Row],[Gross Sales]]-Cleaned_data[[#This Row],[Discount amount]]</f>
        <v>56.6676</v>
      </c>
      <c r="AD193" s="10">
        <f>Cleaned_data[[#This Row],[Product Cost]]*Cleaned_data[[#This Row],[Quantity]]</f>
        <v>28</v>
      </c>
      <c r="AE193" s="10">
        <f>Cleaned_data[[#This Row],[Net Sales]]-Cleaned_data[[#This Row],[COGS]]</f>
        <v>28.6676</v>
      </c>
      <c r="AF193" s="11">
        <f>Cleaned_data[[#This Row],[Gross Profit]]/Cleaned_data[[#This Row],[Net Sales]]</f>
        <v>0.50589049121543883</v>
      </c>
      <c r="AG193">
        <f>Cleaned_data[[#This Row],[Ship_Date]]-Cleaned_data[[#This Row],[Order_Date]]</f>
        <v>2</v>
      </c>
      <c r="AH193" t="str">
        <f>IF(Cleaned_data[[#This Row],[Delivery Days]]&gt;10,"late","on time")</f>
        <v>on time</v>
      </c>
      <c r="AI193" t="str">
        <f>TEXT(Cleaned_data[[#This Row],[Order_Date]],"mmmm")</f>
        <v>July</v>
      </c>
      <c r="AJ193" s="9" t="str">
        <f>"Q"&amp;ROUNDUP(MONTH(Cleaned_data[[#This Row],[Order_Date]])/3,0)</f>
        <v>Q3</v>
      </c>
    </row>
    <row r="194" spans="1:36">
      <c r="A194" t="s">
        <v>610</v>
      </c>
      <c r="B194" s="9">
        <v>45500</v>
      </c>
      <c r="C194" s="9">
        <v>45509</v>
      </c>
      <c r="D194" t="s">
        <v>372</v>
      </c>
      <c r="E194" t="s">
        <v>373</v>
      </c>
      <c r="F194" t="s">
        <v>89</v>
      </c>
      <c r="G194" t="s">
        <v>138</v>
      </c>
      <c r="H194" t="s">
        <v>347</v>
      </c>
      <c r="I194" t="s">
        <v>348</v>
      </c>
      <c r="J194" t="s">
        <v>129</v>
      </c>
      <c r="K194" t="s">
        <v>79</v>
      </c>
      <c r="L194" t="s">
        <v>214</v>
      </c>
      <c r="M194" t="s">
        <v>215</v>
      </c>
      <c r="N194" t="s">
        <v>103</v>
      </c>
      <c r="O194" t="s">
        <v>171</v>
      </c>
      <c r="P194" s="8">
        <v>4</v>
      </c>
      <c r="Q194" s="10">
        <v>12.14</v>
      </c>
      <c r="R194" s="11">
        <v>0.1</v>
      </c>
      <c r="S194" s="10">
        <v>10.92</v>
      </c>
      <c r="T194" t="s">
        <v>105</v>
      </c>
      <c r="U194" t="s">
        <v>85</v>
      </c>
      <c r="V194" s="8">
        <v>5</v>
      </c>
      <c r="W194" t="s">
        <v>1270</v>
      </c>
      <c r="X194" t="str">
        <f>_xlfn.XLOOKUP(Cleaned_data[[#This Row],[Customer_ID]],Customers[S],Customers[Loyalty_Tier])</f>
        <v>Platinum</v>
      </c>
      <c r="Y194" s="9">
        <f>_xlfn.XLOOKUP(Cleaned_data[[#This Row],[Customer_ID]],Customers[S],Customers[Signup_Date])</f>
        <v>45697</v>
      </c>
      <c r="Z194" s="12">
        <f>_xlfn.XLOOKUP(Cleaned_data[[#This Row],[SKU]],Products[SKU],Products[Standard_Cost])</f>
        <v>5</v>
      </c>
      <c r="AA194" s="10">
        <f>Cleaned_data[[#This Row],[Quantity]]*Cleaned_data[[#This Row],[Unit_Price]]</f>
        <v>48.56</v>
      </c>
      <c r="AB194" s="10">
        <f>Cleaned_data[[#This Row],[Unit_Price]]*Cleaned_data[[#This Row],[Discount_Pct]]</f>
        <v>1.2140000000000002</v>
      </c>
      <c r="AC194" s="10">
        <f>Cleaned_data[[#This Row],[Gross Sales]]-Cleaned_data[[#This Row],[Discount amount]]</f>
        <v>47.346000000000004</v>
      </c>
      <c r="AD194" s="10">
        <f>Cleaned_data[[#This Row],[Product Cost]]*Cleaned_data[[#This Row],[Quantity]]</f>
        <v>20</v>
      </c>
      <c r="AE194" s="10">
        <f>Cleaned_data[[#This Row],[Net Sales]]-Cleaned_data[[#This Row],[COGS]]</f>
        <v>27.346000000000004</v>
      </c>
      <c r="AF194" s="11">
        <f>Cleaned_data[[#This Row],[Gross Profit]]/Cleaned_data[[#This Row],[Net Sales]]</f>
        <v>0.57757783128458584</v>
      </c>
      <c r="AG194">
        <f>Cleaned_data[[#This Row],[Ship_Date]]-Cleaned_data[[#This Row],[Order_Date]]</f>
        <v>9</v>
      </c>
      <c r="AH194" t="str">
        <f>IF(Cleaned_data[[#This Row],[Delivery Days]]&gt;10,"late","on time")</f>
        <v>on time</v>
      </c>
      <c r="AI194" t="str">
        <f>TEXT(Cleaned_data[[#This Row],[Order_Date]],"mmmm")</f>
        <v>July</v>
      </c>
      <c r="AJ194" s="9" t="str">
        <f>"Q"&amp;ROUNDUP(MONTH(Cleaned_data[[#This Row],[Order_Date]])/3,0)</f>
        <v>Q3</v>
      </c>
    </row>
    <row r="195" spans="1:36">
      <c r="A195" t="s">
        <v>611</v>
      </c>
      <c r="B195" s="9">
        <v>45501</v>
      </c>
      <c r="C195" s="9">
        <v>45510</v>
      </c>
      <c r="D195" t="s">
        <v>1272</v>
      </c>
      <c r="E195" t="s">
        <v>351</v>
      </c>
      <c r="F195" t="s">
        <v>152</v>
      </c>
      <c r="G195" t="s">
        <v>126</v>
      </c>
      <c r="H195" t="s">
        <v>160</v>
      </c>
      <c r="I195" t="s">
        <v>182</v>
      </c>
      <c r="J195" t="s">
        <v>219</v>
      </c>
      <c r="K195" t="s">
        <v>90</v>
      </c>
      <c r="L195" t="s">
        <v>169</v>
      </c>
      <c r="M195" t="s">
        <v>170</v>
      </c>
      <c r="N195" t="s">
        <v>103</v>
      </c>
      <c r="O195" t="s">
        <v>171</v>
      </c>
      <c r="P195" s="8">
        <v>10</v>
      </c>
      <c r="Q195" s="10">
        <v>15.35</v>
      </c>
      <c r="R195" s="11">
        <v>0.11</v>
      </c>
      <c r="S195" s="10">
        <v>10.039999999999999</v>
      </c>
      <c r="T195" t="s">
        <v>122</v>
      </c>
      <c r="U195" t="s">
        <v>85</v>
      </c>
      <c r="V195" s="8">
        <v>4</v>
      </c>
      <c r="W195" t="s">
        <v>1280</v>
      </c>
      <c r="X195" t="e">
        <f>_xlfn.XLOOKUP(Cleaned_data[[#This Row],[Customer_ID]],Customers[S],Customers[Loyalty_Tier])</f>
        <v>#N/A</v>
      </c>
      <c r="Y195" s="9" t="e">
        <f>_xlfn.XLOOKUP(Cleaned_data[[#This Row],[Customer_ID]],Customers[S],Customers[Signup_Date])</f>
        <v>#N/A</v>
      </c>
      <c r="Z195" s="12">
        <f>_xlfn.XLOOKUP(Cleaned_data[[#This Row],[SKU]],Products[SKU],Products[Standard_Cost])</f>
        <v>6</v>
      </c>
      <c r="AA195" s="10">
        <f>Cleaned_data[[#This Row],[Quantity]]*Cleaned_data[[#This Row],[Unit_Price]]</f>
        <v>153.5</v>
      </c>
      <c r="AB195" s="10">
        <f>Cleaned_data[[#This Row],[Unit_Price]]*Cleaned_data[[#This Row],[Discount_Pct]]</f>
        <v>1.6884999999999999</v>
      </c>
      <c r="AC195" s="10">
        <f>Cleaned_data[[#This Row],[Gross Sales]]-Cleaned_data[[#This Row],[Discount amount]]</f>
        <v>151.8115</v>
      </c>
      <c r="AD195" s="10">
        <f>Cleaned_data[[#This Row],[Product Cost]]*Cleaned_data[[#This Row],[Quantity]]</f>
        <v>60</v>
      </c>
      <c r="AE195" s="10">
        <f>Cleaned_data[[#This Row],[Net Sales]]-Cleaned_data[[#This Row],[COGS]]</f>
        <v>91.811499999999995</v>
      </c>
      <c r="AF195" s="11">
        <f>Cleaned_data[[#This Row],[Gross Profit]]/Cleaned_data[[#This Row],[Net Sales]]</f>
        <v>0.60477302444149483</v>
      </c>
      <c r="AG195">
        <f>Cleaned_data[[#This Row],[Ship_Date]]-Cleaned_data[[#This Row],[Order_Date]]</f>
        <v>9</v>
      </c>
      <c r="AH195" t="str">
        <f>IF(Cleaned_data[[#This Row],[Delivery Days]]&gt;10,"late","on time")</f>
        <v>on time</v>
      </c>
      <c r="AI195" t="str">
        <f>TEXT(Cleaned_data[[#This Row],[Order_Date]],"mmmm")</f>
        <v>July</v>
      </c>
      <c r="AJ195" s="9" t="str">
        <f>"Q"&amp;ROUNDUP(MONTH(Cleaned_data[[#This Row],[Order_Date]])/3,0)</f>
        <v>Q3</v>
      </c>
    </row>
    <row r="196" spans="1:36">
      <c r="A196" t="s">
        <v>612</v>
      </c>
      <c r="B196" s="9">
        <v>45501</v>
      </c>
      <c r="C196" s="9">
        <v>45511</v>
      </c>
      <c r="D196" t="s">
        <v>613</v>
      </c>
      <c r="E196" t="s">
        <v>614</v>
      </c>
      <c r="F196" t="s">
        <v>74</v>
      </c>
      <c r="G196" t="s">
        <v>194</v>
      </c>
      <c r="H196" t="s">
        <v>195</v>
      </c>
      <c r="I196" t="s">
        <v>196</v>
      </c>
      <c r="J196" t="s">
        <v>129</v>
      </c>
      <c r="K196" t="s">
        <v>147</v>
      </c>
      <c r="L196" t="s">
        <v>301</v>
      </c>
      <c r="M196" t="s">
        <v>302</v>
      </c>
      <c r="N196" t="s">
        <v>120</v>
      </c>
      <c r="O196" t="s">
        <v>190</v>
      </c>
      <c r="P196" s="8">
        <v>1</v>
      </c>
      <c r="Q196" s="10">
        <v>139.02000000000001</v>
      </c>
      <c r="R196" s="11">
        <v>0.06</v>
      </c>
      <c r="S196" s="10">
        <v>7.05</v>
      </c>
      <c r="T196" t="s">
        <v>84</v>
      </c>
      <c r="U196" t="s">
        <v>85</v>
      </c>
      <c r="V196" s="8">
        <v>1</v>
      </c>
      <c r="W196" t="s">
        <v>1270</v>
      </c>
      <c r="X196" t="str">
        <f>_xlfn.XLOOKUP(Cleaned_data[[#This Row],[Customer_ID]],Customers[S],Customers[Loyalty_Tier])</f>
        <v>Platinum</v>
      </c>
      <c r="Y196" s="9">
        <f>_xlfn.XLOOKUP(Cleaned_data[[#This Row],[Customer_ID]],Customers[S],Customers[Signup_Date])</f>
        <v>44454</v>
      </c>
      <c r="Z196" s="12">
        <f>_xlfn.XLOOKUP(Cleaned_data[[#This Row],[SKU]],Products[SKU],Products[Standard_Cost])</f>
        <v>72</v>
      </c>
      <c r="AA196" s="10">
        <f>Cleaned_data[[#This Row],[Quantity]]*Cleaned_data[[#This Row],[Unit_Price]]</f>
        <v>139.02000000000001</v>
      </c>
      <c r="AB196" s="10">
        <f>Cleaned_data[[#This Row],[Unit_Price]]*Cleaned_data[[#This Row],[Discount_Pct]]</f>
        <v>8.3412000000000006</v>
      </c>
      <c r="AC196" s="10">
        <f>Cleaned_data[[#This Row],[Gross Sales]]-Cleaned_data[[#This Row],[Discount amount]]</f>
        <v>130.67880000000002</v>
      </c>
      <c r="AD196" s="10">
        <f>Cleaned_data[[#This Row],[Product Cost]]*Cleaned_data[[#This Row],[Quantity]]</f>
        <v>72</v>
      </c>
      <c r="AE196" s="10">
        <f>Cleaned_data[[#This Row],[Net Sales]]-Cleaned_data[[#This Row],[COGS]]</f>
        <v>58.678800000000024</v>
      </c>
      <c r="AF196" s="11">
        <f>Cleaned_data[[#This Row],[Gross Profit]]/Cleaned_data[[#This Row],[Net Sales]]</f>
        <v>0.4490307532667886</v>
      </c>
      <c r="AG196">
        <f>Cleaned_data[[#This Row],[Ship_Date]]-Cleaned_data[[#This Row],[Order_Date]]</f>
        <v>10</v>
      </c>
      <c r="AH196" t="str">
        <f>IF(Cleaned_data[[#This Row],[Delivery Days]]&gt;10,"late","on time")</f>
        <v>on time</v>
      </c>
      <c r="AI196" t="str">
        <f>TEXT(Cleaned_data[[#This Row],[Order_Date]],"mmmm")</f>
        <v>July</v>
      </c>
      <c r="AJ196" s="9" t="str">
        <f>"Q"&amp;ROUNDUP(MONTH(Cleaned_data[[#This Row],[Order_Date]])/3,0)</f>
        <v>Q3</v>
      </c>
    </row>
    <row r="197" spans="1:36">
      <c r="A197" t="s">
        <v>615</v>
      </c>
      <c r="B197" s="9">
        <v>45502</v>
      </c>
      <c r="C197" s="9">
        <v>45511</v>
      </c>
      <c r="D197" t="s">
        <v>616</v>
      </c>
      <c r="E197" t="s">
        <v>617</v>
      </c>
      <c r="F197" t="s">
        <v>152</v>
      </c>
      <c r="G197" t="s">
        <v>194</v>
      </c>
      <c r="H197" t="s">
        <v>230</v>
      </c>
      <c r="I197" t="s">
        <v>231</v>
      </c>
      <c r="J197" t="s">
        <v>78</v>
      </c>
      <c r="K197" t="s">
        <v>168</v>
      </c>
      <c r="L197" t="s">
        <v>214</v>
      </c>
      <c r="M197" t="s">
        <v>215</v>
      </c>
      <c r="N197" t="s">
        <v>103</v>
      </c>
      <c r="O197" t="s">
        <v>171</v>
      </c>
      <c r="P197" s="8">
        <v>5</v>
      </c>
      <c r="Q197" s="10">
        <v>11.86</v>
      </c>
      <c r="R197" s="11">
        <v>0.03</v>
      </c>
      <c r="S197" s="10">
        <v>10.119999999999999</v>
      </c>
      <c r="T197" t="s">
        <v>105</v>
      </c>
      <c r="U197" t="s">
        <v>85</v>
      </c>
      <c r="V197" s="8">
        <v>3</v>
      </c>
      <c r="W197" t="s">
        <v>1270</v>
      </c>
      <c r="X197" t="str">
        <f>_xlfn.XLOOKUP(Cleaned_data[[#This Row],[Customer_ID]],Customers[S],Customers[Loyalty_Tier])</f>
        <v>Platinum</v>
      </c>
      <c r="Y197" s="9">
        <f>_xlfn.XLOOKUP(Cleaned_data[[#This Row],[Customer_ID]],Customers[S],Customers[Signup_Date])</f>
        <v>44835</v>
      </c>
      <c r="Z197" s="12">
        <f>_xlfn.XLOOKUP(Cleaned_data[[#This Row],[SKU]],Products[SKU],Products[Standard_Cost])</f>
        <v>5</v>
      </c>
      <c r="AA197" s="10">
        <f>Cleaned_data[[#This Row],[Quantity]]*Cleaned_data[[#This Row],[Unit_Price]]</f>
        <v>59.3</v>
      </c>
      <c r="AB197" s="10">
        <f>Cleaned_data[[#This Row],[Unit_Price]]*Cleaned_data[[#This Row],[Discount_Pct]]</f>
        <v>0.35579999999999995</v>
      </c>
      <c r="AC197" s="10">
        <f>Cleaned_data[[#This Row],[Gross Sales]]-Cleaned_data[[#This Row],[Discount amount]]</f>
        <v>58.944199999999995</v>
      </c>
      <c r="AD197" s="10">
        <f>Cleaned_data[[#This Row],[Product Cost]]*Cleaned_data[[#This Row],[Quantity]]</f>
        <v>25</v>
      </c>
      <c r="AE197" s="10">
        <f>Cleaned_data[[#This Row],[Net Sales]]-Cleaned_data[[#This Row],[COGS]]</f>
        <v>33.944199999999995</v>
      </c>
      <c r="AF197" s="11">
        <f>Cleaned_data[[#This Row],[Gross Profit]]/Cleaned_data[[#This Row],[Net Sales]]</f>
        <v>0.57587006015859066</v>
      </c>
      <c r="AG197">
        <f>Cleaned_data[[#This Row],[Ship_Date]]-Cleaned_data[[#This Row],[Order_Date]]</f>
        <v>9</v>
      </c>
      <c r="AH197" t="str">
        <f>IF(Cleaned_data[[#This Row],[Delivery Days]]&gt;10,"late","on time")</f>
        <v>on time</v>
      </c>
      <c r="AI197" t="str">
        <f>TEXT(Cleaned_data[[#This Row],[Order_Date]],"mmmm")</f>
        <v>July</v>
      </c>
      <c r="AJ197" s="9" t="str">
        <f>"Q"&amp;ROUNDUP(MONTH(Cleaned_data[[#This Row],[Order_Date]])/3,0)</f>
        <v>Q3</v>
      </c>
    </row>
    <row r="198" spans="1:36">
      <c r="A198" t="s">
        <v>618</v>
      </c>
      <c r="B198" s="9">
        <v>45502</v>
      </c>
      <c r="C198" s="9">
        <v>45509</v>
      </c>
      <c r="D198" t="s">
        <v>245</v>
      </c>
      <c r="E198" t="s">
        <v>246</v>
      </c>
      <c r="F198" t="s">
        <v>74</v>
      </c>
      <c r="G198" t="s">
        <v>138</v>
      </c>
      <c r="H198" t="s">
        <v>139</v>
      </c>
      <c r="I198" t="s">
        <v>140</v>
      </c>
      <c r="J198" t="s">
        <v>78</v>
      </c>
      <c r="K198" t="s">
        <v>79</v>
      </c>
      <c r="L198" t="s">
        <v>101</v>
      </c>
      <c r="M198" t="s">
        <v>102</v>
      </c>
      <c r="N198" t="s">
        <v>103</v>
      </c>
      <c r="O198" t="s">
        <v>104</v>
      </c>
      <c r="P198" s="8">
        <v>1</v>
      </c>
      <c r="Q198" s="10">
        <v>77.599999999999994</v>
      </c>
      <c r="R198" s="11">
        <v>0.05</v>
      </c>
      <c r="S198" s="10">
        <v>12.46</v>
      </c>
      <c r="T198" t="s">
        <v>84</v>
      </c>
      <c r="U198" t="s">
        <v>85</v>
      </c>
      <c r="V198" s="8">
        <v>4</v>
      </c>
      <c r="W198" t="s">
        <v>1270</v>
      </c>
      <c r="X198" t="str">
        <f>_xlfn.XLOOKUP(Cleaned_data[[#This Row],[Customer_ID]],Customers[S],Customers[Loyalty_Tier])</f>
        <v>Bronze</v>
      </c>
      <c r="Y198" s="9">
        <f>_xlfn.XLOOKUP(Cleaned_data[[#This Row],[Customer_ID]],Customers[S],Customers[Signup_Date])</f>
        <v>45447</v>
      </c>
      <c r="Z198" s="12">
        <f>_xlfn.XLOOKUP(Cleaned_data[[#This Row],[SKU]],Products[SKU],Products[Standard_Cost])</f>
        <v>36</v>
      </c>
      <c r="AA198" s="10">
        <f>Cleaned_data[[#This Row],[Quantity]]*Cleaned_data[[#This Row],[Unit_Price]]</f>
        <v>77.599999999999994</v>
      </c>
      <c r="AB198" s="10">
        <f>Cleaned_data[[#This Row],[Unit_Price]]*Cleaned_data[[#This Row],[Discount_Pct]]</f>
        <v>3.88</v>
      </c>
      <c r="AC198" s="10">
        <f>Cleaned_data[[#This Row],[Gross Sales]]-Cleaned_data[[#This Row],[Discount amount]]</f>
        <v>73.72</v>
      </c>
      <c r="AD198" s="10">
        <f>Cleaned_data[[#This Row],[Product Cost]]*Cleaned_data[[#This Row],[Quantity]]</f>
        <v>36</v>
      </c>
      <c r="AE198" s="10">
        <f>Cleaned_data[[#This Row],[Net Sales]]-Cleaned_data[[#This Row],[COGS]]</f>
        <v>37.72</v>
      </c>
      <c r="AF198" s="11">
        <f>Cleaned_data[[#This Row],[Gross Profit]]/Cleaned_data[[#This Row],[Net Sales]]</f>
        <v>0.51166576234400429</v>
      </c>
      <c r="AG198">
        <f>Cleaned_data[[#This Row],[Ship_Date]]-Cleaned_data[[#This Row],[Order_Date]]</f>
        <v>7</v>
      </c>
      <c r="AH198" t="str">
        <f>IF(Cleaned_data[[#This Row],[Delivery Days]]&gt;10,"late","on time")</f>
        <v>on time</v>
      </c>
      <c r="AI198" t="str">
        <f>TEXT(Cleaned_data[[#This Row],[Order_Date]],"mmmm")</f>
        <v>July</v>
      </c>
      <c r="AJ198" s="9" t="str">
        <f>"Q"&amp;ROUNDUP(MONTH(Cleaned_data[[#This Row],[Order_Date]])/3,0)</f>
        <v>Q3</v>
      </c>
    </row>
    <row r="199" spans="1:36">
      <c r="A199" t="s">
        <v>620</v>
      </c>
      <c r="B199" s="9">
        <v>45503</v>
      </c>
      <c r="C199" s="9">
        <v>45510</v>
      </c>
      <c r="D199" t="s">
        <v>621</v>
      </c>
      <c r="E199" t="s">
        <v>622</v>
      </c>
      <c r="F199" t="s">
        <v>74</v>
      </c>
      <c r="G199" t="s">
        <v>194</v>
      </c>
      <c r="H199" t="s">
        <v>230</v>
      </c>
      <c r="I199" t="s">
        <v>231</v>
      </c>
      <c r="J199" t="s">
        <v>78</v>
      </c>
      <c r="K199" t="s">
        <v>130</v>
      </c>
      <c r="L199" t="s">
        <v>155</v>
      </c>
      <c r="M199" t="s">
        <v>156</v>
      </c>
      <c r="N199" t="s">
        <v>82</v>
      </c>
      <c r="O199" t="s">
        <v>112</v>
      </c>
      <c r="P199" s="8">
        <v>9</v>
      </c>
      <c r="Q199" s="10">
        <v>162.78</v>
      </c>
      <c r="R199" s="11">
        <v>0.04</v>
      </c>
      <c r="S199" s="10">
        <v>6.25</v>
      </c>
      <c r="T199" t="s">
        <v>122</v>
      </c>
      <c r="U199" t="s">
        <v>85</v>
      </c>
      <c r="V199" s="8">
        <v>4</v>
      </c>
      <c r="W199" t="s">
        <v>1270</v>
      </c>
      <c r="X199" t="str">
        <f>_xlfn.XLOOKUP(Cleaned_data[[#This Row],[Customer_ID]],Customers[S],Customers[Loyalty_Tier])</f>
        <v>Gold</v>
      </c>
      <c r="Y199" s="9">
        <f>_xlfn.XLOOKUP(Cleaned_data[[#This Row],[Customer_ID]],Customers[S],Customers[Signup_Date])</f>
        <v>44796</v>
      </c>
      <c r="Z199" s="12">
        <f>_xlfn.XLOOKUP(Cleaned_data[[#This Row],[SKU]],Products[SKU],Products[Standard_Cost])</f>
        <v>82</v>
      </c>
      <c r="AA199" s="10">
        <f>Cleaned_data[[#This Row],[Quantity]]*Cleaned_data[[#This Row],[Unit_Price]]</f>
        <v>1465.02</v>
      </c>
      <c r="AB199" s="10">
        <f>Cleaned_data[[#This Row],[Unit_Price]]*Cleaned_data[[#This Row],[Discount_Pct]]</f>
        <v>6.5112000000000005</v>
      </c>
      <c r="AC199" s="10">
        <f>Cleaned_data[[#This Row],[Gross Sales]]-Cleaned_data[[#This Row],[Discount amount]]</f>
        <v>1458.5088000000001</v>
      </c>
      <c r="AD199" s="10">
        <f>Cleaned_data[[#This Row],[Product Cost]]*Cleaned_data[[#This Row],[Quantity]]</f>
        <v>738</v>
      </c>
      <c r="AE199" s="10">
        <f>Cleaned_data[[#This Row],[Net Sales]]-Cleaned_data[[#This Row],[COGS]]</f>
        <v>720.50880000000006</v>
      </c>
      <c r="AF199" s="11">
        <f>Cleaned_data[[#This Row],[Gross Profit]]/Cleaned_data[[#This Row],[Net Sales]]</f>
        <v>0.49400373861302727</v>
      </c>
      <c r="AG199">
        <f>Cleaned_data[[#This Row],[Ship_Date]]-Cleaned_data[[#This Row],[Order_Date]]</f>
        <v>7</v>
      </c>
      <c r="AH199" t="str">
        <f>IF(Cleaned_data[[#This Row],[Delivery Days]]&gt;10,"late","on time")</f>
        <v>on time</v>
      </c>
      <c r="AI199" t="str">
        <f>TEXT(Cleaned_data[[#This Row],[Order_Date]],"mmmm")</f>
        <v>July</v>
      </c>
      <c r="AJ199" s="9" t="str">
        <f>"Q"&amp;ROUNDUP(MONTH(Cleaned_data[[#This Row],[Order_Date]])/3,0)</f>
        <v>Q3</v>
      </c>
    </row>
    <row r="200" spans="1:36">
      <c r="A200" t="s">
        <v>623</v>
      </c>
      <c r="B200" s="9">
        <v>45504</v>
      </c>
      <c r="C200" s="9">
        <v>45507</v>
      </c>
      <c r="D200" t="s">
        <v>392</v>
      </c>
      <c r="E200" t="s">
        <v>393</v>
      </c>
      <c r="F200" t="s">
        <v>74</v>
      </c>
      <c r="G200" t="s">
        <v>126</v>
      </c>
      <c r="H200" t="s">
        <v>160</v>
      </c>
      <c r="I200" t="s">
        <v>161</v>
      </c>
      <c r="J200" t="s">
        <v>219</v>
      </c>
      <c r="K200" t="s">
        <v>130</v>
      </c>
      <c r="L200" t="s">
        <v>249</v>
      </c>
      <c r="M200" t="s">
        <v>250</v>
      </c>
      <c r="N200" t="s">
        <v>103</v>
      </c>
      <c r="O200" t="s">
        <v>251</v>
      </c>
      <c r="P200" s="8">
        <v>5</v>
      </c>
      <c r="Q200" s="10">
        <v>22.67</v>
      </c>
      <c r="R200" s="11">
        <v>0.1</v>
      </c>
      <c r="S200" s="10">
        <v>12.74</v>
      </c>
      <c r="T200" t="s">
        <v>134</v>
      </c>
      <c r="U200" t="s">
        <v>85</v>
      </c>
      <c r="V200" s="8">
        <v>2</v>
      </c>
      <c r="W200" t="s">
        <v>1270</v>
      </c>
      <c r="X200" t="str">
        <f>_xlfn.XLOOKUP(Cleaned_data[[#This Row],[Customer_ID]],Customers[S],Customers[Loyalty_Tier])</f>
        <v>Gold</v>
      </c>
      <c r="Y200" s="9">
        <f>_xlfn.XLOOKUP(Cleaned_data[[#This Row],[Customer_ID]],Customers[S],Customers[Signup_Date])</f>
        <v>44236</v>
      </c>
      <c r="Z200" s="12">
        <f>_xlfn.XLOOKUP(Cleaned_data[[#This Row],[SKU]],Products[SKU],Products[Standard_Cost])</f>
        <v>10</v>
      </c>
      <c r="AA200" s="10">
        <f>Cleaned_data[[#This Row],[Quantity]]*Cleaned_data[[#This Row],[Unit_Price]]</f>
        <v>113.35000000000001</v>
      </c>
      <c r="AB200" s="10">
        <f>Cleaned_data[[#This Row],[Unit_Price]]*Cleaned_data[[#This Row],[Discount_Pct]]</f>
        <v>2.2670000000000003</v>
      </c>
      <c r="AC200" s="10">
        <f>Cleaned_data[[#This Row],[Gross Sales]]-Cleaned_data[[#This Row],[Discount amount]]</f>
        <v>111.08300000000001</v>
      </c>
      <c r="AD200" s="10">
        <f>Cleaned_data[[#This Row],[Product Cost]]*Cleaned_data[[#This Row],[Quantity]]</f>
        <v>50</v>
      </c>
      <c r="AE200" s="10">
        <f>Cleaned_data[[#This Row],[Net Sales]]-Cleaned_data[[#This Row],[COGS]]</f>
        <v>61.083000000000013</v>
      </c>
      <c r="AF200" s="11">
        <f>Cleaned_data[[#This Row],[Gross Profit]]/Cleaned_data[[#This Row],[Net Sales]]</f>
        <v>0.54988612118866076</v>
      </c>
      <c r="AG200">
        <f>Cleaned_data[[#This Row],[Ship_Date]]-Cleaned_data[[#This Row],[Order_Date]]</f>
        <v>3</v>
      </c>
      <c r="AH200" t="str">
        <f>IF(Cleaned_data[[#This Row],[Delivery Days]]&gt;10,"late","on time")</f>
        <v>on time</v>
      </c>
      <c r="AI200" t="str">
        <f>TEXT(Cleaned_data[[#This Row],[Order_Date]],"mmmm")</f>
        <v>July</v>
      </c>
      <c r="AJ200" s="9" t="str">
        <f>"Q"&amp;ROUNDUP(MONTH(Cleaned_data[[#This Row],[Order_Date]])/3,0)</f>
        <v>Q3</v>
      </c>
    </row>
    <row r="201" spans="1:36">
      <c r="A201" t="s">
        <v>624</v>
      </c>
      <c r="B201" s="9">
        <v>45505</v>
      </c>
      <c r="C201" s="9">
        <v>45507</v>
      </c>
      <c r="D201" t="s">
        <v>173</v>
      </c>
      <c r="E201" t="s">
        <v>174</v>
      </c>
      <c r="F201" t="s">
        <v>89</v>
      </c>
      <c r="G201" t="s">
        <v>126</v>
      </c>
      <c r="H201" t="s">
        <v>127</v>
      </c>
      <c r="I201" t="s">
        <v>128</v>
      </c>
      <c r="J201" t="s">
        <v>109</v>
      </c>
      <c r="K201" t="s">
        <v>79</v>
      </c>
      <c r="L201" t="s">
        <v>337</v>
      </c>
      <c r="M201" t="s">
        <v>338</v>
      </c>
      <c r="N201" t="s">
        <v>93</v>
      </c>
      <c r="O201" t="s">
        <v>236</v>
      </c>
      <c r="P201" s="8">
        <v>3</v>
      </c>
      <c r="Q201" s="10">
        <v>266.27</v>
      </c>
      <c r="R201" s="11">
        <v>7.0000000000000007E-2</v>
      </c>
      <c r="S201" s="10">
        <v>22.86</v>
      </c>
      <c r="T201" t="s">
        <v>134</v>
      </c>
      <c r="U201" t="s">
        <v>85</v>
      </c>
      <c r="V201" s="8">
        <v>5</v>
      </c>
      <c r="W201" t="s">
        <v>1270</v>
      </c>
      <c r="X201" t="str">
        <f>_xlfn.XLOOKUP(Cleaned_data[[#This Row],[Customer_ID]],Customers[S],Customers[Loyalty_Tier])</f>
        <v>Gold</v>
      </c>
      <c r="Y201" s="9">
        <f>_xlfn.XLOOKUP(Cleaned_data[[#This Row],[Customer_ID]],Customers[S],Customers[Signup_Date])</f>
        <v>44543</v>
      </c>
      <c r="Z201" s="12">
        <f>_xlfn.XLOOKUP(Cleaned_data[[#This Row],[SKU]],Products[SKU],Products[Standard_Cost])</f>
        <v>146</v>
      </c>
      <c r="AA201" s="10">
        <f>Cleaned_data[[#This Row],[Quantity]]*Cleaned_data[[#This Row],[Unit_Price]]</f>
        <v>798.81</v>
      </c>
      <c r="AB201" s="10">
        <f>Cleaned_data[[#This Row],[Unit_Price]]*Cleaned_data[[#This Row],[Discount_Pct]]</f>
        <v>18.6389</v>
      </c>
      <c r="AC201" s="10">
        <f>Cleaned_data[[#This Row],[Gross Sales]]-Cleaned_data[[#This Row],[Discount amount]]</f>
        <v>780.17109999999991</v>
      </c>
      <c r="AD201" s="10">
        <f>Cleaned_data[[#This Row],[Product Cost]]*Cleaned_data[[#This Row],[Quantity]]</f>
        <v>438</v>
      </c>
      <c r="AE201" s="10">
        <f>Cleaned_data[[#This Row],[Net Sales]]-Cleaned_data[[#This Row],[COGS]]</f>
        <v>342.17109999999991</v>
      </c>
      <c r="AF201" s="11">
        <f>Cleaned_data[[#This Row],[Gross Profit]]/Cleaned_data[[#This Row],[Net Sales]]</f>
        <v>0.43858468994814082</v>
      </c>
      <c r="AG201">
        <f>Cleaned_data[[#This Row],[Ship_Date]]-Cleaned_data[[#This Row],[Order_Date]]</f>
        <v>2</v>
      </c>
      <c r="AH201" t="str">
        <f>IF(Cleaned_data[[#This Row],[Delivery Days]]&gt;10,"late","on time")</f>
        <v>on time</v>
      </c>
      <c r="AI201" t="str">
        <f>TEXT(Cleaned_data[[#This Row],[Order_Date]],"mmmm")</f>
        <v>August</v>
      </c>
      <c r="AJ201" s="9" t="str">
        <f>"Q"&amp;ROUNDUP(MONTH(Cleaned_data[[#This Row],[Order_Date]])/3,0)</f>
        <v>Q3</v>
      </c>
    </row>
    <row r="202" spans="1:36">
      <c r="A202" t="s">
        <v>625</v>
      </c>
      <c r="B202" s="9">
        <v>45505</v>
      </c>
      <c r="C202" s="9">
        <v>45511</v>
      </c>
      <c r="D202" t="s">
        <v>372</v>
      </c>
      <c r="E202" t="s">
        <v>373</v>
      </c>
      <c r="F202" t="s">
        <v>89</v>
      </c>
      <c r="G202" t="s">
        <v>138</v>
      </c>
      <c r="H202" t="s">
        <v>347</v>
      </c>
      <c r="I202" t="s">
        <v>348</v>
      </c>
      <c r="J202" t="s">
        <v>219</v>
      </c>
      <c r="K202" t="s">
        <v>90</v>
      </c>
      <c r="L202" t="s">
        <v>118</v>
      </c>
      <c r="M202" t="s">
        <v>119</v>
      </c>
      <c r="N202" t="s">
        <v>120</v>
      </c>
      <c r="O202" t="s">
        <v>121</v>
      </c>
      <c r="P202" s="8">
        <v>2</v>
      </c>
      <c r="Q202" s="10">
        <v>297.58999999999997</v>
      </c>
      <c r="R202" s="11">
        <v>0.12</v>
      </c>
      <c r="S202" s="10">
        <v>14.52</v>
      </c>
      <c r="T202" t="s">
        <v>105</v>
      </c>
      <c r="U202" t="s">
        <v>85</v>
      </c>
      <c r="V202" s="8">
        <v>1</v>
      </c>
      <c r="W202" t="s">
        <v>1270</v>
      </c>
      <c r="X202" t="str">
        <f>_xlfn.XLOOKUP(Cleaned_data[[#This Row],[Customer_ID]],Customers[S],Customers[Loyalty_Tier])</f>
        <v>Platinum</v>
      </c>
      <c r="Y202" s="9">
        <f>_xlfn.XLOOKUP(Cleaned_data[[#This Row],[Customer_ID]],Customers[S],Customers[Signup_Date])</f>
        <v>45697</v>
      </c>
      <c r="Z202" s="12">
        <f>_xlfn.XLOOKUP(Cleaned_data[[#This Row],[SKU]],Products[SKU],Products[Standard_Cost])</f>
        <v>168</v>
      </c>
      <c r="AA202" s="10">
        <f>Cleaned_data[[#This Row],[Quantity]]*Cleaned_data[[#This Row],[Unit_Price]]</f>
        <v>595.17999999999995</v>
      </c>
      <c r="AB202" s="10">
        <f>Cleaned_data[[#This Row],[Unit_Price]]*Cleaned_data[[#This Row],[Discount_Pct]]</f>
        <v>35.710799999999999</v>
      </c>
      <c r="AC202" s="10">
        <f>Cleaned_data[[#This Row],[Gross Sales]]-Cleaned_data[[#This Row],[Discount amount]]</f>
        <v>559.4692</v>
      </c>
      <c r="AD202" s="10">
        <f>Cleaned_data[[#This Row],[Product Cost]]*Cleaned_data[[#This Row],[Quantity]]</f>
        <v>336</v>
      </c>
      <c r="AE202" s="10">
        <f>Cleaned_data[[#This Row],[Net Sales]]-Cleaned_data[[#This Row],[COGS]]</f>
        <v>223.4692</v>
      </c>
      <c r="AF202" s="11">
        <f>Cleaned_data[[#This Row],[Gross Profit]]/Cleaned_data[[#This Row],[Net Sales]]</f>
        <v>0.39943074614295121</v>
      </c>
      <c r="AG202">
        <f>Cleaned_data[[#This Row],[Ship_Date]]-Cleaned_data[[#This Row],[Order_Date]]</f>
        <v>6</v>
      </c>
      <c r="AH202" t="str">
        <f>IF(Cleaned_data[[#This Row],[Delivery Days]]&gt;10,"late","on time")</f>
        <v>on time</v>
      </c>
      <c r="AI202" t="str">
        <f>TEXT(Cleaned_data[[#This Row],[Order_Date]],"mmmm")</f>
        <v>August</v>
      </c>
      <c r="AJ202" s="9" t="str">
        <f>"Q"&amp;ROUNDUP(MONTH(Cleaned_data[[#This Row],[Order_Date]])/3,0)</f>
        <v>Q3</v>
      </c>
    </row>
    <row r="203" spans="1:36">
      <c r="A203" t="s">
        <v>626</v>
      </c>
      <c r="B203" s="9">
        <v>45505</v>
      </c>
      <c r="C203" s="9">
        <v>45509</v>
      </c>
      <c r="D203" t="s">
        <v>627</v>
      </c>
      <c r="E203" t="s">
        <v>542</v>
      </c>
      <c r="F203" t="s">
        <v>152</v>
      </c>
      <c r="G203" t="s">
        <v>194</v>
      </c>
      <c r="H203" t="s">
        <v>240</v>
      </c>
      <c r="I203" t="s">
        <v>241</v>
      </c>
      <c r="J203" t="s">
        <v>109</v>
      </c>
      <c r="K203" t="s">
        <v>100</v>
      </c>
      <c r="L203" t="s">
        <v>261</v>
      </c>
      <c r="M203" t="s">
        <v>262</v>
      </c>
      <c r="N203" t="s">
        <v>103</v>
      </c>
      <c r="O203" t="s">
        <v>104</v>
      </c>
      <c r="P203" s="8">
        <v>2</v>
      </c>
      <c r="Q203" s="10">
        <v>28.6</v>
      </c>
      <c r="R203" s="11">
        <v>0</v>
      </c>
      <c r="S203" s="10">
        <v>12.03</v>
      </c>
      <c r="T203" t="s">
        <v>122</v>
      </c>
      <c r="U203" t="s">
        <v>85</v>
      </c>
      <c r="V203" s="8">
        <v>2</v>
      </c>
      <c r="W203" t="s">
        <v>1270</v>
      </c>
      <c r="X203" t="str">
        <f>_xlfn.XLOOKUP(Cleaned_data[[#This Row],[Customer_ID]],Customers[S],Customers[Loyalty_Tier])</f>
        <v>Gold</v>
      </c>
      <c r="Y203" s="9">
        <f>_xlfn.XLOOKUP(Cleaned_data[[#This Row],[Customer_ID]],Customers[S],Customers[Signup_Date])</f>
        <v>44610</v>
      </c>
      <c r="Z203" s="12">
        <f>_xlfn.XLOOKUP(Cleaned_data[[#This Row],[SKU]],Products[SKU],Products[Standard_Cost])</f>
        <v>12</v>
      </c>
      <c r="AA203" s="10">
        <f>Cleaned_data[[#This Row],[Quantity]]*Cleaned_data[[#This Row],[Unit_Price]]</f>
        <v>57.2</v>
      </c>
      <c r="AB203" s="10">
        <f>Cleaned_data[[#This Row],[Unit_Price]]*Cleaned_data[[#This Row],[Discount_Pct]]</f>
        <v>0</v>
      </c>
      <c r="AC203" s="10">
        <f>Cleaned_data[[#This Row],[Gross Sales]]-Cleaned_data[[#This Row],[Discount amount]]</f>
        <v>57.2</v>
      </c>
      <c r="AD203" s="10">
        <f>Cleaned_data[[#This Row],[Product Cost]]*Cleaned_data[[#This Row],[Quantity]]</f>
        <v>24</v>
      </c>
      <c r="AE203" s="10">
        <f>Cleaned_data[[#This Row],[Net Sales]]-Cleaned_data[[#This Row],[COGS]]</f>
        <v>33.200000000000003</v>
      </c>
      <c r="AF203" s="11">
        <f>Cleaned_data[[#This Row],[Gross Profit]]/Cleaned_data[[#This Row],[Net Sales]]</f>
        <v>0.58041958041958042</v>
      </c>
      <c r="AG203">
        <f>Cleaned_data[[#This Row],[Ship_Date]]-Cleaned_data[[#This Row],[Order_Date]]</f>
        <v>4</v>
      </c>
      <c r="AH203" t="str">
        <f>IF(Cleaned_data[[#This Row],[Delivery Days]]&gt;10,"late","on time")</f>
        <v>on time</v>
      </c>
      <c r="AI203" t="str">
        <f>TEXT(Cleaned_data[[#This Row],[Order_Date]],"mmmm")</f>
        <v>August</v>
      </c>
      <c r="AJ203" s="9" t="str">
        <f>"Q"&amp;ROUNDUP(MONTH(Cleaned_data[[#This Row],[Order_Date]])/3,0)</f>
        <v>Q3</v>
      </c>
    </row>
    <row r="204" spans="1:36">
      <c r="A204" t="s">
        <v>628</v>
      </c>
      <c r="B204" s="9">
        <v>45507</v>
      </c>
      <c r="C204" s="9">
        <v>45517</v>
      </c>
      <c r="D204" t="s">
        <v>362</v>
      </c>
      <c r="E204" t="s">
        <v>363</v>
      </c>
      <c r="F204" t="s">
        <v>89</v>
      </c>
      <c r="G204" t="s">
        <v>194</v>
      </c>
      <c r="H204" t="s">
        <v>240</v>
      </c>
      <c r="I204" t="s">
        <v>241</v>
      </c>
      <c r="J204" t="s">
        <v>109</v>
      </c>
      <c r="K204" t="s">
        <v>79</v>
      </c>
      <c r="L204" t="s">
        <v>359</v>
      </c>
      <c r="M204" t="s">
        <v>360</v>
      </c>
      <c r="N204" t="s">
        <v>93</v>
      </c>
      <c r="O204" t="s">
        <v>94</v>
      </c>
      <c r="P204" s="8">
        <v>3</v>
      </c>
      <c r="Q204" s="10">
        <v>468.23</v>
      </c>
      <c r="R204" s="11">
        <v>0.06</v>
      </c>
      <c r="S204" s="10">
        <v>22.53</v>
      </c>
      <c r="T204" t="s">
        <v>134</v>
      </c>
      <c r="U204" t="s">
        <v>85</v>
      </c>
      <c r="V204" s="8">
        <v>5</v>
      </c>
      <c r="W204" t="s">
        <v>1270</v>
      </c>
      <c r="X204" t="str">
        <f>_xlfn.XLOOKUP(Cleaned_data[[#This Row],[Customer_ID]],Customers[S],Customers[Loyalty_Tier])</f>
        <v>Silver</v>
      </c>
      <c r="Y204" s="9">
        <f>_xlfn.XLOOKUP(Cleaned_data[[#This Row],[Customer_ID]],Customers[S],Customers[Signup_Date])</f>
        <v>45026</v>
      </c>
      <c r="Z204" s="12">
        <f>_xlfn.XLOOKUP(Cleaned_data[[#This Row],[SKU]],Products[SKU],Products[Standard_Cost])</f>
        <v>265</v>
      </c>
      <c r="AA204" s="10">
        <f>Cleaned_data[[#This Row],[Quantity]]*Cleaned_data[[#This Row],[Unit_Price]]</f>
        <v>1404.69</v>
      </c>
      <c r="AB204" s="10">
        <f>Cleaned_data[[#This Row],[Unit_Price]]*Cleaned_data[[#This Row],[Discount_Pct]]</f>
        <v>28.093800000000002</v>
      </c>
      <c r="AC204" s="10">
        <f>Cleaned_data[[#This Row],[Gross Sales]]-Cleaned_data[[#This Row],[Discount amount]]</f>
        <v>1376.5962</v>
      </c>
      <c r="AD204" s="10">
        <f>Cleaned_data[[#This Row],[Product Cost]]*Cleaned_data[[#This Row],[Quantity]]</f>
        <v>795</v>
      </c>
      <c r="AE204" s="10">
        <f>Cleaned_data[[#This Row],[Net Sales]]-Cleaned_data[[#This Row],[COGS]]</f>
        <v>581.59619999999995</v>
      </c>
      <c r="AF204" s="11">
        <f>Cleaned_data[[#This Row],[Gross Profit]]/Cleaned_data[[#This Row],[Net Sales]]</f>
        <v>0.42248859905323</v>
      </c>
      <c r="AG204">
        <f>Cleaned_data[[#This Row],[Ship_Date]]-Cleaned_data[[#This Row],[Order_Date]]</f>
        <v>10</v>
      </c>
      <c r="AH204" t="str">
        <f>IF(Cleaned_data[[#This Row],[Delivery Days]]&gt;10,"late","on time")</f>
        <v>on time</v>
      </c>
      <c r="AI204" t="str">
        <f>TEXT(Cleaned_data[[#This Row],[Order_Date]],"mmmm")</f>
        <v>August</v>
      </c>
      <c r="AJ204" s="9" t="str">
        <f>"Q"&amp;ROUNDUP(MONTH(Cleaned_data[[#This Row],[Order_Date]])/3,0)</f>
        <v>Q3</v>
      </c>
    </row>
    <row r="205" spans="1:36">
      <c r="A205" t="s">
        <v>629</v>
      </c>
      <c r="B205" s="9">
        <v>45508</v>
      </c>
      <c r="C205" s="9">
        <v>45509</v>
      </c>
      <c r="D205" t="s">
        <v>630</v>
      </c>
      <c r="E205" t="s">
        <v>631</v>
      </c>
      <c r="F205" t="s">
        <v>152</v>
      </c>
      <c r="G205" t="s">
        <v>126</v>
      </c>
      <c r="H205" t="s">
        <v>160</v>
      </c>
      <c r="I205" t="s">
        <v>182</v>
      </c>
      <c r="J205" t="s">
        <v>219</v>
      </c>
      <c r="K205" t="s">
        <v>130</v>
      </c>
      <c r="L205" t="s">
        <v>197</v>
      </c>
      <c r="M205" t="s">
        <v>198</v>
      </c>
      <c r="N205" t="s">
        <v>120</v>
      </c>
      <c r="O205" t="s">
        <v>121</v>
      </c>
      <c r="P205" s="8">
        <v>3</v>
      </c>
      <c r="Q205" s="10">
        <v>513.01</v>
      </c>
      <c r="R205" s="11">
        <v>0.12</v>
      </c>
      <c r="S205" s="10">
        <v>13.79</v>
      </c>
      <c r="T205" t="s">
        <v>134</v>
      </c>
      <c r="U205" t="s">
        <v>85</v>
      </c>
      <c r="V205" s="8">
        <v>4</v>
      </c>
      <c r="W205" t="s">
        <v>1270</v>
      </c>
      <c r="X205" t="str">
        <f>_xlfn.XLOOKUP(Cleaned_data[[#This Row],[Customer_ID]],Customers[S],Customers[Loyalty_Tier])</f>
        <v>Silver</v>
      </c>
      <c r="Y205" s="9">
        <f>_xlfn.XLOOKUP(Cleaned_data[[#This Row],[Customer_ID]],Customers[S],Customers[Signup_Date])</f>
        <v>44481</v>
      </c>
      <c r="Z205" s="12">
        <f>_xlfn.XLOOKUP(Cleaned_data[[#This Row],[SKU]],Products[SKU],Products[Standard_Cost])</f>
        <v>310</v>
      </c>
      <c r="AA205" s="10">
        <f>Cleaned_data[[#This Row],[Quantity]]*Cleaned_data[[#This Row],[Unit_Price]]</f>
        <v>1539.03</v>
      </c>
      <c r="AB205" s="10">
        <f>Cleaned_data[[#This Row],[Unit_Price]]*Cleaned_data[[#This Row],[Discount_Pct]]</f>
        <v>61.561199999999999</v>
      </c>
      <c r="AC205" s="10">
        <f>Cleaned_data[[#This Row],[Gross Sales]]-Cleaned_data[[#This Row],[Discount amount]]</f>
        <v>1477.4687999999999</v>
      </c>
      <c r="AD205" s="10">
        <f>Cleaned_data[[#This Row],[Product Cost]]*Cleaned_data[[#This Row],[Quantity]]</f>
        <v>930</v>
      </c>
      <c r="AE205" s="10">
        <f>Cleaned_data[[#This Row],[Net Sales]]-Cleaned_data[[#This Row],[COGS]]</f>
        <v>547.46879999999987</v>
      </c>
      <c r="AF205" s="11">
        <f>Cleaned_data[[#This Row],[Gross Profit]]/Cleaned_data[[#This Row],[Net Sales]]</f>
        <v>0.37054508359161287</v>
      </c>
      <c r="AG205">
        <f>Cleaned_data[[#This Row],[Ship_Date]]-Cleaned_data[[#This Row],[Order_Date]]</f>
        <v>1</v>
      </c>
      <c r="AH205" t="str">
        <f>IF(Cleaned_data[[#This Row],[Delivery Days]]&gt;10,"late","on time")</f>
        <v>on time</v>
      </c>
      <c r="AI205" t="str">
        <f>TEXT(Cleaned_data[[#This Row],[Order_Date]],"mmmm")</f>
        <v>August</v>
      </c>
      <c r="AJ205" s="9" t="str">
        <f>"Q"&amp;ROUNDUP(MONTH(Cleaned_data[[#This Row],[Order_Date]])/3,0)</f>
        <v>Q3</v>
      </c>
    </row>
    <row r="206" spans="1:36">
      <c r="A206" t="s">
        <v>632</v>
      </c>
      <c r="B206" s="9">
        <v>45511</v>
      </c>
      <c r="C206" s="9">
        <v>45519</v>
      </c>
      <c r="D206" t="s">
        <v>454</v>
      </c>
      <c r="E206" t="s">
        <v>329</v>
      </c>
      <c r="F206" t="s">
        <v>89</v>
      </c>
      <c r="G206" t="s">
        <v>75</v>
      </c>
      <c r="H206" t="s">
        <v>212</v>
      </c>
      <c r="I206" t="s">
        <v>213</v>
      </c>
      <c r="J206" t="s">
        <v>78</v>
      </c>
      <c r="K206" t="s">
        <v>168</v>
      </c>
      <c r="L206" t="s">
        <v>141</v>
      </c>
      <c r="M206" t="s">
        <v>142</v>
      </c>
      <c r="N206" t="s">
        <v>103</v>
      </c>
      <c r="O206" t="s">
        <v>143</v>
      </c>
      <c r="P206" s="8">
        <v>10</v>
      </c>
      <c r="Q206" s="10">
        <v>36.74</v>
      </c>
      <c r="R206" s="11">
        <v>0.05</v>
      </c>
      <c r="S206" s="10">
        <v>7.95</v>
      </c>
      <c r="T206" t="s">
        <v>134</v>
      </c>
      <c r="U206" t="s">
        <v>85</v>
      </c>
      <c r="V206" s="8">
        <v>5</v>
      </c>
      <c r="W206" t="s">
        <v>1270</v>
      </c>
      <c r="X206" t="str">
        <f>_xlfn.XLOOKUP(Cleaned_data[[#This Row],[Customer_ID]],Customers[S],Customers[Loyalty_Tier])</f>
        <v>Gold</v>
      </c>
      <c r="Y206" s="9">
        <f>_xlfn.XLOOKUP(Cleaned_data[[#This Row],[Customer_ID]],Customers[S],Customers[Signup_Date])</f>
        <v>45538</v>
      </c>
      <c r="Z206" s="12">
        <f>_xlfn.XLOOKUP(Cleaned_data[[#This Row],[SKU]],Products[SKU],Products[Standard_Cost])</f>
        <v>18</v>
      </c>
      <c r="AA206" s="10">
        <f>Cleaned_data[[#This Row],[Quantity]]*Cleaned_data[[#This Row],[Unit_Price]]</f>
        <v>367.40000000000003</v>
      </c>
      <c r="AB206" s="10">
        <f>Cleaned_data[[#This Row],[Unit_Price]]*Cleaned_data[[#This Row],[Discount_Pct]]</f>
        <v>1.8370000000000002</v>
      </c>
      <c r="AC206" s="10">
        <f>Cleaned_data[[#This Row],[Gross Sales]]-Cleaned_data[[#This Row],[Discount amount]]</f>
        <v>365.56300000000005</v>
      </c>
      <c r="AD206" s="10">
        <f>Cleaned_data[[#This Row],[Product Cost]]*Cleaned_data[[#This Row],[Quantity]]</f>
        <v>180</v>
      </c>
      <c r="AE206" s="10">
        <f>Cleaned_data[[#This Row],[Net Sales]]-Cleaned_data[[#This Row],[COGS]]</f>
        <v>185.56300000000005</v>
      </c>
      <c r="AF206" s="11">
        <f>Cleaned_data[[#This Row],[Gross Profit]]/Cleaned_data[[#This Row],[Net Sales]]</f>
        <v>0.50760881161386684</v>
      </c>
      <c r="AG206">
        <f>Cleaned_data[[#This Row],[Ship_Date]]-Cleaned_data[[#This Row],[Order_Date]]</f>
        <v>8</v>
      </c>
      <c r="AH206" t="str">
        <f>IF(Cleaned_data[[#This Row],[Delivery Days]]&gt;10,"late","on time")</f>
        <v>on time</v>
      </c>
      <c r="AI206" t="str">
        <f>TEXT(Cleaned_data[[#This Row],[Order_Date]],"mmmm")</f>
        <v>August</v>
      </c>
      <c r="AJ206" s="9" t="str">
        <f>"Q"&amp;ROUNDUP(MONTH(Cleaned_data[[#This Row],[Order_Date]])/3,0)</f>
        <v>Q3</v>
      </c>
    </row>
    <row r="207" spans="1:36">
      <c r="A207" t="s">
        <v>633</v>
      </c>
      <c r="B207" s="9">
        <v>45513</v>
      </c>
      <c r="C207" s="9">
        <v>45514</v>
      </c>
      <c r="D207" t="s">
        <v>634</v>
      </c>
      <c r="E207" t="s">
        <v>635</v>
      </c>
      <c r="F207" t="s">
        <v>152</v>
      </c>
      <c r="G207" t="s">
        <v>138</v>
      </c>
      <c r="H207" t="s">
        <v>457</v>
      </c>
      <c r="I207" t="s">
        <v>458</v>
      </c>
      <c r="J207" t="s">
        <v>129</v>
      </c>
      <c r="K207" t="s">
        <v>90</v>
      </c>
      <c r="L207" t="s">
        <v>188</v>
      </c>
      <c r="M207" t="s">
        <v>189</v>
      </c>
      <c r="N207" t="s">
        <v>120</v>
      </c>
      <c r="O207" t="s">
        <v>190</v>
      </c>
      <c r="P207" s="8">
        <v>2</v>
      </c>
      <c r="Q207" s="10">
        <v>57.37</v>
      </c>
      <c r="R207" s="11">
        <v>0.01</v>
      </c>
      <c r="S207" s="10">
        <v>6.51</v>
      </c>
      <c r="T207" t="s">
        <v>84</v>
      </c>
      <c r="U207" t="s">
        <v>85</v>
      </c>
      <c r="V207" s="8">
        <v>1</v>
      </c>
      <c r="W207" t="s">
        <v>1270</v>
      </c>
      <c r="X207" t="str">
        <f>_xlfn.XLOOKUP(Cleaned_data[[#This Row],[Customer_ID]],Customers[S],Customers[Loyalty_Tier])</f>
        <v>Bronze</v>
      </c>
      <c r="Y207" s="9">
        <f>_xlfn.XLOOKUP(Cleaned_data[[#This Row],[Customer_ID]],Customers[S],Customers[Signup_Date])</f>
        <v>45156</v>
      </c>
      <c r="Z207" s="12">
        <f>_xlfn.XLOOKUP(Cleaned_data[[#This Row],[SKU]],Products[SKU],Products[Standard_Cost])</f>
        <v>28</v>
      </c>
      <c r="AA207" s="10">
        <f>Cleaned_data[[#This Row],[Quantity]]*Cleaned_data[[#This Row],[Unit_Price]]</f>
        <v>114.74</v>
      </c>
      <c r="AB207" s="10">
        <f>Cleaned_data[[#This Row],[Unit_Price]]*Cleaned_data[[#This Row],[Discount_Pct]]</f>
        <v>0.57369999999999999</v>
      </c>
      <c r="AC207" s="10">
        <f>Cleaned_data[[#This Row],[Gross Sales]]-Cleaned_data[[#This Row],[Discount amount]]</f>
        <v>114.16629999999999</v>
      </c>
      <c r="AD207" s="10">
        <f>Cleaned_data[[#This Row],[Product Cost]]*Cleaned_data[[#This Row],[Quantity]]</f>
        <v>56</v>
      </c>
      <c r="AE207" s="10">
        <f>Cleaned_data[[#This Row],[Net Sales]]-Cleaned_data[[#This Row],[COGS]]</f>
        <v>58.166299999999993</v>
      </c>
      <c r="AF207" s="11">
        <f>Cleaned_data[[#This Row],[Gross Profit]]/Cleaned_data[[#This Row],[Net Sales]]</f>
        <v>0.50948747572619935</v>
      </c>
      <c r="AG207">
        <f>Cleaned_data[[#This Row],[Ship_Date]]-Cleaned_data[[#This Row],[Order_Date]]</f>
        <v>1</v>
      </c>
      <c r="AH207" t="str">
        <f>IF(Cleaned_data[[#This Row],[Delivery Days]]&gt;10,"late","on time")</f>
        <v>on time</v>
      </c>
      <c r="AI207" t="str">
        <f>TEXT(Cleaned_data[[#This Row],[Order_Date]],"mmmm")</f>
        <v>August</v>
      </c>
      <c r="AJ207" s="9" t="str">
        <f>"Q"&amp;ROUNDUP(MONTH(Cleaned_data[[#This Row],[Order_Date]])/3,0)</f>
        <v>Q3</v>
      </c>
    </row>
    <row r="208" spans="1:36">
      <c r="A208" t="s">
        <v>636</v>
      </c>
      <c r="B208" s="9">
        <v>45513</v>
      </c>
      <c r="C208" s="9">
        <v>45519</v>
      </c>
      <c r="D208" t="s">
        <v>533</v>
      </c>
      <c r="E208" t="s">
        <v>534</v>
      </c>
      <c r="F208" t="s">
        <v>152</v>
      </c>
      <c r="G208" t="s">
        <v>75</v>
      </c>
      <c r="H208" t="s">
        <v>76</v>
      </c>
      <c r="I208" t="s">
        <v>77</v>
      </c>
      <c r="J208" t="s">
        <v>219</v>
      </c>
      <c r="K208" t="s">
        <v>79</v>
      </c>
      <c r="L208" t="s">
        <v>249</v>
      </c>
      <c r="M208" t="s">
        <v>250</v>
      </c>
      <c r="N208" t="s">
        <v>103</v>
      </c>
      <c r="O208" t="s">
        <v>251</v>
      </c>
      <c r="P208" s="8">
        <v>7</v>
      </c>
      <c r="Q208" s="10">
        <v>21.89</v>
      </c>
      <c r="R208" s="11">
        <v>0.27</v>
      </c>
      <c r="S208" s="10">
        <v>9.67</v>
      </c>
      <c r="T208" t="s">
        <v>134</v>
      </c>
      <c r="U208" t="s">
        <v>85</v>
      </c>
      <c r="V208" s="8">
        <v>1</v>
      </c>
      <c r="W208" t="s">
        <v>1270</v>
      </c>
      <c r="X208" t="str">
        <f>_xlfn.XLOOKUP(Cleaned_data[[#This Row],[Customer_ID]],Customers[S],Customers[Loyalty_Tier])</f>
        <v>Gold</v>
      </c>
      <c r="Y208" s="9">
        <f>_xlfn.XLOOKUP(Cleaned_data[[#This Row],[Customer_ID]],Customers[S],Customers[Signup_Date])</f>
        <v>45680</v>
      </c>
      <c r="Z208" s="12">
        <f>_xlfn.XLOOKUP(Cleaned_data[[#This Row],[SKU]],Products[SKU],Products[Standard_Cost])</f>
        <v>10</v>
      </c>
      <c r="AA208" s="10">
        <f>Cleaned_data[[#This Row],[Quantity]]*Cleaned_data[[#This Row],[Unit_Price]]</f>
        <v>153.23000000000002</v>
      </c>
      <c r="AB208" s="10">
        <f>Cleaned_data[[#This Row],[Unit_Price]]*Cleaned_data[[#This Row],[Discount_Pct]]</f>
        <v>5.9103000000000003</v>
      </c>
      <c r="AC208" s="10">
        <f>Cleaned_data[[#This Row],[Gross Sales]]-Cleaned_data[[#This Row],[Discount amount]]</f>
        <v>147.31970000000001</v>
      </c>
      <c r="AD208" s="10">
        <f>Cleaned_data[[#This Row],[Product Cost]]*Cleaned_data[[#This Row],[Quantity]]</f>
        <v>70</v>
      </c>
      <c r="AE208" s="10">
        <f>Cleaned_data[[#This Row],[Net Sales]]-Cleaned_data[[#This Row],[COGS]]</f>
        <v>77.319700000000012</v>
      </c>
      <c r="AF208" s="11">
        <f>Cleaned_data[[#This Row],[Gross Profit]]/Cleaned_data[[#This Row],[Net Sales]]</f>
        <v>0.52484290967195835</v>
      </c>
      <c r="AG208">
        <f>Cleaned_data[[#This Row],[Ship_Date]]-Cleaned_data[[#This Row],[Order_Date]]</f>
        <v>6</v>
      </c>
      <c r="AH208" t="str">
        <f>IF(Cleaned_data[[#This Row],[Delivery Days]]&gt;10,"late","on time")</f>
        <v>on time</v>
      </c>
      <c r="AI208" t="str">
        <f>TEXT(Cleaned_data[[#This Row],[Order_Date]],"mmmm")</f>
        <v>August</v>
      </c>
      <c r="AJ208" s="9" t="str">
        <f>"Q"&amp;ROUNDUP(MONTH(Cleaned_data[[#This Row],[Order_Date]])/3,0)</f>
        <v>Q3</v>
      </c>
    </row>
    <row r="209" spans="1:36">
      <c r="A209" t="s">
        <v>637</v>
      </c>
      <c r="B209" s="9">
        <v>45514</v>
      </c>
      <c r="C209" s="9">
        <v>45519</v>
      </c>
      <c r="D209" t="s">
        <v>396</v>
      </c>
      <c r="E209" t="s">
        <v>397</v>
      </c>
      <c r="F209" t="s">
        <v>152</v>
      </c>
      <c r="G209" t="s">
        <v>138</v>
      </c>
      <c r="H209" t="s">
        <v>186</v>
      </c>
      <c r="I209" t="s">
        <v>187</v>
      </c>
      <c r="J209" t="s">
        <v>78</v>
      </c>
      <c r="K209" t="s">
        <v>130</v>
      </c>
      <c r="L209" t="s">
        <v>207</v>
      </c>
      <c r="M209" t="s">
        <v>208</v>
      </c>
      <c r="N209" t="s">
        <v>120</v>
      </c>
      <c r="O209" t="s">
        <v>164</v>
      </c>
      <c r="P209" s="8">
        <v>4</v>
      </c>
      <c r="Q209" s="10">
        <v>1318.02</v>
      </c>
      <c r="R209" s="11">
        <v>0.03</v>
      </c>
      <c r="S209" s="10">
        <v>21.77</v>
      </c>
      <c r="T209" t="s">
        <v>105</v>
      </c>
      <c r="U209" t="s">
        <v>85</v>
      </c>
      <c r="V209" s="8">
        <v>3</v>
      </c>
      <c r="W209" t="s">
        <v>1270</v>
      </c>
      <c r="X209" t="str">
        <f>_xlfn.XLOOKUP(Cleaned_data[[#This Row],[Customer_ID]],Customers[S],Customers[Loyalty_Tier])</f>
        <v>Gold</v>
      </c>
      <c r="Y209" s="9">
        <f>_xlfn.XLOOKUP(Cleaned_data[[#This Row],[Customer_ID]],Customers[S],Customers[Signup_Date])</f>
        <v>44818</v>
      </c>
      <c r="Z209" s="12">
        <f>_xlfn.XLOOKUP(Cleaned_data[[#This Row],[SKU]],Products[SKU],Products[Standard_Cost])</f>
        <v>885</v>
      </c>
      <c r="AA209" s="10">
        <f>Cleaned_data[[#This Row],[Quantity]]*Cleaned_data[[#This Row],[Unit_Price]]</f>
        <v>5272.08</v>
      </c>
      <c r="AB209" s="10">
        <f>Cleaned_data[[#This Row],[Unit_Price]]*Cleaned_data[[#This Row],[Discount_Pct]]</f>
        <v>39.540599999999998</v>
      </c>
      <c r="AC209" s="10">
        <f>Cleaned_data[[#This Row],[Gross Sales]]-Cleaned_data[[#This Row],[Discount amount]]</f>
        <v>5232.5393999999997</v>
      </c>
      <c r="AD209" s="10">
        <f>Cleaned_data[[#This Row],[Product Cost]]*Cleaned_data[[#This Row],[Quantity]]</f>
        <v>3540</v>
      </c>
      <c r="AE209" s="10">
        <f>Cleaned_data[[#This Row],[Net Sales]]-Cleaned_data[[#This Row],[COGS]]</f>
        <v>1692.5393999999997</v>
      </c>
      <c r="AF209" s="11">
        <f>Cleaned_data[[#This Row],[Gross Profit]]/Cleaned_data[[#This Row],[Net Sales]]</f>
        <v>0.32346424376661165</v>
      </c>
      <c r="AG209">
        <f>Cleaned_data[[#This Row],[Ship_Date]]-Cleaned_data[[#This Row],[Order_Date]]</f>
        <v>5</v>
      </c>
      <c r="AH209" t="str">
        <f>IF(Cleaned_data[[#This Row],[Delivery Days]]&gt;10,"late","on time")</f>
        <v>on time</v>
      </c>
      <c r="AI209" t="str">
        <f>TEXT(Cleaned_data[[#This Row],[Order_Date]],"mmmm")</f>
        <v>August</v>
      </c>
      <c r="AJ209" s="9" t="str">
        <f>"Q"&amp;ROUNDUP(MONTH(Cleaned_data[[#This Row],[Order_Date]])/3,0)</f>
        <v>Q3</v>
      </c>
    </row>
    <row r="210" spans="1:36">
      <c r="A210" t="s">
        <v>638</v>
      </c>
      <c r="B210" s="9">
        <v>45514</v>
      </c>
      <c r="C210" s="9">
        <v>45516</v>
      </c>
      <c r="D210" t="s">
        <v>504</v>
      </c>
      <c r="E210" t="s">
        <v>505</v>
      </c>
      <c r="F210" t="s">
        <v>74</v>
      </c>
      <c r="G210" t="s">
        <v>126</v>
      </c>
      <c r="H210" t="s">
        <v>160</v>
      </c>
      <c r="I210" t="s">
        <v>161</v>
      </c>
      <c r="J210" t="s">
        <v>129</v>
      </c>
      <c r="K210" t="s">
        <v>90</v>
      </c>
      <c r="L210" t="s">
        <v>214</v>
      </c>
      <c r="M210" t="s">
        <v>215</v>
      </c>
      <c r="N210" t="s">
        <v>103</v>
      </c>
      <c r="O210" t="s">
        <v>171</v>
      </c>
      <c r="P210" s="8">
        <v>4</v>
      </c>
      <c r="Q210" s="10">
        <v>11.64</v>
      </c>
      <c r="R210" s="11">
        <v>0.09</v>
      </c>
      <c r="S210" s="10">
        <v>15.49</v>
      </c>
      <c r="T210" t="s">
        <v>84</v>
      </c>
      <c r="U210" t="s">
        <v>85</v>
      </c>
      <c r="W210" t="s">
        <v>1270</v>
      </c>
      <c r="X210" t="str">
        <f>_xlfn.XLOOKUP(Cleaned_data[[#This Row],[Customer_ID]],Customers[S],Customers[Loyalty_Tier])</f>
        <v>Bronze</v>
      </c>
      <c r="Y210" s="9">
        <f>_xlfn.XLOOKUP(Cleaned_data[[#This Row],[Customer_ID]],Customers[S],Customers[Signup_Date])</f>
        <v>44699</v>
      </c>
      <c r="Z210" s="12">
        <f>_xlfn.XLOOKUP(Cleaned_data[[#This Row],[SKU]],Products[SKU],Products[Standard_Cost])</f>
        <v>5</v>
      </c>
      <c r="AA210" s="10">
        <f>Cleaned_data[[#This Row],[Quantity]]*Cleaned_data[[#This Row],[Unit_Price]]</f>
        <v>46.56</v>
      </c>
      <c r="AB210" s="10">
        <f>Cleaned_data[[#This Row],[Unit_Price]]*Cleaned_data[[#This Row],[Discount_Pct]]</f>
        <v>1.0476000000000001</v>
      </c>
      <c r="AC210" s="10">
        <f>Cleaned_data[[#This Row],[Gross Sales]]-Cleaned_data[[#This Row],[Discount amount]]</f>
        <v>45.5124</v>
      </c>
      <c r="AD210" s="10">
        <f>Cleaned_data[[#This Row],[Product Cost]]*Cleaned_data[[#This Row],[Quantity]]</f>
        <v>20</v>
      </c>
      <c r="AE210" s="10">
        <f>Cleaned_data[[#This Row],[Net Sales]]-Cleaned_data[[#This Row],[COGS]]</f>
        <v>25.5124</v>
      </c>
      <c r="AF210" s="11">
        <f>Cleaned_data[[#This Row],[Gross Profit]]/Cleaned_data[[#This Row],[Net Sales]]</f>
        <v>0.56055932009738008</v>
      </c>
      <c r="AG210">
        <f>Cleaned_data[[#This Row],[Ship_Date]]-Cleaned_data[[#This Row],[Order_Date]]</f>
        <v>2</v>
      </c>
      <c r="AH210" t="str">
        <f>IF(Cleaned_data[[#This Row],[Delivery Days]]&gt;10,"late","on time")</f>
        <v>on time</v>
      </c>
      <c r="AI210" t="str">
        <f>TEXT(Cleaned_data[[#This Row],[Order_Date]],"mmmm")</f>
        <v>August</v>
      </c>
      <c r="AJ210" s="9" t="str">
        <f>"Q"&amp;ROUNDUP(MONTH(Cleaned_data[[#This Row],[Order_Date]])/3,0)</f>
        <v>Q3</v>
      </c>
    </row>
    <row r="211" spans="1:36">
      <c r="A211" t="s">
        <v>639</v>
      </c>
      <c r="B211" s="9">
        <v>45516</v>
      </c>
      <c r="C211" s="9">
        <v>45524</v>
      </c>
      <c r="D211" t="s">
        <v>192</v>
      </c>
      <c r="E211" t="s">
        <v>193</v>
      </c>
      <c r="F211" t="s">
        <v>89</v>
      </c>
      <c r="G211" t="s">
        <v>194</v>
      </c>
      <c r="H211" t="s">
        <v>195</v>
      </c>
      <c r="I211" t="s">
        <v>196</v>
      </c>
      <c r="J211" t="s">
        <v>109</v>
      </c>
      <c r="K211" t="s">
        <v>79</v>
      </c>
      <c r="L211" t="s">
        <v>249</v>
      </c>
      <c r="M211" t="s">
        <v>250</v>
      </c>
      <c r="N211" t="s">
        <v>103</v>
      </c>
      <c r="O211" t="s">
        <v>251</v>
      </c>
      <c r="P211" s="8">
        <v>7</v>
      </c>
      <c r="Q211" s="10">
        <v>20.86</v>
      </c>
      <c r="R211" s="11">
        <v>0.06</v>
      </c>
      <c r="S211" s="10">
        <v>5.26</v>
      </c>
      <c r="T211" t="s">
        <v>122</v>
      </c>
      <c r="U211" t="s">
        <v>85</v>
      </c>
      <c r="W211" t="s">
        <v>1270</v>
      </c>
      <c r="X211" t="str">
        <f>_xlfn.XLOOKUP(Cleaned_data[[#This Row],[Customer_ID]],Customers[S],Customers[Loyalty_Tier])</f>
        <v>Bronze</v>
      </c>
      <c r="Y211" s="9">
        <f>_xlfn.XLOOKUP(Cleaned_data[[#This Row],[Customer_ID]],Customers[S],Customers[Signup_Date])</f>
        <v>44447</v>
      </c>
      <c r="Z211" s="12">
        <f>_xlfn.XLOOKUP(Cleaned_data[[#This Row],[SKU]],Products[SKU],Products[Standard_Cost])</f>
        <v>10</v>
      </c>
      <c r="AA211" s="10">
        <f>Cleaned_data[[#This Row],[Quantity]]*Cleaned_data[[#This Row],[Unit_Price]]</f>
        <v>146.01999999999998</v>
      </c>
      <c r="AB211" s="10">
        <f>Cleaned_data[[#This Row],[Unit_Price]]*Cleaned_data[[#This Row],[Discount_Pct]]</f>
        <v>1.2515999999999998</v>
      </c>
      <c r="AC211" s="10">
        <f>Cleaned_data[[#This Row],[Gross Sales]]-Cleaned_data[[#This Row],[Discount amount]]</f>
        <v>144.76839999999999</v>
      </c>
      <c r="AD211" s="10">
        <f>Cleaned_data[[#This Row],[Product Cost]]*Cleaned_data[[#This Row],[Quantity]]</f>
        <v>70</v>
      </c>
      <c r="AE211" s="10">
        <f>Cleaned_data[[#This Row],[Net Sales]]-Cleaned_data[[#This Row],[COGS]]</f>
        <v>74.768399999999986</v>
      </c>
      <c r="AF211" s="11">
        <f>Cleaned_data[[#This Row],[Gross Profit]]/Cleaned_data[[#This Row],[Net Sales]]</f>
        <v>0.5164690636906949</v>
      </c>
      <c r="AG211">
        <f>Cleaned_data[[#This Row],[Ship_Date]]-Cleaned_data[[#This Row],[Order_Date]]</f>
        <v>8</v>
      </c>
      <c r="AH211" t="str">
        <f>IF(Cleaned_data[[#This Row],[Delivery Days]]&gt;10,"late","on time")</f>
        <v>on time</v>
      </c>
      <c r="AI211" t="str">
        <f>TEXT(Cleaned_data[[#This Row],[Order_Date]],"mmmm")</f>
        <v>August</v>
      </c>
      <c r="AJ211" s="9" t="str">
        <f>"Q"&amp;ROUNDUP(MONTH(Cleaned_data[[#This Row],[Order_Date]])/3,0)</f>
        <v>Q3</v>
      </c>
    </row>
    <row r="212" spans="1:36">
      <c r="A212" t="s">
        <v>640</v>
      </c>
      <c r="B212" s="9">
        <v>45516</v>
      </c>
      <c r="C212" s="9">
        <v>45525</v>
      </c>
      <c r="D212" t="s">
        <v>641</v>
      </c>
      <c r="E212" t="s">
        <v>642</v>
      </c>
      <c r="F212" t="s">
        <v>89</v>
      </c>
      <c r="G212" t="s">
        <v>194</v>
      </c>
      <c r="H212" t="s">
        <v>195</v>
      </c>
      <c r="I212" t="s">
        <v>196</v>
      </c>
      <c r="J212" t="s">
        <v>129</v>
      </c>
      <c r="K212" t="s">
        <v>90</v>
      </c>
      <c r="L212" t="s">
        <v>301</v>
      </c>
      <c r="M212" t="s">
        <v>302</v>
      </c>
      <c r="N212" t="s">
        <v>120</v>
      </c>
      <c r="O212" t="s">
        <v>190</v>
      </c>
      <c r="P212" s="8">
        <v>3</v>
      </c>
      <c r="Q212" s="10">
        <v>140.46</v>
      </c>
      <c r="R212" s="11">
        <v>0.02</v>
      </c>
      <c r="S212" s="10">
        <v>5.12</v>
      </c>
      <c r="T212" t="s">
        <v>84</v>
      </c>
      <c r="U212" t="s">
        <v>85</v>
      </c>
      <c r="V212" s="8">
        <v>5</v>
      </c>
      <c r="W212" t="s">
        <v>1270</v>
      </c>
      <c r="X212" t="str">
        <f>_xlfn.XLOOKUP(Cleaned_data[[#This Row],[Customer_ID]],Customers[S],Customers[Loyalty_Tier])</f>
        <v>Silver</v>
      </c>
      <c r="Y212" s="9">
        <f>_xlfn.XLOOKUP(Cleaned_data[[#This Row],[Customer_ID]],Customers[S],Customers[Signup_Date])</f>
        <v>44881</v>
      </c>
      <c r="Z212" s="12">
        <f>_xlfn.XLOOKUP(Cleaned_data[[#This Row],[SKU]],Products[SKU],Products[Standard_Cost])</f>
        <v>72</v>
      </c>
      <c r="AA212" s="10">
        <f>Cleaned_data[[#This Row],[Quantity]]*Cleaned_data[[#This Row],[Unit_Price]]</f>
        <v>421.38</v>
      </c>
      <c r="AB212" s="10">
        <f>Cleaned_data[[#This Row],[Unit_Price]]*Cleaned_data[[#This Row],[Discount_Pct]]</f>
        <v>2.8092000000000001</v>
      </c>
      <c r="AC212" s="10">
        <f>Cleaned_data[[#This Row],[Gross Sales]]-Cleaned_data[[#This Row],[Discount amount]]</f>
        <v>418.57080000000002</v>
      </c>
      <c r="AD212" s="10">
        <f>Cleaned_data[[#This Row],[Product Cost]]*Cleaned_data[[#This Row],[Quantity]]</f>
        <v>216</v>
      </c>
      <c r="AE212" s="10">
        <f>Cleaned_data[[#This Row],[Net Sales]]-Cleaned_data[[#This Row],[COGS]]</f>
        <v>202.57080000000002</v>
      </c>
      <c r="AF212" s="11">
        <f>Cleaned_data[[#This Row],[Gross Profit]]/Cleaned_data[[#This Row],[Net Sales]]</f>
        <v>0.48395826942538755</v>
      </c>
      <c r="AG212">
        <f>Cleaned_data[[#This Row],[Ship_Date]]-Cleaned_data[[#This Row],[Order_Date]]</f>
        <v>9</v>
      </c>
      <c r="AH212" t="str">
        <f>IF(Cleaned_data[[#This Row],[Delivery Days]]&gt;10,"late","on time")</f>
        <v>on time</v>
      </c>
      <c r="AI212" t="str">
        <f>TEXT(Cleaned_data[[#This Row],[Order_Date]],"mmmm")</f>
        <v>August</v>
      </c>
      <c r="AJ212" s="9" t="str">
        <f>"Q"&amp;ROUNDUP(MONTH(Cleaned_data[[#This Row],[Order_Date]])/3,0)</f>
        <v>Q3</v>
      </c>
    </row>
    <row r="213" spans="1:36">
      <c r="A213" t="s">
        <v>643</v>
      </c>
      <c r="B213" s="9">
        <v>45516</v>
      </c>
      <c r="C213" s="9">
        <v>45519</v>
      </c>
      <c r="D213" t="s">
        <v>406</v>
      </c>
      <c r="E213" t="s">
        <v>407</v>
      </c>
      <c r="F213" t="s">
        <v>89</v>
      </c>
      <c r="G213" t="s">
        <v>75</v>
      </c>
      <c r="H213" t="s">
        <v>116</v>
      </c>
      <c r="I213" t="s">
        <v>117</v>
      </c>
      <c r="J213" t="s">
        <v>78</v>
      </c>
      <c r="K213" t="s">
        <v>147</v>
      </c>
      <c r="L213" t="s">
        <v>261</v>
      </c>
      <c r="M213" t="s">
        <v>262</v>
      </c>
      <c r="N213" t="s">
        <v>103</v>
      </c>
      <c r="O213" t="s">
        <v>104</v>
      </c>
      <c r="P213" s="8">
        <v>3</v>
      </c>
      <c r="Q213" s="10">
        <v>27.1</v>
      </c>
      <c r="R213" s="11">
        <v>0.09</v>
      </c>
      <c r="S213" s="10">
        <v>9.61</v>
      </c>
      <c r="T213" t="s">
        <v>84</v>
      </c>
      <c r="U213" t="s">
        <v>148</v>
      </c>
      <c r="W213" t="s">
        <v>1270</v>
      </c>
      <c r="X213" t="str">
        <f>_xlfn.XLOOKUP(Cleaned_data[[#This Row],[Customer_ID]],Customers[S],Customers[Loyalty_Tier])</f>
        <v>Bronze</v>
      </c>
      <c r="Y213" s="9">
        <f>_xlfn.XLOOKUP(Cleaned_data[[#This Row],[Customer_ID]],Customers[S],Customers[Signup_Date])</f>
        <v>45879</v>
      </c>
      <c r="Z213" s="12">
        <f>_xlfn.XLOOKUP(Cleaned_data[[#This Row],[SKU]],Products[SKU],Products[Standard_Cost])</f>
        <v>12</v>
      </c>
      <c r="AA213" s="10">
        <f>Cleaned_data[[#This Row],[Quantity]]*Cleaned_data[[#This Row],[Unit_Price]]</f>
        <v>81.300000000000011</v>
      </c>
      <c r="AB213" s="10">
        <f>Cleaned_data[[#This Row],[Unit_Price]]*Cleaned_data[[#This Row],[Discount_Pct]]</f>
        <v>2.4390000000000001</v>
      </c>
      <c r="AC213" s="10">
        <f>Cleaned_data[[#This Row],[Gross Sales]]-Cleaned_data[[#This Row],[Discount amount]]</f>
        <v>78.861000000000018</v>
      </c>
      <c r="AD213" s="10">
        <f>Cleaned_data[[#This Row],[Product Cost]]*Cleaned_data[[#This Row],[Quantity]]</f>
        <v>36</v>
      </c>
      <c r="AE213" s="10">
        <f>Cleaned_data[[#This Row],[Net Sales]]-Cleaned_data[[#This Row],[COGS]]</f>
        <v>42.861000000000018</v>
      </c>
      <c r="AF213" s="11">
        <f>Cleaned_data[[#This Row],[Gross Profit]]/Cleaned_data[[#This Row],[Net Sales]]</f>
        <v>0.54350058964507186</v>
      </c>
      <c r="AG213">
        <f>Cleaned_data[[#This Row],[Ship_Date]]-Cleaned_data[[#This Row],[Order_Date]]</f>
        <v>3</v>
      </c>
      <c r="AH213" t="str">
        <f>IF(Cleaned_data[[#This Row],[Delivery Days]]&gt;10,"late","on time")</f>
        <v>on time</v>
      </c>
      <c r="AI213" t="str">
        <f>TEXT(Cleaned_data[[#This Row],[Order_Date]],"mmmm")</f>
        <v>August</v>
      </c>
      <c r="AJ213" s="9" t="str">
        <f>"Q"&amp;ROUNDUP(MONTH(Cleaned_data[[#This Row],[Order_Date]])/3,0)</f>
        <v>Q3</v>
      </c>
    </row>
    <row r="214" spans="1:36">
      <c r="A214" t="s">
        <v>644</v>
      </c>
      <c r="B214" s="9">
        <v>45517</v>
      </c>
      <c r="C214" s="9">
        <v>45518</v>
      </c>
      <c r="D214" t="s">
        <v>514</v>
      </c>
      <c r="E214" t="s">
        <v>515</v>
      </c>
      <c r="F214" t="s">
        <v>74</v>
      </c>
      <c r="G214" t="s">
        <v>75</v>
      </c>
      <c r="H214" t="s">
        <v>212</v>
      </c>
      <c r="I214" t="s">
        <v>213</v>
      </c>
      <c r="J214" t="s">
        <v>129</v>
      </c>
      <c r="K214" t="s">
        <v>168</v>
      </c>
      <c r="L214" t="s">
        <v>207</v>
      </c>
      <c r="M214" t="s">
        <v>208</v>
      </c>
      <c r="N214" t="s">
        <v>120</v>
      </c>
      <c r="O214" t="s">
        <v>164</v>
      </c>
      <c r="P214" s="8">
        <v>4</v>
      </c>
      <c r="Q214" s="10">
        <v>1377.09</v>
      </c>
      <c r="R214" s="11">
        <v>0.12</v>
      </c>
      <c r="S214" s="10">
        <v>18.93</v>
      </c>
      <c r="T214" t="s">
        <v>122</v>
      </c>
      <c r="U214" t="s">
        <v>85</v>
      </c>
      <c r="V214" s="8">
        <v>1</v>
      </c>
      <c r="W214" t="s">
        <v>1270</v>
      </c>
      <c r="X214" t="str">
        <f>_xlfn.XLOOKUP(Cleaned_data[[#This Row],[Customer_ID]],Customers[S],Customers[Loyalty_Tier])</f>
        <v>Silver</v>
      </c>
      <c r="Y214" s="9">
        <f>_xlfn.XLOOKUP(Cleaned_data[[#This Row],[Customer_ID]],Customers[S],Customers[Signup_Date])</f>
        <v>44271</v>
      </c>
      <c r="Z214" s="12">
        <f>_xlfn.XLOOKUP(Cleaned_data[[#This Row],[SKU]],Products[SKU],Products[Standard_Cost])</f>
        <v>885</v>
      </c>
      <c r="AA214" s="10">
        <f>Cleaned_data[[#This Row],[Quantity]]*Cleaned_data[[#This Row],[Unit_Price]]</f>
        <v>5508.36</v>
      </c>
      <c r="AB214" s="10">
        <f>Cleaned_data[[#This Row],[Unit_Price]]*Cleaned_data[[#This Row],[Discount_Pct]]</f>
        <v>165.2508</v>
      </c>
      <c r="AC214" s="10">
        <f>Cleaned_data[[#This Row],[Gross Sales]]-Cleaned_data[[#This Row],[Discount amount]]</f>
        <v>5343.1091999999999</v>
      </c>
      <c r="AD214" s="10">
        <f>Cleaned_data[[#This Row],[Product Cost]]*Cleaned_data[[#This Row],[Quantity]]</f>
        <v>3540</v>
      </c>
      <c r="AE214" s="10">
        <f>Cleaned_data[[#This Row],[Net Sales]]-Cleaned_data[[#This Row],[COGS]]</f>
        <v>1803.1091999999999</v>
      </c>
      <c r="AF214" s="11">
        <f>Cleaned_data[[#This Row],[Gross Profit]]/Cleaned_data[[#This Row],[Net Sales]]</f>
        <v>0.33746441117093395</v>
      </c>
      <c r="AG214">
        <f>Cleaned_data[[#This Row],[Ship_Date]]-Cleaned_data[[#This Row],[Order_Date]]</f>
        <v>1</v>
      </c>
      <c r="AH214" t="str">
        <f>IF(Cleaned_data[[#This Row],[Delivery Days]]&gt;10,"late","on time")</f>
        <v>on time</v>
      </c>
      <c r="AI214" t="str">
        <f>TEXT(Cleaned_data[[#This Row],[Order_Date]],"mmmm")</f>
        <v>August</v>
      </c>
      <c r="AJ214" s="9" t="str">
        <f>"Q"&amp;ROUNDUP(MONTH(Cleaned_data[[#This Row],[Order_Date]])/3,0)</f>
        <v>Q3</v>
      </c>
    </row>
    <row r="215" spans="1:36">
      <c r="A215" t="s">
        <v>645</v>
      </c>
      <c r="B215" s="9">
        <v>45518</v>
      </c>
      <c r="C215" s="9">
        <v>45526</v>
      </c>
      <c r="D215" t="s">
        <v>646</v>
      </c>
      <c r="E215" t="s">
        <v>647</v>
      </c>
      <c r="F215" t="s">
        <v>89</v>
      </c>
      <c r="G215" t="s">
        <v>126</v>
      </c>
      <c r="H215" t="s">
        <v>127</v>
      </c>
      <c r="I215" t="s">
        <v>128</v>
      </c>
      <c r="J215" t="s">
        <v>219</v>
      </c>
      <c r="K215" t="s">
        <v>79</v>
      </c>
      <c r="L215" t="s">
        <v>242</v>
      </c>
      <c r="M215" t="s">
        <v>243</v>
      </c>
      <c r="N215" t="s">
        <v>120</v>
      </c>
      <c r="O215" t="s">
        <v>133</v>
      </c>
      <c r="P215" s="8">
        <v>3</v>
      </c>
      <c r="Q215" s="10">
        <v>182.56</v>
      </c>
      <c r="R215" s="11">
        <v>0.09</v>
      </c>
      <c r="S215" s="10">
        <v>8.85</v>
      </c>
      <c r="T215" t="s">
        <v>122</v>
      </c>
      <c r="U215" t="s">
        <v>85</v>
      </c>
      <c r="V215" s="8">
        <v>5</v>
      </c>
      <c r="W215" t="s">
        <v>1270</v>
      </c>
      <c r="X215" t="str">
        <f>_xlfn.XLOOKUP(Cleaned_data[[#This Row],[Customer_ID]],Customers[S],Customers[Loyalty_Tier])</f>
        <v>Bronze</v>
      </c>
      <c r="Y215" s="9">
        <f>_xlfn.XLOOKUP(Cleaned_data[[#This Row],[Customer_ID]],Customers[S],Customers[Signup_Date])</f>
        <v>44201</v>
      </c>
      <c r="Z215" s="12">
        <f>_xlfn.XLOOKUP(Cleaned_data[[#This Row],[SKU]],Products[SKU],Products[Standard_Cost])</f>
        <v>96</v>
      </c>
      <c r="AA215" s="10">
        <f>Cleaned_data[[#This Row],[Quantity]]*Cleaned_data[[#This Row],[Unit_Price]]</f>
        <v>547.68000000000006</v>
      </c>
      <c r="AB215" s="10">
        <f>Cleaned_data[[#This Row],[Unit_Price]]*Cleaned_data[[#This Row],[Discount_Pct]]</f>
        <v>16.430399999999999</v>
      </c>
      <c r="AC215" s="10">
        <f>Cleaned_data[[#This Row],[Gross Sales]]-Cleaned_data[[#This Row],[Discount amount]]</f>
        <v>531.2496000000001</v>
      </c>
      <c r="AD215" s="10">
        <f>Cleaned_data[[#This Row],[Product Cost]]*Cleaned_data[[#This Row],[Quantity]]</f>
        <v>288</v>
      </c>
      <c r="AE215" s="10">
        <f>Cleaned_data[[#This Row],[Net Sales]]-Cleaned_data[[#This Row],[COGS]]</f>
        <v>243.2496000000001</v>
      </c>
      <c r="AF215" s="11">
        <f>Cleaned_data[[#This Row],[Gross Profit]]/Cleaned_data[[#This Row],[Net Sales]]</f>
        <v>0.45788194475817029</v>
      </c>
      <c r="AG215">
        <f>Cleaned_data[[#This Row],[Ship_Date]]-Cleaned_data[[#This Row],[Order_Date]]</f>
        <v>8</v>
      </c>
      <c r="AH215" t="str">
        <f>IF(Cleaned_data[[#This Row],[Delivery Days]]&gt;10,"late","on time")</f>
        <v>on time</v>
      </c>
      <c r="AI215" t="str">
        <f>TEXT(Cleaned_data[[#This Row],[Order_Date]],"mmmm")</f>
        <v>August</v>
      </c>
      <c r="AJ215" s="9" t="str">
        <f>"Q"&amp;ROUNDUP(MONTH(Cleaned_data[[#This Row],[Order_Date]])/3,0)</f>
        <v>Q3</v>
      </c>
    </row>
    <row r="216" spans="1:36">
      <c r="A216" t="s">
        <v>648</v>
      </c>
      <c r="B216" s="9">
        <v>45518</v>
      </c>
      <c r="C216" s="9">
        <v>45526</v>
      </c>
      <c r="D216" t="s">
        <v>649</v>
      </c>
      <c r="E216" t="s">
        <v>650</v>
      </c>
      <c r="F216" t="s">
        <v>152</v>
      </c>
      <c r="G216" t="s">
        <v>138</v>
      </c>
      <c r="H216" t="s">
        <v>186</v>
      </c>
      <c r="I216" t="s">
        <v>187</v>
      </c>
      <c r="J216" t="s">
        <v>129</v>
      </c>
      <c r="K216" t="s">
        <v>168</v>
      </c>
      <c r="L216" t="s">
        <v>214</v>
      </c>
      <c r="M216" t="s">
        <v>215</v>
      </c>
      <c r="N216" t="s">
        <v>103</v>
      </c>
      <c r="O216" t="s">
        <v>171</v>
      </c>
      <c r="P216" s="8">
        <v>7</v>
      </c>
      <c r="Q216" s="10">
        <v>11.68</v>
      </c>
      <c r="R216" s="11">
        <v>0.1</v>
      </c>
      <c r="S216" s="10">
        <v>9.24</v>
      </c>
      <c r="T216" t="s">
        <v>105</v>
      </c>
      <c r="U216" t="s">
        <v>85</v>
      </c>
      <c r="V216" s="8">
        <v>5</v>
      </c>
      <c r="W216" t="s">
        <v>1270</v>
      </c>
      <c r="X216" t="str">
        <f>_xlfn.XLOOKUP(Cleaned_data[[#This Row],[Customer_ID]],Customers[S],Customers[Loyalty_Tier])</f>
        <v>Platinum</v>
      </c>
      <c r="Y216" s="9">
        <f>_xlfn.XLOOKUP(Cleaned_data[[#This Row],[Customer_ID]],Customers[S],Customers[Signup_Date])</f>
        <v>45713</v>
      </c>
      <c r="Z216" s="12">
        <f>_xlfn.XLOOKUP(Cleaned_data[[#This Row],[SKU]],Products[SKU],Products[Standard_Cost])</f>
        <v>5</v>
      </c>
      <c r="AA216" s="10">
        <f>Cleaned_data[[#This Row],[Quantity]]*Cleaned_data[[#This Row],[Unit_Price]]</f>
        <v>81.759999999999991</v>
      </c>
      <c r="AB216" s="10">
        <f>Cleaned_data[[#This Row],[Unit_Price]]*Cleaned_data[[#This Row],[Discount_Pct]]</f>
        <v>1.1679999999999999</v>
      </c>
      <c r="AC216" s="10">
        <f>Cleaned_data[[#This Row],[Gross Sales]]-Cleaned_data[[#This Row],[Discount amount]]</f>
        <v>80.591999999999985</v>
      </c>
      <c r="AD216" s="10">
        <f>Cleaned_data[[#This Row],[Product Cost]]*Cleaned_data[[#This Row],[Quantity]]</f>
        <v>35</v>
      </c>
      <c r="AE216" s="10">
        <f>Cleaned_data[[#This Row],[Net Sales]]-Cleaned_data[[#This Row],[COGS]]</f>
        <v>45.591999999999985</v>
      </c>
      <c r="AF216" s="11">
        <f>Cleaned_data[[#This Row],[Gross Profit]]/Cleaned_data[[#This Row],[Net Sales]]</f>
        <v>0.56571371848322405</v>
      </c>
      <c r="AG216">
        <f>Cleaned_data[[#This Row],[Ship_Date]]-Cleaned_data[[#This Row],[Order_Date]]</f>
        <v>8</v>
      </c>
      <c r="AH216" t="str">
        <f>IF(Cleaned_data[[#This Row],[Delivery Days]]&gt;10,"late","on time")</f>
        <v>on time</v>
      </c>
      <c r="AI216" t="str">
        <f>TEXT(Cleaned_data[[#This Row],[Order_Date]],"mmmm")</f>
        <v>August</v>
      </c>
      <c r="AJ216" s="9" t="str">
        <f>"Q"&amp;ROUNDUP(MONTH(Cleaned_data[[#This Row],[Order_Date]])/3,0)</f>
        <v>Q3</v>
      </c>
    </row>
    <row r="217" spans="1:36">
      <c r="A217" t="s">
        <v>651</v>
      </c>
      <c r="B217" s="9">
        <v>45519</v>
      </c>
      <c r="C217" s="9">
        <v>45525</v>
      </c>
      <c r="D217" t="s">
        <v>271</v>
      </c>
      <c r="E217" t="s">
        <v>272</v>
      </c>
      <c r="F217" t="s">
        <v>89</v>
      </c>
      <c r="G217" t="s">
        <v>75</v>
      </c>
      <c r="H217" t="s">
        <v>273</v>
      </c>
      <c r="I217" t="s">
        <v>274</v>
      </c>
      <c r="J217" t="s">
        <v>129</v>
      </c>
      <c r="K217" t="s">
        <v>79</v>
      </c>
      <c r="L217" t="s">
        <v>254</v>
      </c>
      <c r="M217" t="s">
        <v>255</v>
      </c>
      <c r="N217" t="s">
        <v>82</v>
      </c>
      <c r="O217" t="s">
        <v>83</v>
      </c>
      <c r="P217" s="8">
        <v>7</v>
      </c>
      <c r="Q217" s="10">
        <v>93.98</v>
      </c>
      <c r="R217" s="11">
        <v>0.12</v>
      </c>
      <c r="S217" s="10">
        <v>11.39</v>
      </c>
      <c r="T217" t="s">
        <v>84</v>
      </c>
      <c r="U217" t="s">
        <v>85</v>
      </c>
      <c r="V217" s="8">
        <v>3</v>
      </c>
      <c r="W217" t="s">
        <v>1270</v>
      </c>
      <c r="X217" t="str">
        <f>_xlfn.XLOOKUP(Cleaned_data[[#This Row],[Customer_ID]],Customers[S],Customers[Loyalty_Tier])</f>
        <v>Silver</v>
      </c>
      <c r="Y217" s="9">
        <f>_xlfn.XLOOKUP(Cleaned_data[[#This Row],[Customer_ID]],Customers[S],Customers[Signup_Date])</f>
        <v>44909</v>
      </c>
      <c r="Z217" s="12">
        <f>_xlfn.XLOOKUP(Cleaned_data[[#This Row],[SKU]],Products[SKU],Products[Standard_Cost])</f>
        <v>48</v>
      </c>
      <c r="AA217" s="10">
        <f>Cleaned_data[[#This Row],[Quantity]]*Cleaned_data[[#This Row],[Unit_Price]]</f>
        <v>657.86</v>
      </c>
      <c r="AB217" s="10">
        <f>Cleaned_data[[#This Row],[Unit_Price]]*Cleaned_data[[#This Row],[Discount_Pct]]</f>
        <v>11.2776</v>
      </c>
      <c r="AC217" s="10">
        <f>Cleaned_data[[#This Row],[Gross Sales]]-Cleaned_data[[#This Row],[Discount amount]]</f>
        <v>646.58240000000001</v>
      </c>
      <c r="AD217" s="10">
        <f>Cleaned_data[[#This Row],[Product Cost]]*Cleaned_data[[#This Row],[Quantity]]</f>
        <v>336</v>
      </c>
      <c r="AE217" s="10">
        <f>Cleaned_data[[#This Row],[Net Sales]]-Cleaned_data[[#This Row],[COGS]]</f>
        <v>310.58240000000001</v>
      </c>
      <c r="AF217" s="11">
        <f>Cleaned_data[[#This Row],[Gross Profit]]/Cleaned_data[[#This Row],[Net Sales]]</f>
        <v>0.48034465522105146</v>
      </c>
      <c r="AG217">
        <f>Cleaned_data[[#This Row],[Ship_Date]]-Cleaned_data[[#This Row],[Order_Date]]</f>
        <v>6</v>
      </c>
      <c r="AH217" t="str">
        <f>IF(Cleaned_data[[#This Row],[Delivery Days]]&gt;10,"late","on time")</f>
        <v>on time</v>
      </c>
      <c r="AI217" t="str">
        <f>TEXT(Cleaned_data[[#This Row],[Order_Date]],"mmmm")</f>
        <v>August</v>
      </c>
      <c r="AJ217" s="9" t="str">
        <f>"Q"&amp;ROUNDUP(MONTH(Cleaned_data[[#This Row],[Order_Date]])/3,0)</f>
        <v>Q3</v>
      </c>
    </row>
    <row r="218" spans="1:36">
      <c r="A218" t="s">
        <v>652</v>
      </c>
      <c r="B218" s="9">
        <v>45519</v>
      </c>
      <c r="C218" s="9">
        <v>45522</v>
      </c>
      <c r="D218" t="s">
        <v>107</v>
      </c>
      <c r="E218" t="s">
        <v>108</v>
      </c>
      <c r="F218" t="s">
        <v>74</v>
      </c>
      <c r="G218" t="s">
        <v>75</v>
      </c>
      <c r="H218" t="s">
        <v>98</v>
      </c>
      <c r="I218" t="s">
        <v>99</v>
      </c>
      <c r="J218" t="s">
        <v>129</v>
      </c>
      <c r="K218" t="s">
        <v>79</v>
      </c>
      <c r="L218" t="s">
        <v>141</v>
      </c>
      <c r="M218" t="s">
        <v>142</v>
      </c>
      <c r="N218" t="s">
        <v>103</v>
      </c>
      <c r="O218" t="s">
        <v>143</v>
      </c>
      <c r="P218" s="8">
        <v>10</v>
      </c>
      <c r="Q218" s="10">
        <v>34.19</v>
      </c>
      <c r="R218" s="11">
        <v>0.1</v>
      </c>
      <c r="S218" s="10">
        <v>16.54</v>
      </c>
      <c r="T218" t="s">
        <v>134</v>
      </c>
      <c r="U218" t="s">
        <v>85</v>
      </c>
      <c r="V218" s="8">
        <v>4</v>
      </c>
      <c r="W218" t="s">
        <v>1270</v>
      </c>
      <c r="X218" t="str">
        <f>_xlfn.XLOOKUP(Cleaned_data[[#This Row],[Customer_ID]],Customers[S],Customers[Loyalty_Tier])</f>
        <v>Silver</v>
      </c>
      <c r="Y218" s="9">
        <f>_xlfn.XLOOKUP(Cleaned_data[[#This Row],[Customer_ID]],Customers[S],Customers[Signup_Date])</f>
        <v>45435</v>
      </c>
      <c r="Z218" s="12">
        <f>_xlfn.XLOOKUP(Cleaned_data[[#This Row],[SKU]],Products[SKU],Products[Standard_Cost])</f>
        <v>18</v>
      </c>
      <c r="AA218" s="10">
        <f>Cleaned_data[[#This Row],[Quantity]]*Cleaned_data[[#This Row],[Unit_Price]]</f>
        <v>341.9</v>
      </c>
      <c r="AB218" s="10">
        <f>Cleaned_data[[#This Row],[Unit_Price]]*Cleaned_data[[#This Row],[Discount_Pct]]</f>
        <v>3.419</v>
      </c>
      <c r="AC218" s="10">
        <f>Cleaned_data[[#This Row],[Gross Sales]]-Cleaned_data[[#This Row],[Discount amount]]</f>
        <v>338.48099999999999</v>
      </c>
      <c r="AD218" s="10">
        <f>Cleaned_data[[#This Row],[Product Cost]]*Cleaned_data[[#This Row],[Quantity]]</f>
        <v>180</v>
      </c>
      <c r="AE218" s="10">
        <f>Cleaned_data[[#This Row],[Net Sales]]-Cleaned_data[[#This Row],[COGS]]</f>
        <v>158.48099999999999</v>
      </c>
      <c r="AF218" s="11">
        <f>Cleaned_data[[#This Row],[Gross Profit]]/Cleaned_data[[#This Row],[Net Sales]]</f>
        <v>0.46821239596904995</v>
      </c>
      <c r="AG218">
        <f>Cleaned_data[[#This Row],[Ship_Date]]-Cleaned_data[[#This Row],[Order_Date]]</f>
        <v>3</v>
      </c>
      <c r="AH218" t="str">
        <f>IF(Cleaned_data[[#This Row],[Delivery Days]]&gt;10,"late","on time")</f>
        <v>on time</v>
      </c>
      <c r="AI218" t="str">
        <f>TEXT(Cleaned_data[[#This Row],[Order_Date]],"mmmm")</f>
        <v>August</v>
      </c>
      <c r="AJ218" s="9" t="str">
        <f>"Q"&amp;ROUNDUP(MONTH(Cleaned_data[[#This Row],[Order_Date]])/3,0)</f>
        <v>Q3</v>
      </c>
    </row>
    <row r="219" spans="1:36">
      <c r="A219" t="s">
        <v>653</v>
      </c>
      <c r="B219" s="9">
        <v>45519</v>
      </c>
      <c r="C219" s="9">
        <v>45528</v>
      </c>
      <c r="D219" t="s">
        <v>519</v>
      </c>
      <c r="E219" t="s">
        <v>520</v>
      </c>
      <c r="F219" t="s">
        <v>74</v>
      </c>
      <c r="G219" t="s">
        <v>126</v>
      </c>
      <c r="H219" t="s">
        <v>127</v>
      </c>
      <c r="I219" t="s">
        <v>128</v>
      </c>
      <c r="J219" t="s">
        <v>219</v>
      </c>
      <c r="K219" t="s">
        <v>168</v>
      </c>
      <c r="L219" t="s">
        <v>301</v>
      </c>
      <c r="M219" t="s">
        <v>302</v>
      </c>
      <c r="N219" t="s">
        <v>120</v>
      </c>
      <c r="O219" t="s">
        <v>190</v>
      </c>
      <c r="P219" s="8">
        <v>3</v>
      </c>
      <c r="Q219" s="10">
        <v>143.59</v>
      </c>
      <c r="R219" s="11">
        <v>0.01</v>
      </c>
      <c r="S219" s="10">
        <v>15.99</v>
      </c>
      <c r="T219" t="s">
        <v>134</v>
      </c>
      <c r="U219" t="s">
        <v>85</v>
      </c>
      <c r="V219" s="8">
        <v>1</v>
      </c>
      <c r="W219" t="s">
        <v>1270</v>
      </c>
      <c r="X219" t="str">
        <f>_xlfn.XLOOKUP(Cleaned_data[[#This Row],[Customer_ID]],Customers[S],Customers[Loyalty_Tier])</f>
        <v>Gold</v>
      </c>
      <c r="Y219" s="9">
        <f>_xlfn.XLOOKUP(Cleaned_data[[#This Row],[Customer_ID]],Customers[S],Customers[Signup_Date])</f>
        <v>44755</v>
      </c>
      <c r="Z219" s="12">
        <f>_xlfn.XLOOKUP(Cleaned_data[[#This Row],[SKU]],Products[SKU],Products[Standard_Cost])</f>
        <v>72</v>
      </c>
      <c r="AA219" s="10">
        <f>Cleaned_data[[#This Row],[Quantity]]*Cleaned_data[[#This Row],[Unit_Price]]</f>
        <v>430.77</v>
      </c>
      <c r="AB219" s="10">
        <f>Cleaned_data[[#This Row],[Unit_Price]]*Cleaned_data[[#This Row],[Discount_Pct]]</f>
        <v>1.4359</v>
      </c>
      <c r="AC219" s="10">
        <f>Cleaned_data[[#This Row],[Gross Sales]]-Cleaned_data[[#This Row],[Discount amount]]</f>
        <v>429.33409999999998</v>
      </c>
      <c r="AD219" s="10">
        <f>Cleaned_data[[#This Row],[Product Cost]]*Cleaned_data[[#This Row],[Quantity]]</f>
        <v>216</v>
      </c>
      <c r="AE219" s="10">
        <f>Cleaned_data[[#This Row],[Net Sales]]-Cleaned_data[[#This Row],[COGS]]</f>
        <v>213.33409999999998</v>
      </c>
      <c r="AF219" s="11">
        <f>Cleaned_data[[#This Row],[Gross Profit]]/Cleaned_data[[#This Row],[Net Sales]]</f>
        <v>0.49689530833912327</v>
      </c>
      <c r="AG219">
        <f>Cleaned_data[[#This Row],[Ship_Date]]-Cleaned_data[[#This Row],[Order_Date]]</f>
        <v>9</v>
      </c>
      <c r="AH219" t="str">
        <f>IF(Cleaned_data[[#This Row],[Delivery Days]]&gt;10,"late","on time")</f>
        <v>on time</v>
      </c>
      <c r="AI219" t="str">
        <f>TEXT(Cleaned_data[[#This Row],[Order_Date]],"mmmm")</f>
        <v>August</v>
      </c>
      <c r="AJ219" s="9" t="str">
        <f>"Q"&amp;ROUNDUP(MONTH(Cleaned_data[[#This Row],[Order_Date]])/3,0)</f>
        <v>Q3</v>
      </c>
    </row>
    <row r="220" spans="1:36">
      <c r="A220" t="s">
        <v>654</v>
      </c>
      <c r="B220" s="9">
        <v>45519</v>
      </c>
      <c r="C220" s="9">
        <v>45529</v>
      </c>
      <c r="D220" t="s">
        <v>427</v>
      </c>
      <c r="E220" t="s">
        <v>428</v>
      </c>
      <c r="F220" t="s">
        <v>152</v>
      </c>
      <c r="G220" t="s">
        <v>194</v>
      </c>
      <c r="H220" t="s">
        <v>240</v>
      </c>
      <c r="I220" t="s">
        <v>241</v>
      </c>
      <c r="J220" t="s">
        <v>219</v>
      </c>
      <c r="K220" t="s">
        <v>100</v>
      </c>
      <c r="L220" t="s">
        <v>101</v>
      </c>
      <c r="M220" t="s">
        <v>102</v>
      </c>
      <c r="N220" t="s">
        <v>103</v>
      </c>
      <c r="O220" t="s">
        <v>104</v>
      </c>
      <c r="P220" s="8">
        <v>5</v>
      </c>
      <c r="Q220" s="10">
        <v>72.52</v>
      </c>
      <c r="R220" s="11">
        <v>0.06</v>
      </c>
      <c r="S220" s="10">
        <v>13.72</v>
      </c>
      <c r="T220" t="s">
        <v>84</v>
      </c>
      <c r="U220" t="s">
        <v>85</v>
      </c>
      <c r="V220" s="8">
        <v>3</v>
      </c>
      <c r="W220" t="s">
        <v>1270</v>
      </c>
      <c r="X220" t="str">
        <f>_xlfn.XLOOKUP(Cleaned_data[[#This Row],[Customer_ID]],Customers[S],Customers[Loyalty_Tier])</f>
        <v>Gold</v>
      </c>
      <c r="Y220" s="9">
        <f>_xlfn.XLOOKUP(Cleaned_data[[#This Row],[Customer_ID]],Customers[S],Customers[Signup_Date])</f>
        <v>45885</v>
      </c>
      <c r="Z220" s="12">
        <f>_xlfn.XLOOKUP(Cleaned_data[[#This Row],[SKU]],Products[SKU],Products[Standard_Cost])</f>
        <v>36</v>
      </c>
      <c r="AA220" s="10">
        <f>Cleaned_data[[#This Row],[Quantity]]*Cleaned_data[[#This Row],[Unit_Price]]</f>
        <v>362.59999999999997</v>
      </c>
      <c r="AB220" s="10">
        <f>Cleaned_data[[#This Row],[Unit_Price]]*Cleaned_data[[#This Row],[Discount_Pct]]</f>
        <v>4.3511999999999995</v>
      </c>
      <c r="AC220" s="10">
        <f>Cleaned_data[[#This Row],[Gross Sales]]-Cleaned_data[[#This Row],[Discount amount]]</f>
        <v>358.24879999999996</v>
      </c>
      <c r="AD220" s="10">
        <f>Cleaned_data[[#This Row],[Product Cost]]*Cleaned_data[[#This Row],[Quantity]]</f>
        <v>180</v>
      </c>
      <c r="AE220" s="10">
        <f>Cleaned_data[[#This Row],[Net Sales]]-Cleaned_data[[#This Row],[COGS]]</f>
        <v>178.24879999999996</v>
      </c>
      <c r="AF220" s="11">
        <f>Cleaned_data[[#This Row],[Gross Profit]]/Cleaned_data[[#This Row],[Net Sales]]</f>
        <v>0.4975558885333321</v>
      </c>
      <c r="AG220">
        <f>Cleaned_data[[#This Row],[Ship_Date]]-Cleaned_data[[#This Row],[Order_Date]]</f>
        <v>10</v>
      </c>
      <c r="AH220" t="str">
        <f>IF(Cleaned_data[[#This Row],[Delivery Days]]&gt;10,"late","on time")</f>
        <v>on time</v>
      </c>
      <c r="AI220" t="str">
        <f>TEXT(Cleaned_data[[#This Row],[Order_Date]],"mmmm")</f>
        <v>August</v>
      </c>
      <c r="AJ220" s="9" t="str">
        <f>"Q"&amp;ROUNDUP(MONTH(Cleaned_data[[#This Row],[Order_Date]])/3,0)</f>
        <v>Q3</v>
      </c>
    </row>
    <row r="221" spans="1:36">
      <c r="A221" t="s">
        <v>655</v>
      </c>
      <c r="B221" s="9">
        <v>45520</v>
      </c>
      <c r="C221" s="9">
        <v>45528</v>
      </c>
      <c r="D221" t="s">
        <v>469</v>
      </c>
      <c r="E221" t="s">
        <v>470</v>
      </c>
      <c r="F221" t="s">
        <v>89</v>
      </c>
      <c r="G221" t="s">
        <v>138</v>
      </c>
      <c r="H221" t="s">
        <v>186</v>
      </c>
      <c r="I221" t="s">
        <v>187</v>
      </c>
      <c r="J221" t="s">
        <v>219</v>
      </c>
      <c r="K221" t="s">
        <v>168</v>
      </c>
      <c r="L221" t="s">
        <v>220</v>
      </c>
      <c r="M221" t="s">
        <v>221</v>
      </c>
      <c r="N221" t="s">
        <v>93</v>
      </c>
      <c r="O221" t="s">
        <v>177</v>
      </c>
      <c r="P221" s="8">
        <v>3</v>
      </c>
      <c r="Q221" s="10">
        <v>230.56</v>
      </c>
      <c r="R221" s="11">
        <v>0.02</v>
      </c>
      <c r="S221" s="10">
        <v>18.16</v>
      </c>
      <c r="T221" t="s">
        <v>122</v>
      </c>
      <c r="U221" t="s">
        <v>85</v>
      </c>
      <c r="W221" t="s">
        <v>1270</v>
      </c>
      <c r="X221" t="str">
        <f>_xlfn.XLOOKUP(Cleaned_data[[#This Row],[Customer_ID]],Customers[S],Customers[Loyalty_Tier])</f>
        <v>Platinum</v>
      </c>
      <c r="Y221" s="9">
        <f>_xlfn.XLOOKUP(Cleaned_data[[#This Row],[Customer_ID]],Customers[S],Customers[Signup_Date])</f>
        <v>45102</v>
      </c>
      <c r="Z221" s="12">
        <f>_xlfn.XLOOKUP(Cleaned_data[[#This Row],[SKU]],Products[SKU],Products[Standard_Cost])</f>
        <v>118</v>
      </c>
      <c r="AA221" s="10">
        <f>Cleaned_data[[#This Row],[Quantity]]*Cleaned_data[[#This Row],[Unit_Price]]</f>
        <v>691.68000000000006</v>
      </c>
      <c r="AB221" s="10">
        <f>Cleaned_data[[#This Row],[Unit_Price]]*Cleaned_data[[#This Row],[Discount_Pct]]</f>
        <v>4.6112000000000002</v>
      </c>
      <c r="AC221" s="10">
        <f>Cleaned_data[[#This Row],[Gross Sales]]-Cleaned_data[[#This Row],[Discount amount]]</f>
        <v>687.06880000000001</v>
      </c>
      <c r="AD221" s="10">
        <f>Cleaned_data[[#This Row],[Product Cost]]*Cleaned_data[[#This Row],[Quantity]]</f>
        <v>354</v>
      </c>
      <c r="AE221" s="10">
        <f>Cleaned_data[[#This Row],[Net Sales]]-Cleaned_data[[#This Row],[COGS]]</f>
        <v>333.06880000000001</v>
      </c>
      <c r="AF221" s="11">
        <f>Cleaned_data[[#This Row],[Gross Profit]]/Cleaned_data[[#This Row],[Net Sales]]</f>
        <v>0.48476775542711298</v>
      </c>
      <c r="AG221">
        <f>Cleaned_data[[#This Row],[Ship_Date]]-Cleaned_data[[#This Row],[Order_Date]]</f>
        <v>8</v>
      </c>
      <c r="AH221" t="str">
        <f>IF(Cleaned_data[[#This Row],[Delivery Days]]&gt;10,"late","on time")</f>
        <v>on time</v>
      </c>
      <c r="AI221" t="str">
        <f>TEXT(Cleaned_data[[#This Row],[Order_Date]],"mmmm")</f>
        <v>August</v>
      </c>
      <c r="AJ221" s="9" t="str">
        <f>"Q"&amp;ROUNDUP(MONTH(Cleaned_data[[#This Row],[Order_Date]])/3,0)</f>
        <v>Q3</v>
      </c>
    </row>
    <row r="222" spans="1:36">
      <c r="A222" t="s">
        <v>656</v>
      </c>
      <c r="B222" s="9">
        <v>45522</v>
      </c>
      <c r="C222" s="9">
        <v>45527</v>
      </c>
      <c r="D222" t="s">
        <v>627</v>
      </c>
      <c r="E222" t="s">
        <v>542</v>
      </c>
      <c r="F222" t="s">
        <v>152</v>
      </c>
      <c r="G222" t="s">
        <v>194</v>
      </c>
      <c r="H222" t="s">
        <v>240</v>
      </c>
      <c r="I222" t="s">
        <v>241</v>
      </c>
      <c r="J222" t="s">
        <v>78</v>
      </c>
      <c r="K222" t="s">
        <v>168</v>
      </c>
      <c r="L222" t="s">
        <v>284</v>
      </c>
      <c r="M222" t="s">
        <v>285</v>
      </c>
      <c r="N222" t="s">
        <v>103</v>
      </c>
      <c r="O222" t="s">
        <v>143</v>
      </c>
      <c r="P222" s="8">
        <v>2</v>
      </c>
      <c r="Q222" s="10">
        <v>28.09</v>
      </c>
      <c r="R222" s="11">
        <v>0.1</v>
      </c>
      <c r="S222" s="10">
        <v>12.37</v>
      </c>
      <c r="T222" t="s">
        <v>122</v>
      </c>
      <c r="U222" t="s">
        <v>85</v>
      </c>
      <c r="V222" s="8">
        <v>4</v>
      </c>
      <c r="W222" t="s">
        <v>1270</v>
      </c>
      <c r="X222" t="str">
        <f>_xlfn.XLOOKUP(Cleaned_data[[#This Row],[Customer_ID]],Customers[S],Customers[Loyalty_Tier])</f>
        <v>Gold</v>
      </c>
      <c r="Y222" s="9">
        <f>_xlfn.XLOOKUP(Cleaned_data[[#This Row],[Customer_ID]],Customers[S],Customers[Signup_Date])</f>
        <v>44610</v>
      </c>
      <c r="Z222" s="12">
        <f>_xlfn.XLOOKUP(Cleaned_data[[#This Row],[SKU]],Products[SKU],Products[Standard_Cost])</f>
        <v>14</v>
      </c>
      <c r="AA222" s="10">
        <f>Cleaned_data[[#This Row],[Quantity]]*Cleaned_data[[#This Row],[Unit_Price]]</f>
        <v>56.18</v>
      </c>
      <c r="AB222" s="10">
        <f>Cleaned_data[[#This Row],[Unit_Price]]*Cleaned_data[[#This Row],[Discount_Pct]]</f>
        <v>2.8090000000000002</v>
      </c>
      <c r="AC222" s="10">
        <f>Cleaned_data[[#This Row],[Gross Sales]]-Cleaned_data[[#This Row],[Discount amount]]</f>
        <v>53.371000000000002</v>
      </c>
      <c r="AD222" s="10">
        <f>Cleaned_data[[#This Row],[Product Cost]]*Cleaned_data[[#This Row],[Quantity]]</f>
        <v>28</v>
      </c>
      <c r="AE222" s="10">
        <f>Cleaned_data[[#This Row],[Net Sales]]-Cleaned_data[[#This Row],[COGS]]</f>
        <v>25.371000000000002</v>
      </c>
      <c r="AF222" s="11">
        <f>Cleaned_data[[#This Row],[Gross Profit]]/Cleaned_data[[#This Row],[Net Sales]]</f>
        <v>0.47537051957055332</v>
      </c>
      <c r="AG222">
        <f>Cleaned_data[[#This Row],[Ship_Date]]-Cleaned_data[[#This Row],[Order_Date]]</f>
        <v>5</v>
      </c>
      <c r="AH222" t="str">
        <f>IF(Cleaned_data[[#This Row],[Delivery Days]]&gt;10,"late","on time")</f>
        <v>on time</v>
      </c>
      <c r="AI222" t="str">
        <f>TEXT(Cleaned_data[[#This Row],[Order_Date]],"mmmm")</f>
        <v>August</v>
      </c>
      <c r="AJ222" s="9" t="str">
        <f>"Q"&amp;ROUNDUP(MONTH(Cleaned_data[[#This Row],[Order_Date]])/3,0)</f>
        <v>Q3</v>
      </c>
    </row>
    <row r="223" spans="1:36">
      <c r="A223" t="s">
        <v>657</v>
      </c>
      <c r="B223" s="9">
        <v>45524</v>
      </c>
      <c r="C223" s="9">
        <v>45534</v>
      </c>
      <c r="D223" t="s">
        <v>150</v>
      </c>
      <c r="E223" t="s">
        <v>151</v>
      </c>
      <c r="F223" t="s">
        <v>152</v>
      </c>
      <c r="G223" t="s">
        <v>138</v>
      </c>
      <c r="H223" t="s">
        <v>153</v>
      </c>
      <c r="I223" t="s">
        <v>154</v>
      </c>
      <c r="J223" t="s">
        <v>78</v>
      </c>
      <c r="K223" t="s">
        <v>90</v>
      </c>
      <c r="L223" t="s">
        <v>175</v>
      </c>
      <c r="M223" t="s">
        <v>176</v>
      </c>
      <c r="N223" t="s">
        <v>93</v>
      </c>
      <c r="O223" t="s">
        <v>177</v>
      </c>
      <c r="P223" s="8">
        <v>3</v>
      </c>
      <c r="Q223" s="10">
        <v>175.9</v>
      </c>
      <c r="R223" s="11">
        <v>7.0000000000000007E-2</v>
      </c>
      <c r="S223" s="10">
        <v>25.86</v>
      </c>
      <c r="T223" t="s">
        <v>105</v>
      </c>
      <c r="U223" t="s">
        <v>85</v>
      </c>
      <c r="V223" s="8">
        <v>3</v>
      </c>
      <c r="W223" t="s">
        <v>1270</v>
      </c>
      <c r="X223" t="str">
        <f>_xlfn.XLOOKUP(Cleaned_data[[#This Row],[Customer_ID]],Customers[S],Customers[Loyalty_Tier])</f>
        <v>Platinum</v>
      </c>
      <c r="Y223" s="9">
        <f>_xlfn.XLOOKUP(Cleaned_data[[#This Row],[Customer_ID]],Customers[S],Customers[Signup_Date])</f>
        <v>45858</v>
      </c>
      <c r="Z223" s="12">
        <f>_xlfn.XLOOKUP(Cleaned_data[[#This Row],[SKU]],Products[SKU],Products[Standard_Cost])</f>
        <v>88</v>
      </c>
      <c r="AA223" s="10">
        <f>Cleaned_data[[#This Row],[Quantity]]*Cleaned_data[[#This Row],[Unit_Price]]</f>
        <v>527.70000000000005</v>
      </c>
      <c r="AB223" s="10">
        <f>Cleaned_data[[#This Row],[Unit_Price]]*Cleaned_data[[#This Row],[Discount_Pct]]</f>
        <v>12.313000000000002</v>
      </c>
      <c r="AC223" s="10">
        <f>Cleaned_data[[#This Row],[Gross Sales]]-Cleaned_data[[#This Row],[Discount amount]]</f>
        <v>515.38700000000006</v>
      </c>
      <c r="AD223" s="10">
        <f>Cleaned_data[[#This Row],[Product Cost]]*Cleaned_data[[#This Row],[Quantity]]</f>
        <v>264</v>
      </c>
      <c r="AE223" s="10">
        <f>Cleaned_data[[#This Row],[Net Sales]]-Cleaned_data[[#This Row],[COGS]]</f>
        <v>251.38700000000006</v>
      </c>
      <c r="AF223" s="11">
        <f>Cleaned_data[[#This Row],[Gross Profit]]/Cleaned_data[[#This Row],[Net Sales]]</f>
        <v>0.48776356407903193</v>
      </c>
      <c r="AG223">
        <f>Cleaned_data[[#This Row],[Ship_Date]]-Cleaned_data[[#This Row],[Order_Date]]</f>
        <v>10</v>
      </c>
      <c r="AH223" t="str">
        <f>IF(Cleaned_data[[#This Row],[Delivery Days]]&gt;10,"late","on time")</f>
        <v>on time</v>
      </c>
      <c r="AI223" t="str">
        <f>TEXT(Cleaned_data[[#This Row],[Order_Date]],"mmmm")</f>
        <v>August</v>
      </c>
      <c r="AJ223" s="9" t="str">
        <f>"Q"&amp;ROUNDUP(MONTH(Cleaned_data[[#This Row],[Order_Date]])/3,0)</f>
        <v>Q3</v>
      </c>
    </row>
    <row r="224" spans="1:36">
      <c r="A224" t="s">
        <v>658</v>
      </c>
      <c r="B224" s="9">
        <v>45525</v>
      </c>
      <c r="C224" s="9">
        <v>45532</v>
      </c>
      <c r="D224" t="s">
        <v>659</v>
      </c>
      <c r="E224" t="s">
        <v>660</v>
      </c>
      <c r="F224" t="s">
        <v>74</v>
      </c>
      <c r="G224" t="s">
        <v>126</v>
      </c>
      <c r="H224" t="s">
        <v>291</v>
      </c>
      <c r="I224" t="s">
        <v>292</v>
      </c>
      <c r="J224" t="s">
        <v>78</v>
      </c>
      <c r="K224" t="s">
        <v>168</v>
      </c>
      <c r="L224" t="s">
        <v>118</v>
      </c>
      <c r="M224" t="s">
        <v>119</v>
      </c>
      <c r="N224" t="s">
        <v>120</v>
      </c>
      <c r="O224" t="s">
        <v>121</v>
      </c>
      <c r="P224" s="8">
        <v>2</v>
      </c>
      <c r="Q224" s="10">
        <v>274.79000000000002</v>
      </c>
      <c r="R224" s="11">
        <v>0.22</v>
      </c>
      <c r="S224" s="10">
        <v>11.08</v>
      </c>
      <c r="T224" t="s">
        <v>105</v>
      </c>
      <c r="U224" t="s">
        <v>85</v>
      </c>
      <c r="V224" s="8">
        <v>5</v>
      </c>
      <c r="W224" t="s">
        <v>1270</v>
      </c>
      <c r="X224" t="str">
        <f>_xlfn.XLOOKUP(Cleaned_data[[#This Row],[Customer_ID]],Customers[S],Customers[Loyalty_Tier])</f>
        <v>Bronze</v>
      </c>
      <c r="Y224" s="9">
        <f>_xlfn.XLOOKUP(Cleaned_data[[#This Row],[Customer_ID]],Customers[S],Customers[Signup_Date])</f>
        <v>45255</v>
      </c>
      <c r="Z224" s="12">
        <f>_xlfn.XLOOKUP(Cleaned_data[[#This Row],[SKU]],Products[SKU],Products[Standard_Cost])</f>
        <v>168</v>
      </c>
      <c r="AA224" s="10">
        <f>Cleaned_data[[#This Row],[Quantity]]*Cleaned_data[[#This Row],[Unit_Price]]</f>
        <v>549.58000000000004</v>
      </c>
      <c r="AB224" s="10">
        <f>Cleaned_data[[#This Row],[Unit_Price]]*Cleaned_data[[#This Row],[Discount_Pct]]</f>
        <v>60.453800000000008</v>
      </c>
      <c r="AC224" s="10">
        <f>Cleaned_data[[#This Row],[Gross Sales]]-Cleaned_data[[#This Row],[Discount amount]]</f>
        <v>489.12620000000004</v>
      </c>
      <c r="AD224" s="10">
        <f>Cleaned_data[[#This Row],[Product Cost]]*Cleaned_data[[#This Row],[Quantity]]</f>
        <v>336</v>
      </c>
      <c r="AE224" s="10">
        <f>Cleaned_data[[#This Row],[Net Sales]]-Cleaned_data[[#This Row],[COGS]]</f>
        <v>153.12620000000004</v>
      </c>
      <c r="AF224" s="11">
        <f>Cleaned_data[[#This Row],[Gross Profit]]/Cleaned_data[[#This Row],[Net Sales]]</f>
        <v>0.31306071929902757</v>
      </c>
      <c r="AG224">
        <f>Cleaned_data[[#This Row],[Ship_Date]]-Cleaned_data[[#This Row],[Order_Date]]</f>
        <v>7</v>
      </c>
      <c r="AH224" t="str">
        <f>IF(Cleaned_data[[#This Row],[Delivery Days]]&gt;10,"late","on time")</f>
        <v>on time</v>
      </c>
      <c r="AI224" t="str">
        <f>TEXT(Cleaned_data[[#This Row],[Order_Date]],"mmmm")</f>
        <v>August</v>
      </c>
      <c r="AJ224" s="9" t="str">
        <f>"Q"&amp;ROUNDUP(MONTH(Cleaned_data[[#This Row],[Order_Date]])/3,0)</f>
        <v>Q3</v>
      </c>
    </row>
    <row r="225" spans="1:36">
      <c r="A225" t="s">
        <v>661</v>
      </c>
      <c r="B225" s="9">
        <v>45529</v>
      </c>
      <c r="C225" s="9">
        <v>45530</v>
      </c>
      <c r="D225" t="s">
        <v>341</v>
      </c>
      <c r="E225" t="s">
        <v>342</v>
      </c>
      <c r="F225" t="s">
        <v>89</v>
      </c>
      <c r="G225" t="s">
        <v>138</v>
      </c>
      <c r="H225" t="s">
        <v>186</v>
      </c>
      <c r="I225" t="s">
        <v>187</v>
      </c>
      <c r="J225" t="s">
        <v>219</v>
      </c>
      <c r="K225" t="s">
        <v>130</v>
      </c>
      <c r="L225" t="s">
        <v>220</v>
      </c>
      <c r="M225" t="s">
        <v>221</v>
      </c>
      <c r="N225" t="s">
        <v>93</v>
      </c>
      <c r="O225" t="s">
        <v>177</v>
      </c>
      <c r="P225" s="8">
        <v>2</v>
      </c>
      <c r="Q225" s="10">
        <v>238.58</v>
      </c>
      <c r="R225" s="11">
        <v>7.0000000000000007E-2</v>
      </c>
      <c r="S225" s="10">
        <v>20.46</v>
      </c>
      <c r="T225" t="s">
        <v>122</v>
      </c>
      <c r="U225" t="s">
        <v>85</v>
      </c>
      <c r="V225" s="8">
        <v>5</v>
      </c>
      <c r="W225" t="s">
        <v>1270</v>
      </c>
      <c r="X225" t="str">
        <f>_xlfn.XLOOKUP(Cleaned_data[[#This Row],[Customer_ID]],Customers[S],Customers[Loyalty_Tier])</f>
        <v>Bronze</v>
      </c>
      <c r="Y225" s="9">
        <f>_xlfn.XLOOKUP(Cleaned_data[[#This Row],[Customer_ID]],Customers[S],Customers[Signup_Date])</f>
        <v>45282</v>
      </c>
      <c r="Z225" s="12">
        <f>_xlfn.XLOOKUP(Cleaned_data[[#This Row],[SKU]],Products[SKU],Products[Standard_Cost])</f>
        <v>118</v>
      </c>
      <c r="AA225" s="10">
        <f>Cleaned_data[[#This Row],[Quantity]]*Cleaned_data[[#This Row],[Unit_Price]]</f>
        <v>477.16</v>
      </c>
      <c r="AB225" s="10">
        <f>Cleaned_data[[#This Row],[Unit_Price]]*Cleaned_data[[#This Row],[Discount_Pct]]</f>
        <v>16.700600000000001</v>
      </c>
      <c r="AC225" s="10">
        <f>Cleaned_data[[#This Row],[Gross Sales]]-Cleaned_data[[#This Row],[Discount amount]]</f>
        <v>460.45940000000002</v>
      </c>
      <c r="AD225" s="10">
        <f>Cleaned_data[[#This Row],[Product Cost]]*Cleaned_data[[#This Row],[Quantity]]</f>
        <v>236</v>
      </c>
      <c r="AE225" s="10">
        <f>Cleaned_data[[#This Row],[Net Sales]]-Cleaned_data[[#This Row],[COGS]]</f>
        <v>224.45940000000002</v>
      </c>
      <c r="AF225" s="11">
        <f>Cleaned_data[[#This Row],[Gross Profit]]/Cleaned_data[[#This Row],[Net Sales]]</f>
        <v>0.4874683848347976</v>
      </c>
      <c r="AG225">
        <f>Cleaned_data[[#This Row],[Ship_Date]]-Cleaned_data[[#This Row],[Order_Date]]</f>
        <v>1</v>
      </c>
      <c r="AH225" t="str">
        <f>IF(Cleaned_data[[#This Row],[Delivery Days]]&gt;10,"late","on time")</f>
        <v>on time</v>
      </c>
      <c r="AI225" t="str">
        <f>TEXT(Cleaned_data[[#This Row],[Order_Date]],"mmmm")</f>
        <v>August</v>
      </c>
      <c r="AJ225" s="9" t="str">
        <f>"Q"&amp;ROUNDUP(MONTH(Cleaned_data[[#This Row],[Order_Date]])/3,0)</f>
        <v>Q3</v>
      </c>
    </row>
    <row r="226" spans="1:36">
      <c r="A226" t="s">
        <v>662</v>
      </c>
      <c r="B226" s="9">
        <v>45529</v>
      </c>
      <c r="C226" s="9">
        <v>45534</v>
      </c>
      <c r="D226" t="s">
        <v>663</v>
      </c>
      <c r="E226" t="s">
        <v>664</v>
      </c>
      <c r="F226" t="s">
        <v>89</v>
      </c>
      <c r="G226" t="s">
        <v>194</v>
      </c>
      <c r="H226" t="s">
        <v>230</v>
      </c>
      <c r="I226" t="s">
        <v>231</v>
      </c>
      <c r="J226" t="s">
        <v>129</v>
      </c>
      <c r="K226" t="s">
        <v>168</v>
      </c>
      <c r="L226" t="s">
        <v>234</v>
      </c>
      <c r="M226" t="s">
        <v>235</v>
      </c>
      <c r="N226" t="s">
        <v>93</v>
      </c>
      <c r="O226" t="s">
        <v>236</v>
      </c>
      <c r="P226" s="8">
        <v>3</v>
      </c>
      <c r="Q226" s="10">
        <v>150.56</v>
      </c>
      <c r="R226" s="11">
        <v>0.02</v>
      </c>
      <c r="S226" s="10">
        <v>19.89</v>
      </c>
      <c r="T226" t="s">
        <v>122</v>
      </c>
      <c r="U226" t="s">
        <v>85</v>
      </c>
      <c r="V226" s="8">
        <v>3</v>
      </c>
      <c r="W226" t="s">
        <v>1270</v>
      </c>
      <c r="X226" t="str">
        <f>_xlfn.XLOOKUP(Cleaned_data[[#This Row],[Customer_ID]],Customers[S],Customers[Loyalty_Tier])</f>
        <v>Bronze</v>
      </c>
      <c r="Y226" s="9">
        <f>_xlfn.XLOOKUP(Cleaned_data[[#This Row],[Customer_ID]],Customers[S],Customers[Signup_Date])</f>
        <v>44975</v>
      </c>
      <c r="Z226" s="12">
        <f>_xlfn.XLOOKUP(Cleaned_data[[#This Row],[SKU]],Products[SKU],Products[Standard_Cost])</f>
        <v>82</v>
      </c>
      <c r="AA226" s="10">
        <f>Cleaned_data[[#This Row],[Quantity]]*Cleaned_data[[#This Row],[Unit_Price]]</f>
        <v>451.68</v>
      </c>
      <c r="AB226" s="10">
        <f>Cleaned_data[[#This Row],[Unit_Price]]*Cleaned_data[[#This Row],[Discount_Pct]]</f>
        <v>3.0112000000000001</v>
      </c>
      <c r="AC226" s="10">
        <f>Cleaned_data[[#This Row],[Gross Sales]]-Cleaned_data[[#This Row],[Discount amount]]</f>
        <v>448.66880000000003</v>
      </c>
      <c r="AD226" s="10">
        <f>Cleaned_data[[#This Row],[Product Cost]]*Cleaned_data[[#This Row],[Quantity]]</f>
        <v>246</v>
      </c>
      <c r="AE226" s="10">
        <f>Cleaned_data[[#This Row],[Net Sales]]-Cleaned_data[[#This Row],[COGS]]</f>
        <v>202.66880000000003</v>
      </c>
      <c r="AF226" s="11">
        <f>Cleaned_data[[#This Row],[Gross Profit]]/Cleaned_data[[#This Row],[Net Sales]]</f>
        <v>0.45171137373492432</v>
      </c>
      <c r="AG226">
        <f>Cleaned_data[[#This Row],[Ship_Date]]-Cleaned_data[[#This Row],[Order_Date]]</f>
        <v>5</v>
      </c>
      <c r="AH226" t="str">
        <f>IF(Cleaned_data[[#This Row],[Delivery Days]]&gt;10,"late","on time")</f>
        <v>on time</v>
      </c>
      <c r="AI226" t="str">
        <f>TEXT(Cleaned_data[[#This Row],[Order_Date]],"mmmm")</f>
        <v>August</v>
      </c>
      <c r="AJ226" s="9" t="str">
        <f>"Q"&amp;ROUNDUP(MONTH(Cleaned_data[[#This Row],[Order_Date]])/3,0)</f>
        <v>Q3</v>
      </c>
    </row>
    <row r="227" spans="1:36">
      <c r="A227" t="s">
        <v>665</v>
      </c>
      <c r="B227" s="9">
        <v>45535</v>
      </c>
      <c r="C227" s="9">
        <v>45542</v>
      </c>
      <c r="D227" t="s">
        <v>627</v>
      </c>
      <c r="E227" t="s">
        <v>542</v>
      </c>
      <c r="F227" t="s">
        <v>152</v>
      </c>
      <c r="G227" t="s">
        <v>194</v>
      </c>
      <c r="H227" t="s">
        <v>240</v>
      </c>
      <c r="I227" t="s">
        <v>241</v>
      </c>
      <c r="J227" t="s">
        <v>109</v>
      </c>
      <c r="K227" t="s">
        <v>90</v>
      </c>
      <c r="L227" t="s">
        <v>175</v>
      </c>
      <c r="M227" t="s">
        <v>176</v>
      </c>
      <c r="N227" t="s">
        <v>93</v>
      </c>
      <c r="O227" t="s">
        <v>177</v>
      </c>
      <c r="P227" s="8">
        <v>1</v>
      </c>
      <c r="Q227" s="10">
        <v>169.69</v>
      </c>
      <c r="R227" s="11">
        <v>0.1</v>
      </c>
      <c r="S227" s="10">
        <v>29.7</v>
      </c>
      <c r="T227" t="s">
        <v>84</v>
      </c>
      <c r="U227" t="s">
        <v>85</v>
      </c>
      <c r="V227" s="8">
        <v>5</v>
      </c>
      <c r="W227" t="s">
        <v>1270</v>
      </c>
      <c r="X227" t="str">
        <f>_xlfn.XLOOKUP(Cleaned_data[[#This Row],[Customer_ID]],Customers[S],Customers[Loyalty_Tier])</f>
        <v>Gold</v>
      </c>
      <c r="Y227" s="9">
        <f>_xlfn.XLOOKUP(Cleaned_data[[#This Row],[Customer_ID]],Customers[S],Customers[Signup_Date])</f>
        <v>44610</v>
      </c>
      <c r="Z227" s="12">
        <f>_xlfn.XLOOKUP(Cleaned_data[[#This Row],[SKU]],Products[SKU],Products[Standard_Cost])</f>
        <v>88</v>
      </c>
      <c r="AA227" s="10">
        <f>Cleaned_data[[#This Row],[Quantity]]*Cleaned_data[[#This Row],[Unit_Price]]</f>
        <v>169.69</v>
      </c>
      <c r="AB227" s="10">
        <f>Cleaned_data[[#This Row],[Unit_Price]]*Cleaned_data[[#This Row],[Discount_Pct]]</f>
        <v>16.969000000000001</v>
      </c>
      <c r="AC227" s="10">
        <f>Cleaned_data[[#This Row],[Gross Sales]]-Cleaned_data[[#This Row],[Discount amount]]</f>
        <v>152.721</v>
      </c>
      <c r="AD227" s="10">
        <f>Cleaned_data[[#This Row],[Product Cost]]*Cleaned_data[[#This Row],[Quantity]]</f>
        <v>88</v>
      </c>
      <c r="AE227" s="10">
        <f>Cleaned_data[[#This Row],[Net Sales]]-Cleaned_data[[#This Row],[COGS]]</f>
        <v>64.721000000000004</v>
      </c>
      <c r="AF227" s="11">
        <f>Cleaned_data[[#This Row],[Gross Profit]]/Cleaned_data[[#This Row],[Net Sales]]</f>
        <v>0.42378585787154355</v>
      </c>
      <c r="AG227">
        <f>Cleaned_data[[#This Row],[Ship_Date]]-Cleaned_data[[#This Row],[Order_Date]]</f>
        <v>7</v>
      </c>
      <c r="AH227" t="str">
        <f>IF(Cleaned_data[[#This Row],[Delivery Days]]&gt;10,"late","on time")</f>
        <v>on time</v>
      </c>
      <c r="AI227" t="str">
        <f>TEXT(Cleaned_data[[#This Row],[Order_Date]],"mmmm")</f>
        <v>August</v>
      </c>
      <c r="AJ227" s="9" t="str">
        <f>"Q"&amp;ROUNDUP(MONTH(Cleaned_data[[#This Row],[Order_Date]])/3,0)</f>
        <v>Q3</v>
      </c>
    </row>
    <row r="228" spans="1:36">
      <c r="A228" t="s">
        <v>666</v>
      </c>
      <c r="B228" s="9">
        <v>45538</v>
      </c>
      <c r="C228" s="9">
        <v>45545</v>
      </c>
      <c r="D228" t="s">
        <v>667</v>
      </c>
      <c r="E228" t="s">
        <v>336</v>
      </c>
      <c r="F228" t="s">
        <v>152</v>
      </c>
      <c r="G228" t="s">
        <v>138</v>
      </c>
      <c r="H228" t="s">
        <v>457</v>
      </c>
      <c r="I228" t="s">
        <v>458</v>
      </c>
      <c r="J228" t="s">
        <v>219</v>
      </c>
      <c r="K228" t="s">
        <v>79</v>
      </c>
      <c r="L228" t="s">
        <v>214</v>
      </c>
      <c r="M228" t="s">
        <v>215</v>
      </c>
      <c r="N228" t="s">
        <v>103</v>
      </c>
      <c r="O228" t="s">
        <v>171</v>
      </c>
      <c r="P228" s="8">
        <v>10</v>
      </c>
      <c r="Q228" s="10">
        <v>12.01</v>
      </c>
      <c r="R228" s="11">
        <v>0.03</v>
      </c>
      <c r="S228" s="10">
        <v>15.24</v>
      </c>
      <c r="T228" t="s">
        <v>84</v>
      </c>
      <c r="U228" t="s">
        <v>85</v>
      </c>
      <c r="V228" s="8">
        <v>4</v>
      </c>
      <c r="W228" t="s">
        <v>1270</v>
      </c>
      <c r="X228" t="str">
        <f>_xlfn.XLOOKUP(Cleaned_data[[#This Row],[Customer_ID]],Customers[S],Customers[Loyalty_Tier])</f>
        <v>Gold</v>
      </c>
      <c r="Y228" s="9">
        <f>_xlfn.XLOOKUP(Cleaned_data[[#This Row],[Customer_ID]],Customers[S],Customers[Signup_Date])</f>
        <v>45372</v>
      </c>
      <c r="Z228" s="12">
        <f>_xlfn.XLOOKUP(Cleaned_data[[#This Row],[SKU]],Products[SKU],Products[Standard_Cost])</f>
        <v>5</v>
      </c>
      <c r="AA228" s="10">
        <f>Cleaned_data[[#This Row],[Quantity]]*Cleaned_data[[#This Row],[Unit_Price]]</f>
        <v>120.1</v>
      </c>
      <c r="AB228" s="10">
        <f>Cleaned_data[[#This Row],[Unit_Price]]*Cleaned_data[[#This Row],[Discount_Pct]]</f>
        <v>0.36029999999999995</v>
      </c>
      <c r="AC228" s="10">
        <f>Cleaned_data[[#This Row],[Gross Sales]]-Cleaned_data[[#This Row],[Discount amount]]</f>
        <v>119.7397</v>
      </c>
      <c r="AD228" s="10">
        <f>Cleaned_data[[#This Row],[Product Cost]]*Cleaned_data[[#This Row],[Quantity]]</f>
        <v>50</v>
      </c>
      <c r="AE228" s="10">
        <f>Cleaned_data[[#This Row],[Net Sales]]-Cleaned_data[[#This Row],[COGS]]</f>
        <v>69.739699999999999</v>
      </c>
      <c r="AF228" s="11">
        <f>Cleaned_data[[#This Row],[Gross Profit]]/Cleaned_data[[#This Row],[Net Sales]]</f>
        <v>0.58242754909190519</v>
      </c>
      <c r="AG228">
        <f>Cleaned_data[[#This Row],[Ship_Date]]-Cleaned_data[[#This Row],[Order_Date]]</f>
        <v>7</v>
      </c>
      <c r="AH228" t="str">
        <f>IF(Cleaned_data[[#This Row],[Delivery Days]]&gt;10,"late","on time")</f>
        <v>on time</v>
      </c>
      <c r="AI228" t="str">
        <f>TEXT(Cleaned_data[[#This Row],[Order_Date]],"mmmm")</f>
        <v>September</v>
      </c>
      <c r="AJ228" s="9" t="str">
        <f>"Q"&amp;ROUNDUP(MONTH(Cleaned_data[[#This Row],[Order_Date]])/3,0)</f>
        <v>Q3</v>
      </c>
    </row>
    <row r="229" spans="1:36">
      <c r="A229" t="s">
        <v>668</v>
      </c>
      <c r="B229" s="9">
        <v>45541</v>
      </c>
      <c r="C229" s="9">
        <v>45550</v>
      </c>
      <c r="D229" t="s">
        <v>586</v>
      </c>
      <c r="E229" t="s">
        <v>587</v>
      </c>
      <c r="F229" t="s">
        <v>89</v>
      </c>
      <c r="G229" t="s">
        <v>138</v>
      </c>
      <c r="H229" t="s">
        <v>139</v>
      </c>
      <c r="I229" t="s">
        <v>140</v>
      </c>
      <c r="J229" t="s">
        <v>129</v>
      </c>
      <c r="K229" t="s">
        <v>90</v>
      </c>
      <c r="L229" t="s">
        <v>155</v>
      </c>
      <c r="M229" t="s">
        <v>156</v>
      </c>
      <c r="N229" t="s">
        <v>82</v>
      </c>
      <c r="O229" t="s">
        <v>112</v>
      </c>
      <c r="P229" s="8">
        <v>9</v>
      </c>
      <c r="Q229" s="10">
        <v>159.61000000000001</v>
      </c>
      <c r="R229" s="11">
        <v>0.03</v>
      </c>
      <c r="S229" s="10">
        <v>10.45</v>
      </c>
      <c r="T229" t="s">
        <v>122</v>
      </c>
      <c r="U229" t="s">
        <v>85</v>
      </c>
      <c r="V229" s="8">
        <v>1</v>
      </c>
      <c r="W229" t="s">
        <v>1270</v>
      </c>
      <c r="X229" t="str">
        <f>_xlfn.XLOOKUP(Cleaned_data[[#This Row],[Customer_ID]],Customers[S],Customers[Loyalty_Tier])</f>
        <v>Silver</v>
      </c>
      <c r="Y229" s="9">
        <f>_xlfn.XLOOKUP(Cleaned_data[[#This Row],[Customer_ID]],Customers[S],Customers[Signup_Date])</f>
        <v>45201</v>
      </c>
      <c r="Z229" s="12">
        <f>_xlfn.XLOOKUP(Cleaned_data[[#This Row],[SKU]],Products[SKU],Products[Standard_Cost])</f>
        <v>82</v>
      </c>
      <c r="AA229" s="10">
        <f>Cleaned_data[[#This Row],[Quantity]]*Cleaned_data[[#This Row],[Unit_Price]]</f>
        <v>1436.4900000000002</v>
      </c>
      <c r="AB229" s="10">
        <f>Cleaned_data[[#This Row],[Unit_Price]]*Cleaned_data[[#This Row],[Discount_Pct]]</f>
        <v>4.7883000000000004</v>
      </c>
      <c r="AC229" s="10">
        <f>Cleaned_data[[#This Row],[Gross Sales]]-Cleaned_data[[#This Row],[Discount amount]]</f>
        <v>1431.7017000000003</v>
      </c>
      <c r="AD229" s="10">
        <f>Cleaned_data[[#This Row],[Product Cost]]*Cleaned_data[[#This Row],[Quantity]]</f>
        <v>738</v>
      </c>
      <c r="AE229" s="10">
        <f>Cleaned_data[[#This Row],[Net Sales]]-Cleaned_data[[#This Row],[COGS]]</f>
        <v>693.7017000000003</v>
      </c>
      <c r="AF229" s="11">
        <f>Cleaned_data[[#This Row],[Gross Profit]]/Cleaned_data[[#This Row],[Net Sales]]</f>
        <v>0.48452949381844007</v>
      </c>
      <c r="AG229">
        <f>Cleaned_data[[#This Row],[Ship_Date]]-Cleaned_data[[#This Row],[Order_Date]]</f>
        <v>9</v>
      </c>
      <c r="AH229" t="str">
        <f>IF(Cleaned_data[[#This Row],[Delivery Days]]&gt;10,"late","on time")</f>
        <v>on time</v>
      </c>
      <c r="AI229" t="str">
        <f>TEXT(Cleaned_data[[#This Row],[Order_Date]],"mmmm")</f>
        <v>September</v>
      </c>
      <c r="AJ229" s="9" t="str">
        <f>"Q"&amp;ROUNDUP(MONTH(Cleaned_data[[#This Row],[Order_Date]])/3,0)</f>
        <v>Q3</v>
      </c>
    </row>
    <row r="230" spans="1:36">
      <c r="A230" t="s">
        <v>669</v>
      </c>
      <c r="B230" s="9">
        <v>45543</v>
      </c>
      <c r="C230" s="9">
        <v>45553</v>
      </c>
      <c r="D230" t="s">
        <v>389</v>
      </c>
      <c r="E230" t="s">
        <v>390</v>
      </c>
      <c r="F230" t="s">
        <v>89</v>
      </c>
      <c r="G230" t="s">
        <v>138</v>
      </c>
      <c r="H230" t="s">
        <v>186</v>
      </c>
      <c r="I230" t="s">
        <v>187</v>
      </c>
      <c r="J230" t="s">
        <v>129</v>
      </c>
      <c r="K230" t="s">
        <v>130</v>
      </c>
      <c r="L230" t="s">
        <v>110</v>
      </c>
      <c r="M230" t="s">
        <v>111</v>
      </c>
      <c r="N230" t="s">
        <v>82</v>
      </c>
      <c r="O230" t="s">
        <v>112</v>
      </c>
      <c r="P230" s="8">
        <v>5</v>
      </c>
      <c r="Q230" s="10">
        <v>304.74</v>
      </c>
      <c r="R230" s="11">
        <v>0.01</v>
      </c>
      <c r="S230" s="10">
        <v>13.15</v>
      </c>
      <c r="T230" t="s">
        <v>105</v>
      </c>
      <c r="U230" t="s">
        <v>85</v>
      </c>
      <c r="W230" t="s">
        <v>1270</v>
      </c>
      <c r="X230" t="str">
        <f>_xlfn.XLOOKUP(Cleaned_data[[#This Row],[Customer_ID]],Customers[S],Customers[Loyalty_Tier])</f>
        <v>Bronze</v>
      </c>
      <c r="Y230" s="9">
        <f>_xlfn.XLOOKUP(Cleaned_data[[#This Row],[Customer_ID]],Customers[S],Customers[Signup_Date])</f>
        <v>45493</v>
      </c>
      <c r="Z230" s="12">
        <f>_xlfn.XLOOKUP(Cleaned_data[[#This Row],[SKU]],Products[SKU],Products[Standard_Cost])</f>
        <v>165</v>
      </c>
      <c r="AA230" s="10">
        <f>Cleaned_data[[#This Row],[Quantity]]*Cleaned_data[[#This Row],[Unit_Price]]</f>
        <v>1523.7</v>
      </c>
      <c r="AB230" s="10">
        <f>Cleaned_data[[#This Row],[Unit_Price]]*Cleaned_data[[#This Row],[Discount_Pct]]</f>
        <v>3.0474000000000001</v>
      </c>
      <c r="AC230" s="10">
        <f>Cleaned_data[[#This Row],[Gross Sales]]-Cleaned_data[[#This Row],[Discount amount]]</f>
        <v>1520.6526000000001</v>
      </c>
      <c r="AD230" s="10">
        <f>Cleaned_data[[#This Row],[Product Cost]]*Cleaned_data[[#This Row],[Quantity]]</f>
        <v>825</v>
      </c>
      <c r="AE230" s="10">
        <f>Cleaned_data[[#This Row],[Net Sales]]-Cleaned_data[[#This Row],[COGS]]</f>
        <v>695.65260000000012</v>
      </c>
      <c r="AF230" s="11">
        <f>Cleaned_data[[#This Row],[Gross Profit]]/Cleaned_data[[#This Row],[Net Sales]]</f>
        <v>0.45746977317501714</v>
      </c>
      <c r="AG230">
        <f>Cleaned_data[[#This Row],[Ship_Date]]-Cleaned_data[[#This Row],[Order_Date]]</f>
        <v>10</v>
      </c>
      <c r="AH230" t="str">
        <f>IF(Cleaned_data[[#This Row],[Delivery Days]]&gt;10,"late","on time")</f>
        <v>on time</v>
      </c>
      <c r="AI230" t="str">
        <f>TEXT(Cleaned_data[[#This Row],[Order_Date]],"mmmm")</f>
        <v>September</v>
      </c>
      <c r="AJ230" s="9" t="str">
        <f>"Q"&amp;ROUNDUP(MONTH(Cleaned_data[[#This Row],[Order_Date]])/3,0)</f>
        <v>Q3</v>
      </c>
    </row>
    <row r="231" spans="1:36">
      <c r="A231" t="s">
        <v>670</v>
      </c>
      <c r="B231" s="9">
        <v>45544</v>
      </c>
      <c r="C231" s="9">
        <v>45549</v>
      </c>
      <c r="D231" t="s">
        <v>350</v>
      </c>
      <c r="E231" t="s">
        <v>351</v>
      </c>
      <c r="F231" t="s">
        <v>152</v>
      </c>
      <c r="G231" t="s">
        <v>126</v>
      </c>
      <c r="H231" t="s">
        <v>160</v>
      </c>
      <c r="I231" t="s">
        <v>182</v>
      </c>
      <c r="J231" t="s">
        <v>129</v>
      </c>
      <c r="K231" t="s">
        <v>168</v>
      </c>
      <c r="L231" t="s">
        <v>337</v>
      </c>
      <c r="M231" t="s">
        <v>338</v>
      </c>
      <c r="N231" t="s">
        <v>93</v>
      </c>
      <c r="O231" t="s">
        <v>236</v>
      </c>
      <c r="P231" s="8">
        <v>2</v>
      </c>
      <c r="Q231" s="10">
        <v>271.18</v>
      </c>
      <c r="R231" s="11">
        <v>0.23</v>
      </c>
      <c r="S231" s="10">
        <v>27.19</v>
      </c>
      <c r="T231" t="s">
        <v>105</v>
      </c>
      <c r="U231" t="s">
        <v>85</v>
      </c>
      <c r="V231" s="8">
        <v>5</v>
      </c>
      <c r="W231" t="s">
        <v>1270</v>
      </c>
      <c r="X231" t="str">
        <f>_xlfn.XLOOKUP(Cleaned_data[[#This Row],[Customer_ID]],Customers[S],Customers[Loyalty_Tier])</f>
        <v>Bronze</v>
      </c>
      <c r="Y231" s="9">
        <f>_xlfn.XLOOKUP(Cleaned_data[[#This Row],[Customer_ID]],Customers[S],Customers[Signup_Date])</f>
        <v>45115</v>
      </c>
      <c r="Z231" s="12">
        <f>_xlfn.XLOOKUP(Cleaned_data[[#This Row],[SKU]],Products[SKU],Products[Standard_Cost])</f>
        <v>146</v>
      </c>
      <c r="AA231" s="10">
        <f>Cleaned_data[[#This Row],[Quantity]]*Cleaned_data[[#This Row],[Unit_Price]]</f>
        <v>542.36</v>
      </c>
      <c r="AB231" s="10">
        <f>Cleaned_data[[#This Row],[Unit_Price]]*Cleaned_data[[#This Row],[Discount_Pct]]</f>
        <v>62.371400000000001</v>
      </c>
      <c r="AC231" s="10">
        <f>Cleaned_data[[#This Row],[Gross Sales]]-Cleaned_data[[#This Row],[Discount amount]]</f>
        <v>479.98860000000002</v>
      </c>
      <c r="AD231" s="10">
        <f>Cleaned_data[[#This Row],[Product Cost]]*Cleaned_data[[#This Row],[Quantity]]</f>
        <v>292</v>
      </c>
      <c r="AE231" s="10">
        <f>Cleaned_data[[#This Row],[Net Sales]]-Cleaned_data[[#This Row],[COGS]]</f>
        <v>187.98860000000002</v>
      </c>
      <c r="AF231" s="11">
        <f>Cleaned_data[[#This Row],[Gross Profit]]/Cleaned_data[[#This Row],[Net Sales]]</f>
        <v>0.39165221840685388</v>
      </c>
      <c r="AG231">
        <f>Cleaned_data[[#This Row],[Ship_Date]]-Cleaned_data[[#This Row],[Order_Date]]</f>
        <v>5</v>
      </c>
      <c r="AH231" t="str">
        <f>IF(Cleaned_data[[#This Row],[Delivery Days]]&gt;10,"late","on time")</f>
        <v>on time</v>
      </c>
      <c r="AI231" t="str">
        <f>TEXT(Cleaned_data[[#This Row],[Order_Date]],"mmmm")</f>
        <v>September</v>
      </c>
      <c r="AJ231" s="9" t="str">
        <f>"Q"&amp;ROUNDUP(MONTH(Cleaned_data[[#This Row],[Order_Date]])/3,0)</f>
        <v>Q3</v>
      </c>
    </row>
    <row r="232" spans="1:36">
      <c r="A232" t="s">
        <v>671</v>
      </c>
      <c r="B232" s="9">
        <v>45545</v>
      </c>
      <c r="C232" s="9">
        <v>45554</v>
      </c>
      <c r="D232" t="s">
        <v>271</v>
      </c>
      <c r="E232" t="s">
        <v>272</v>
      </c>
      <c r="F232" t="s">
        <v>89</v>
      </c>
      <c r="G232" t="s">
        <v>75</v>
      </c>
      <c r="H232" t="s">
        <v>273</v>
      </c>
      <c r="I232" t="s">
        <v>274</v>
      </c>
      <c r="J232" t="s">
        <v>219</v>
      </c>
      <c r="K232" t="s">
        <v>90</v>
      </c>
      <c r="L232" t="s">
        <v>261</v>
      </c>
      <c r="M232" t="s">
        <v>262</v>
      </c>
      <c r="N232" t="s">
        <v>103</v>
      </c>
      <c r="O232" t="s">
        <v>104</v>
      </c>
      <c r="P232" s="8">
        <v>4</v>
      </c>
      <c r="Q232" s="10">
        <v>25.75</v>
      </c>
      <c r="R232" s="11">
        <v>0.01</v>
      </c>
      <c r="S232" s="10">
        <v>5.57</v>
      </c>
      <c r="T232" t="s">
        <v>122</v>
      </c>
      <c r="U232" t="s">
        <v>85</v>
      </c>
      <c r="V232" s="8">
        <v>1</v>
      </c>
      <c r="W232" t="s">
        <v>1270</v>
      </c>
      <c r="X232" t="str">
        <f>_xlfn.XLOOKUP(Cleaned_data[[#This Row],[Customer_ID]],Customers[S],Customers[Loyalty_Tier])</f>
        <v>Silver</v>
      </c>
      <c r="Y232" s="9">
        <f>_xlfn.XLOOKUP(Cleaned_data[[#This Row],[Customer_ID]],Customers[S],Customers[Signup_Date])</f>
        <v>44909</v>
      </c>
      <c r="Z232" s="12">
        <f>_xlfn.XLOOKUP(Cleaned_data[[#This Row],[SKU]],Products[SKU],Products[Standard_Cost])</f>
        <v>12</v>
      </c>
      <c r="AA232" s="10">
        <f>Cleaned_data[[#This Row],[Quantity]]*Cleaned_data[[#This Row],[Unit_Price]]</f>
        <v>103</v>
      </c>
      <c r="AB232" s="10">
        <f>Cleaned_data[[#This Row],[Unit_Price]]*Cleaned_data[[#This Row],[Discount_Pct]]</f>
        <v>0.25750000000000001</v>
      </c>
      <c r="AC232" s="10">
        <f>Cleaned_data[[#This Row],[Gross Sales]]-Cleaned_data[[#This Row],[Discount amount]]</f>
        <v>102.74250000000001</v>
      </c>
      <c r="AD232" s="10">
        <f>Cleaned_data[[#This Row],[Product Cost]]*Cleaned_data[[#This Row],[Quantity]]</f>
        <v>48</v>
      </c>
      <c r="AE232" s="10">
        <f>Cleaned_data[[#This Row],[Net Sales]]-Cleaned_data[[#This Row],[COGS]]</f>
        <v>54.742500000000007</v>
      </c>
      <c r="AF232" s="11">
        <f>Cleaned_data[[#This Row],[Gross Profit]]/Cleaned_data[[#This Row],[Net Sales]]</f>
        <v>0.53281261405942038</v>
      </c>
      <c r="AG232">
        <f>Cleaned_data[[#This Row],[Ship_Date]]-Cleaned_data[[#This Row],[Order_Date]]</f>
        <v>9</v>
      </c>
      <c r="AH232" t="str">
        <f>IF(Cleaned_data[[#This Row],[Delivery Days]]&gt;10,"late","on time")</f>
        <v>on time</v>
      </c>
      <c r="AI232" t="str">
        <f>TEXT(Cleaned_data[[#This Row],[Order_Date]],"mmmm")</f>
        <v>September</v>
      </c>
      <c r="AJ232" s="9" t="str">
        <f>"Q"&amp;ROUNDUP(MONTH(Cleaned_data[[#This Row],[Order_Date]])/3,0)</f>
        <v>Q3</v>
      </c>
    </row>
    <row r="233" spans="1:36">
      <c r="A233" t="s">
        <v>672</v>
      </c>
      <c r="B233" s="9">
        <v>45545</v>
      </c>
      <c r="C233" s="9">
        <v>45554</v>
      </c>
      <c r="D233" t="s">
        <v>454</v>
      </c>
      <c r="E233" t="s">
        <v>329</v>
      </c>
      <c r="F233" t="s">
        <v>89</v>
      </c>
      <c r="G233" t="s">
        <v>75</v>
      </c>
      <c r="H233" t="s">
        <v>212</v>
      </c>
      <c r="I233" t="s">
        <v>213</v>
      </c>
      <c r="J233" t="s">
        <v>129</v>
      </c>
      <c r="K233" t="s">
        <v>168</v>
      </c>
      <c r="L233" t="s">
        <v>91</v>
      </c>
      <c r="M233" t="s">
        <v>92</v>
      </c>
      <c r="N233" t="s">
        <v>93</v>
      </c>
      <c r="O233" t="s">
        <v>94</v>
      </c>
      <c r="P233" s="8">
        <v>3</v>
      </c>
      <c r="Q233" s="10">
        <v>342.69</v>
      </c>
      <c r="R233" s="11">
        <v>0.08</v>
      </c>
      <c r="S233" s="10">
        <v>27.07</v>
      </c>
      <c r="T233" t="s">
        <v>122</v>
      </c>
      <c r="U233" t="s">
        <v>148</v>
      </c>
      <c r="W233" t="s">
        <v>1270</v>
      </c>
      <c r="X233" t="str">
        <f>_xlfn.XLOOKUP(Cleaned_data[[#This Row],[Customer_ID]],Customers[S],Customers[Loyalty_Tier])</f>
        <v>Gold</v>
      </c>
      <c r="Y233" s="9">
        <f>_xlfn.XLOOKUP(Cleaned_data[[#This Row],[Customer_ID]],Customers[S],Customers[Signup_Date])</f>
        <v>45538</v>
      </c>
      <c r="Z233" s="12">
        <f>_xlfn.XLOOKUP(Cleaned_data[[#This Row],[SKU]],Products[SKU],Products[Standard_Cost])</f>
        <v>184</v>
      </c>
      <c r="AA233" s="10">
        <f>Cleaned_data[[#This Row],[Quantity]]*Cleaned_data[[#This Row],[Unit_Price]]</f>
        <v>1028.07</v>
      </c>
      <c r="AB233" s="10">
        <f>Cleaned_data[[#This Row],[Unit_Price]]*Cleaned_data[[#This Row],[Discount_Pct]]</f>
        <v>27.415199999999999</v>
      </c>
      <c r="AC233" s="10">
        <f>Cleaned_data[[#This Row],[Gross Sales]]-Cleaned_data[[#This Row],[Discount amount]]</f>
        <v>1000.6547999999999</v>
      </c>
      <c r="AD233" s="10">
        <f>Cleaned_data[[#This Row],[Product Cost]]*Cleaned_data[[#This Row],[Quantity]]</f>
        <v>552</v>
      </c>
      <c r="AE233" s="10">
        <f>Cleaned_data[[#This Row],[Net Sales]]-Cleaned_data[[#This Row],[COGS]]</f>
        <v>448.65479999999991</v>
      </c>
      <c r="AF233" s="11">
        <f>Cleaned_data[[#This Row],[Gross Profit]]/Cleaned_data[[#This Row],[Net Sales]]</f>
        <v>0.44836121307767668</v>
      </c>
      <c r="AG233">
        <f>Cleaned_data[[#This Row],[Ship_Date]]-Cleaned_data[[#This Row],[Order_Date]]</f>
        <v>9</v>
      </c>
      <c r="AH233" t="str">
        <f>IF(Cleaned_data[[#This Row],[Delivery Days]]&gt;10,"late","on time")</f>
        <v>on time</v>
      </c>
      <c r="AI233" t="str">
        <f>TEXT(Cleaned_data[[#This Row],[Order_Date]],"mmmm")</f>
        <v>September</v>
      </c>
      <c r="AJ233" s="9" t="str">
        <f>"Q"&amp;ROUNDUP(MONTH(Cleaned_data[[#This Row],[Order_Date]])/3,0)</f>
        <v>Q3</v>
      </c>
    </row>
    <row r="234" spans="1:36">
      <c r="A234" t="s">
        <v>673</v>
      </c>
      <c r="B234" s="9">
        <v>45546</v>
      </c>
      <c r="C234" s="9">
        <v>45555</v>
      </c>
      <c r="D234" t="s">
        <v>522</v>
      </c>
      <c r="E234" t="s">
        <v>512</v>
      </c>
      <c r="F234" t="s">
        <v>74</v>
      </c>
      <c r="G234" t="s">
        <v>194</v>
      </c>
      <c r="H234" t="s">
        <v>230</v>
      </c>
      <c r="I234" t="s">
        <v>231</v>
      </c>
      <c r="J234" t="s">
        <v>109</v>
      </c>
      <c r="K234" t="s">
        <v>100</v>
      </c>
      <c r="L234" t="s">
        <v>101</v>
      </c>
      <c r="M234" t="s">
        <v>102</v>
      </c>
      <c r="N234" t="s">
        <v>103</v>
      </c>
      <c r="O234" t="s">
        <v>104</v>
      </c>
      <c r="P234" s="8">
        <v>9</v>
      </c>
      <c r="Q234" s="10">
        <v>75.53</v>
      </c>
      <c r="R234" s="11">
        <v>0.02</v>
      </c>
      <c r="S234" s="10">
        <v>13.1</v>
      </c>
      <c r="T234" t="s">
        <v>105</v>
      </c>
      <c r="U234" t="s">
        <v>85</v>
      </c>
      <c r="V234" s="8">
        <v>4</v>
      </c>
      <c r="W234" t="s">
        <v>1270</v>
      </c>
      <c r="X234" t="str">
        <f>_xlfn.XLOOKUP(Cleaned_data[[#This Row],[Customer_ID]],Customers[S],Customers[Loyalty_Tier])</f>
        <v>Silver</v>
      </c>
      <c r="Y234" s="9">
        <f>_xlfn.XLOOKUP(Cleaned_data[[#This Row],[Customer_ID]],Customers[S],Customers[Signup_Date])</f>
        <v>44653</v>
      </c>
      <c r="Z234" s="12">
        <f>_xlfn.XLOOKUP(Cleaned_data[[#This Row],[SKU]],Products[SKU],Products[Standard_Cost])</f>
        <v>36</v>
      </c>
      <c r="AA234" s="10">
        <f>Cleaned_data[[#This Row],[Quantity]]*Cleaned_data[[#This Row],[Unit_Price]]</f>
        <v>679.77</v>
      </c>
      <c r="AB234" s="10">
        <f>Cleaned_data[[#This Row],[Unit_Price]]*Cleaned_data[[#This Row],[Discount_Pct]]</f>
        <v>1.5106000000000002</v>
      </c>
      <c r="AC234" s="10">
        <f>Cleaned_data[[#This Row],[Gross Sales]]-Cleaned_data[[#This Row],[Discount amount]]</f>
        <v>678.25940000000003</v>
      </c>
      <c r="AD234" s="10">
        <f>Cleaned_data[[#This Row],[Product Cost]]*Cleaned_data[[#This Row],[Quantity]]</f>
        <v>324</v>
      </c>
      <c r="AE234" s="10">
        <f>Cleaned_data[[#This Row],[Net Sales]]-Cleaned_data[[#This Row],[COGS]]</f>
        <v>354.25940000000003</v>
      </c>
      <c r="AF234" s="11">
        <f>Cleaned_data[[#This Row],[Gross Profit]]/Cleaned_data[[#This Row],[Net Sales]]</f>
        <v>0.52230665730544978</v>
      </c>
      <c r="AG234">
        <f>Cleaned_data[[#This Row],[Ship_Date]]-Cleaned_data[[#This Row],[Order_Date]]</f>
        <v>9</v>
      </c>
      <c r="AH234" t="str">
        <f>IF(Cleaned_data[[#This Row],[Delivery Days]]&gt;10,"late","on time")</f>
        <v>on time</v>
      </c>
      <c r="AI234" t="str">
        <f>TEXT(Cleaned_data[[#This Row],[Order_Date]],"mmmm")</f>
        <v>September</v>
      </c>
      <c r="AJ234" s="9" t="str">
        <f>"Q"&amp;ROUNDUP(MONTH(Cleaned_data[[#This Row],[Order_Date]])/3,0)</f>
        <v>Q3</v>
      </c>
    </row>
    <row r="235" spans="1:36">
      <c r="A235" t="s">
        <v>674</v>
      </c>
      <c r="B235" s="9">
        <v>45549</v>
      </c>
      <c r="C235" s="9">
        <v>45559</v>
      </c>
      <c r="D235" t="s">
        <v>504</v>
      </c>
      <c r="E235" t="s">
        <v>505</v>
      </c>
      <c r="F235" t="s">
        <v>74</v>
      </c>
      <c r="G235" t="s">
        <v>126</v>
      </c>
      <c r="H235" t="s">
        <v>160</v>
      </c>
      <c r="I235" t="s">
        <v>161</v>
      </c>
      <c r="J235" t="s">
        <v>78</v>
      </c>
      <c r="K235" t="s">
        <v>100</v>
      </c>
      <c r="L235" t="s">
        <v>301</v>
      </c>
      <c r="M235" t="s">
        <v>302</v>
      </c>
      <c r="N235" t="s">
        <v>120</v>
      </c>
      <c r="O235" t="s">
        <v>190</v>
      </c>
      <c r="P235" s="8">
        <v>1</v>
      </c>
      <c r="Q235" s="10">
        <v>141.57</v>
      </c>
      <c r="R235" s="11">
        <v>0.03</v>
      </c>
      <c r="S235" s="10">
        <v>12.09</v>
      </c>
      <c r="T235" t="s">
        <v>122</v>
      </c>
      <c r="U235" t="s">
        <v>85</v>
      </c>
      <c r="V235" s="8">
        <v>3</v>
      </c>
      <c r="W235" t="s">
        <v>1270</v>
      </c>
      <c r="X235" t="str">
        <f>_xlfn.XLOOKUP(Cleaned_data[[#This Row],[Customer_ID]],Customers[S],Customers[Loyalty_Tier])</f>
        <v>Bronze</v>
      </c>
      <c r="Y235" s="9">
        <f>_xlfn.XLOOKUP(Cleaned_data[[#This Row],[Customer_ID]],Customers[S],Customers[Signup_Date])</f>
        <v>44699</v>
      </c>
      <c r="Z235" s="12">
        <f>_xlfn.XLOOKUP(Cleaned_data[[#This Row],[SKU]],Products[SKU],Products[Standard_Cost])</f>
        <v>72</v>
      </c>
      <c r="AA235" s="10">
        <f>Cleaned_data[[#This Row],[Quantity]]*Cleaned_data[[#This Row],[Unit_Price]]</f>
        <v>141.57</v>
      </c>
      <c r="AB235" s="10">
        <f>Cleaned_data[[#This Row],[Unit_Price]]*Cleaned_data[[#This Row],[Discount_Pct]]</f>
        <v>4.2470999999999997</v>
      </c>
      <c r="AC235" s="10">
        <f>Cleaned_data[[#This Row],[Gross Sales]]-Cleaned_data[[#This Row],[Discount amount]]</f>
        <v>137.3229</v>
      </c>
      <c r="AD235" s="10">
        <f>Cleaned_data[[#This Row],[Product Cost]]*Cleaned_data[[#This Row],[Quantity]]</f>
        <v>72</v>
      </c>
      <c r="AE235" s="10">
        <f>Cleaned_data[[#This Row],[Net Sales]]-Cleaned_data[[#This Row],[COGS]]</f>
        <v>65.322900000000004</v>
      </c>
      <c r="AF235" s="11">
        <f>Cleaned_data[[#This Row],[Gross Profit]]/Cleaned_data[[#This Row],[Net Sales]]</f>
        <v>0.47568832292356195</v>
      </c>
      <c r="AG235">
        <f>Cleaned_data[[#This Row],[Ship_Date]]-Cleaned_data[[#This Row],[Order_Date]]</f>
        <v>10</v>
      </c>
      <c r="AH235" t="str">
        <f>IF(Cleaned_data[[#This Row],[Delivery Days]]&gt;10,"late","on time")</f>
        <v>on time</v>
      </c>
      <c r="AI235" t="str">
        <f>TEXT(Cleaned_data[[#This Row],[Order_Date]],"mmmm")</f>
        <v>September</v>
      </c>
      <c r="AJ235" s="9" t="str">
        <f>"Q"&amp;ROUNDUP(MONTH(Cleaned_data[[#This Row],[Order_Date]])/3,0)</f>
        <v>Q3</v>
      </c>
    </row>
    <row r="236" spans="1:36">
      <c r="A236" t="s">
        <v>675</v>
      </c>
      <c r="B236" s="9">
        <v>45551</v>
      </c>
      <c r="C236" s="9">
        <v>45556</v>
      </c>
      <c r="D236" t="s">
        <v>368</v>
      </c>
      <c r="E236" t="s">
        <v>369</v>
      </c>
      <c r="F236" t="s">
        <v>89</v>
      </c>
      <c r="G236" t="s">
        <v>194</v>
      </c>
      <c r="H236" t="s">
        <v>240</v>
      </c>
      <c r="I236" t="s">
        <v>241</v>
      </c>
      <c r="J236" t="s">
        <v>129</v>
      </c>
      <c r="K236" t="s">
        <v>90</v>
      </c>
      <c r="L236" t="s">
        <v>207</v>
      </c>
      <c r="M236" t="s">
        <v>208</v>
      </c>
      <c r="N236" t="s">
        <v>120</v>
      </c>
      <c r="O236" t="s">
        <v>164</v>
      </c>
      <c r="P236" s="8">
        <v>4</v>
      </c>
      <c r="Q236" s="10">
        <v>1377.16</v>
      </c>
      <c r="R236" s="11">
        <v>0.04</v>
      </c>
      <c r="S236" s="10">
        <v>21</v>
      </c>
      <c r="T236" t="s">
        <v>84</v>
      </c>
      <c r="U236" t="s">
        <v>85</v>
      </c>
      <c r="V236" s="8">
        <v>2</v>
      </c>
      <c r="W236" t="s">
        <v>1270</v>
      </c>
      <c r="X236" t="str">
        <f>_xlfn.XLOOKUP(Cleaned_data[[#This Row],[Customer_ID]],Customers[S],Customers[Loyalty_Tier])</f>
        <v>Platinum</v>
      </c>
      <c r="Y236" s="9">
        <f>_xlfn.XLOOKUP(Cleaned_data[[#This Row],[Customer_ID]],Customers[S],Customers[Signup_Date])</f>
        <v>45670</v>
      </c>
      <c r="Z236" s="12">
        <f>_xlfn.XLOOKUP(Cleaned_data[[#This Row],[SKU]],Products[SKU],Products[Standard_Cost])</f>
        <v>885</v>
      </c>
      <c r="AA236" s="10">
        <f>Cleaned_data[[#This Row],[Quantity]]*Cleaned_data[[#This Row],[Unit_Price]]</f>
        <v>5508.64</v>
      </c>
      <c r="AB236" s="10">
        <f>Cleaned_data[[#This Row],[Unit_Price]]*Cleaned_data[[#This Row],[Discount_Pct]]</f>
        <v>55.086400000000005</v>
      </c>
      <c r="AC236" s="10">
        <f>Cleaned_data[[#This Row],[Gross Sales]]-Cleaned_data[[#This Row],[Discount amount]]</f>
        <v>5453.5536000000002</v>
      </c>
      <c r="AD236" s="10">
        <f>Cleaned_data[[#This Row],[Product Cost]]*Cleaned_data[[#This Row],[Quantity]]</f>
        <v>3540</v>
      </c>
      <c r="AE236" s="10">
        <f>Cleaned_data[[#This Row],[Net Sales]]-Cleaned_data[[#This Row],[COGS]]</f>
        <v>1913.5536000000002</v>
      </c>
      <c r="AF236" s="11">
        <f>Cleaned_data[[#This Row],[Gross Profit]]/Cleaned_data[[#This Row],[Net Sales]]</f>
        <v>0.35088196437640223</v>
      </c>
      <c r="AG236">
        <f>Cleaned_data[[#This Row],[Ship_Date]]-Cleaned_data[[#This Row],[Order_Date]]</f>
        <v>5</v>
      </c>
      <c r="AH236" t="str">
        <f>IF(Cleaned_data[[#This Row],[Delivery Days]]&gt;10,"late","on time")</f>
        <v>on time</v>
      </c>
      <c r="AI236" t="str">
        <f>TEXT(Cleaned_data[[#This Row],[Order_Date]],"mmmm")</f>
        <v>September</v>
      </c>
      <c r="AJ236" s="9" t="str">
        <f>"Q"&amp;ROUNDUP(MONTH(Cleaned_data[[#This Row],[Order_Date]])/3,0)</f>
        <v>Q3</v>
      </c>
    </row>
    <row r="237" spans="1:36">
      <c r="A237" t="s">
        <v>676</v>
      </c>
      <c r="B237" s="9">
        <v>45553</v>
      </c>
      <c r="C237" s="9">
        <v>45561</v>
      </c>
      <c r="D237" t="s">
        <v>677</v>
      </c>
      <c r="E237" t="s">
        <v>678</v>
      </c>
      <c r="F237" t="s">
        <v>152</v>
      </c>
      <c r="G237" t="s">
        <v>138</v>
      </c>
      <c r="H237" t="s">
        <v>347</v>
      </c>
      <c r="I237" t="s">
        <v>348</v>
      </c>
      <c r="J237" t="s">
        <v>219</v>
      </c>
      <c r="K237" t="s">
        <v>90</v>
      </c>
      <c r="L237" t="s">
        <v>207</v>
      </c>
      <c r="M237" t="s">
        <v>208</v>
      </c>
      <c r="N237" t="s">
        <v>120</v>
      </c>
      <c r="O237" t="s">
        <v>164</v>
      </c>
      <c r="P237" s="8">
        <v>1</v>
      </c>
      <c r="Q237" s="10">
        <v>1359.78</v>
      </c>
      <c r="R237" s="11">
        <v>0.03</v>
      </c>
      <c r="S237" s="10">
        <v>7.49</v>
      </c>
      <c r="T237" t="s">
        <v>134</v>
      </c>
      <c r="U237" t="s">
        <v>85</v>
      </c>
      <c r="V237" s="8">
        <v>2</v>
      </c>
      <c r="W237" t="s">
        <v>1270</v>
      </c>
      <c r="X237" t="str">
        <f>_xlfn.XLOOKUP(Cleaned_data[[#This Row],[Customer_ID]],Customers[S],Customers[Loyalty_Tier])</f>
        <v>Platinum</v>
      </c>
      <c r="Y237" s="9">
        <f>_xlfn.XLOOKUP(Cleaned_data[[#This Row],[Customer_ID]],Customers[S],Customers[Signup_Date])</f>
        <v>44219</v>
      </c>
      <c r="Z237" s="12">
        <f>_xlfn.XLOOKUP(Cleaned_data[[#This Row],[SKU]],Products[SKU],Products[Standard_Cost])</f>
        <v>885</v>
      </c>
      <c r="AA237" s="10">
        <f>Cleaned_data[[#This Row],[Quantity]]*Cleaned_data[[#This Row],[Unit_Price]]</f>
        <v>1359.78</v>
      </c>
      <c r="AB237" s="10">
        <f>Cleaned_data[[#This Row],[Unit_Price]]*Cleaned_data[[#This Row],[Discount_Pct]]</f>
        <v>40.793399999999998</v>
      </c>
      <c r="AC237" s="10">
        <f>Cleaned_data[[#This Row],[Gross Sales]]-Cleaned_data[[#This Row],[Discount amount]]</f>
        <v>1318.9866</v>
      </c>
      <c r="AD237" s="10">
        <f>Cleaned_data[[#This Row],[Product Cost]]*Cleaned_data[[#This Row],[Quantity]]</f>
        <v>885</v>
      </c>
      <c r="AE237" s="10">
        <f>Cleaned_data[[#This Row],[Net Sales]]-Cleaned_data[[#This Row],[COGS]]</f>
        <v>433.98659999999995</v>
      </c>
      <c r="AF237" s="11">
        <f>Cleaned_data[[#This Row],[Gross Profit]]/Cleaned_data[[#This Row],[Net Sales]]</f>
        <v>0.32903033283279753</v>
      </c>
      <c r="AG237">
        <f>Cleaned_data[[#This Row],[Ship_Date]]-Cleaned_data[[#This Row],[Order_Date]]</f>
        <v>8</v>
      </c>
      <c r="AH237" t="str">
        <f>IF(Cleaned_data[[#This Row],[Delivery Days]]&gt;10,"late","on time")</f>
        <v>on time</v>
      </c>
      <c r="AI237" t="str">
        <f>TEXT(Cleaned_data[[#This Row],[Order_Date]],"mmmm")</f>
        <v>September</v>
      </c>
      <c r="AJ237" s="9" t="str">
        <f>"Q"&amp;ROUNDUP(MONTH(Cleaned_data[[#This Row],[Order_Date]])/3,0)</f>
        <v>Q3</v>
      </c>
    </row>
    <row r="238" spans="1:36">
      <c r="A238" t="s">
        <v>679</v>
      </c>
      <c r="B238" s="9">
        <v>45554</v>
      </c>
      <c r="C238" s="9">
        <v>45561</v>
      </c>
      <c r="D238" t="s">
        <v>223</v>
      </c>
      <c r="E238" t="s">
        <v>224</v>
      </c>
      <c r="F238" t="s">
        <v>152</v>
      </c>
      <c r="G238" t="s">
        <v>194</v>
      </c>
      <c r="H238" t="s">
        <v>225</v>
      </c>
      <c r="I238" t="s">
        <v>226</v>
      </c>
      <c r="J238" t="s">
        <v>129</v>
      </c>
      <c r="K238" t="s">
        <v>100</v>
      </c>
      <c r="L238" t="s">
        <v>431</v>
      </c>
      <c r="M238" t="s">
        <v>432</v>
      </c>
      <c r="N238" t="s">
        <v>103</v>
      </c>
      <c r="O238" t="s">
        <v>251</v>
      </c>
      <c r="P238" s="8">
        <v>9</v>
      </c>
      <c r="Q238" s="10">
        <v>39.1</v>
      </c>
      <c r="R238" s="11">
        <v>0.1</v>
      </c>
      <c r="S238" s="10">
        <v>5.8</v>
      </c>
      <c r="T238" t="s">
        <v>134</v>
      </c>
      <c r="U238" t="s">
        <v>85</v>
      </c>
      <c r="V238" s="8">
        <v>5</v>
      </c>
      <c r="W238" t="s">
        <v>1270</v>
      </c>
      <c r="X238" t="str">
        <f>_xlfn.XLOOKUP(Cleaned_data[[#This Row],[Customer_ID]],Customers[S],Customers[Loyalty_Tier])</f>
        <v>Platinum</v>
      </c>
      <c r="Y238" s="9">
        <f>_xlfn.XLOOKUP(Cleaned_data[[#This Row],[Customer_ID]],Customers[S],Customers[Signup_Date])</f>
        <v>45171</v>
      </c>
      <c r="Z238" s="12">
        <f>_xlfn.XLOOKUP(Cleaned_data[[#This Row],[SKU]],Products[SKU],Products[Standard_Cost])</f>
        <v>20</v>
      </c>
      <c r="AA238" s="10">
        <f>Cleaned_data[[#This Row],[Quantity]]*Cleaned_data[[#This Row],[Unit_Price]]</f>
        <v>351.90000000000003</v>
      </c>
      <c r="AB238" s="10">
        <f>Cleaned_data[[#This Row],[Unit_Price]]*Cleaned_data[[#This Row],[Discount_Pct]]</f>
        <v>3.91</v>
      </c>
      <c r="AC238" s="10">
        <f>Cleaned_data[[#This Row],[Gross Sales]]-Cleaned_data[[#This Row],[Discount amount]]</f>
        <v>347.99</v>
      </c>
      <c r="AD238" s="10">
        <f>Cleaned_data[[#This Row],[Product Cost]]*Cleaned_data[[#This Row],[Quantity]]</f>
        <v>180</v>
      </c>
      <c r="AE238" s="10">
        <f>Cleaned_data[[#This Row],[Net Sales]]-Cleaned_data[[#This Row],[COGS]]</f>
        <v>167.99</v>
      </c>
      <c r="AF238" s="11">
        <f>Cleaned_data[[#This Row],[Gross Profit]]/Cleaned_data[[#This Row],[Net Sales]]</f>
        <v>0.48274375700451166</v>
      </c>
      <c r="AG238">
        <f>Cleaned_data[[#This Row],[Ship_Date]]-Cleaned_data[[#This Row],[Order_Date]]</f>
        <v>7</v>
      </c>
      <c r="AH238" t="str">
        <f>IF(Cleaned_data[[#This Row],[Delivery Days]]&gt;10,"late","on time")</f>
        <v>on time</v>
      </c>
      <c r="AI238" t="str">
        <f>TEXT(Cleaned_data[[#This Row],[Order_Date]],"mmmm")</f>
        <v>September</v>
      </c>
      <c r="AJ238" s="9" t="str">
        <f>"Q"&amp;ROUNDUP(MONTH(Cleaned_data[[#This Row],[Order_Date]])/3,0)</f>
        <v>Q3</v>
      </c>
    </row>
    <row r="239" spans="1:36">
      <c r="A239" t="s">
        <v>680</v>
      </c>
      <c r="B239" s="9">
        <v>45555</v>
      </c>
      <c r="C239" s="9">
        <v>45565</v>
      </c>
      <c r="D239" t="s">
        <v>210</v>
      </c>
      <c r="E239" t="s">
        <v>211</v>
      </c>
      <c r="F239" t="s">
        <v>89</v>
      </c>
      <c r="G239" t="s">
        <v>75</v>
      </c>
      <c r="H239" t="s">
        <v>212</v>
      </c>
      <c r="I239" t="s">
        <v>213</v>
      </c>
      <c r="J239" t="s">
        <v>219</v>
      </c>
      <c r="K239" t="s">
        <v>90</v>
      </c>
      <c r="L239" t="s">
        <v>91</v>
      </c>
      <c r="M239" t="s">
        <v>92</v>
      </c>
      <c r="N239" t="s">
        <v>93</v>
      </c>
      <c r="O239" t="s">
        <v>94</v>
      </c>
      <c r="P239" s="8">
        <v>1</v>
      </c>
      <c r="Q239" s="10">
        <v>339.99</v>
      </c>
      <c r="R239" s="11">
        <v>0.08</v>
      </c>
      <c r="S239" s="10">
        <v>27.42</v>
      </c>
      <c r="T239" t="s">
        <v>122</v>
      </c>
      <c r="U239" t="s">
        <v>85</v>
      </c>
      <c r="W239" t="s">
        <v>1270</v>
      </c>
      <c r="X239" t="str">
        <f>_xlfn.XLOOKUP(Cleaned_data[[#This Row],[Customer_ID]],Customers[S],Customers[Loyalty_Tier])</f>
        <v>Platinum</v>
      </c>
      <c r="Y239" s="9">
        <f>_xlfn.XLOOKUP(Cleaned_data[[#This Row],[Customer_ID]],Customers[S],Customers[Signup_Date])</f>
        <v>45059</v>
      </c>
      <c r="Z239" s="12">
        <f>_xlfn.XLOOKUP(Cleaned_data[[#This Row],[SKU]],Products[SKU],Products[Standard_Cost])</f>
        <v>184</v>
      </c>
      <c r="AA239" s="10">
        <f>Cleaned_data[[#This Row],[Quantity]]*Cleaned_data[[#This Row],[Unit_Price]]</f>
        <v>339.99</v>
      </c>
      <c r="AB239" s="10">
        <f>Cleaned_data[[#This Row],[Unit_Price]]*Cleaned_data[[#This Row],[Discount_Pct]]</f>
        <v>27.199200000000001</v>
      </c>
      <c r="AC239" s="10">
        <f>Cleaned_data[[#This Row],[Gross Sales]]-Cleaned_data[[#This Row],[Discount amount]]</f>
        <v>312.79079999999999</v>
      </c>
      <c r="AD239" s="10">
        <f>Cleaned_data[[#This Row],[Product Cost]]*Cleaned_data[[#This Row],[Quantity]]</f>
        <v>184</v>
      </c>
      <c r="AE239" s="10">
        <f>Cleaned_data[[#This Row],[Net Sales]]-Cleaned_data[[#This Row],[COGS]]</f>
        <v>128.79079999999999</v>
      </c>
      <c r="AF239" s="11">
        <f>Cleaned_data[[#This Row],[Gross Profit]]/Cleaned_data[[#This Row],[Net Sales]]</f>
        <v>0.41174740433542162</v>
      </c>
      <c r="AG239">
        <f>Cleaned_data[[#This Row],[Ship_Date]]-Cleaned_data[[#This Row],[Order_Date]]</f>
        <v>10</v>
      </c>
      <c r="AH239" t="str">
        <f>IF(Cleaned_data[[#This Row],[Delivery Days]]&gt;10,"late","on time")</f>
        <v>on time</v>
      </c>
      <c r="AI239" t="str">
        <f>TEXT(Cleaned_data[[#This Row],[Order_Date]],"mmmm")</f>
        <v>September</v>
      </c>
      <c r="AJ239" s="9" t="str">
        <f>"Q"&amp;ROUNDUP(MONTH(Cleaned_data[[#This Row],[Order_Date]])/3,0)</f>
        <v>Q3</v>
      </c>
    </row>
    <row r="240" spans="1:36">
      <c r="A240" t="s">
        <v>681</v>
      </c>
      <c r="B240" s="9">
        <v>45558</v>
      </c>
      <c r="C240" s="9">
        <v>45565</v>
      </c>
      <c r="D240" t="s">
        <v>406</v>
      </c>
      <c r="E240" t="s">
        <v>407</v>
      </c>
      <c r="F240" t="s">
        <v>89</v>
      </c>
      <c r="G240" t="s">
        <v>75</v>
      </c>
      <c r="H240" t="s">
        <v>116</v>
      </c>
      <c r="I240" t="s">
        <v>117</v>
      </c>
      <c r="J240" t="s">
        <v>219</v>
      </c>
      <c r="K240" t="s">
        <v>79</v>
      </c>
      <c r="L240" t="s">
        <v>91</v>
      </c>
      <c r="M240" t="s">
        <v>92</v>
      </c>
      <c r="N240" t="s">
        <v>93</v>
      </c>
      <c r="O240" t="s">
        <v>94</v>
      </c>
      <c r="P240" s="8">
        <v>1</v>
      </c>
      <c r="Q240" s="10">
        <v>329.87</v>
      </c>
      <c r="R240" s="11">
        <v>0.11</v>
      </c>
      <c r="S240" s="10">
        <v>29.36</v>
      </c>
      <c r="T240" t="s">
        <v>105</v>
      </c>
      <c r="U240" t="s">
        <v>85</v>
      </c>
      <c r="V240" s="8">
        <v>3</v>
      </c>
      <c r="W240" t="s">
        <v>1270</v>
      </c>
      <c r="X240" t="str">
        <f>_xlfn.XLOOKUP(Cleaned_data[[#This Row],[Customer_ID]],Customers[S],Customers[Loyalty_Tier])</f>
        <v>Bronze</v>
      </c>
      <c r="Y240" s="9">
        <f>_xlfn.XLOOKUP(Cleaned_data[[#This Row],[Customer_ID]],Customers[S],Customers[Signup_Date])</f>
        <v>45879</v>
      </c>
      <c r="Z240" s="12">
        <f>_xlfn.XLOOKUP(Cleaned_data[[#This Row],[SKU]],Products[SKU],Products[Standard_Cost])</f>
        <v>184</v>
      </c>
      <c r="AA240" s="10">
        <f>Cleaned_data[[#This Row],[Quantity]]*Cleaned_data[[#This Row],[Unit_Price]]</f>
        <v>329.87</v>
      </c>
      <c r="AB240" s="10">
        <f>Cleaned_data[[#This Row],[Unit_Price]]*Cleaned_data[[#This Row],[Discount_Pct]]</f>
        <v>36.285699999999999</v>
      </c>
      <c r="AC240" s="10">
        <f>Cleaned_data[[#This Row],[Gross Sales]]-Cleaned_data[[#This Row],[Discount amount]]</f>
        <v>293.58429999999998</v>
      </c>
      <c r="AD240" s="10">
        <f>Cleaned_data[[#This Row],[Product Cost]]*Cleaned_data[[#This Row],[Quantity]]</f>
        <v>184</v>
      </c>
      <c r="AE240" s="10">
        <f>Cleaned_data[[#This Row],[Net Sales]]-Cleaned_data[[#This Row],[COGS]]</f>
        <v>109.58429999999998</v>
      </c>
      <c r="AF240" s="11">
        <f>Cleaned_data[[#This Row],[Gross Profit]]/Cleaned_data[[#This Row],[Net Sales]]</f>
        <v>0.37326348854485741</v>
      </c>
      <c r="AG240">
        <f>Cleaned_data[[#This Row],[Ship_Date]]-Cleaned_data[[#This Row],[Order_Date]]</f>
        <v>7</v>
      </c>
      <c r="AH240" t="str">
        <f>IF(Cleaned_data[[#This Row],[Delivery Days]]&gt;10,"late","on time")</f>
        <v>on time</v>
      </c>
      <c r="AI240" t="str">
        <f>TEXT(Cleaned_data[[#This Row],[Order_Date]],"mmmm")</f>
        <v>September</v>
      </c>
      <c r="AJ240" s="9" t="str">
        <f>"Q"&amp;ROUNDUP(MONTH(Cleaned_data[[#This Row],[Order_Date]])/3,0)</f>
        <v>Q3</v>
      </c>
    </row>
    <row r="241" spans="1:36">
      <c r="A241" t="s">
        <v>682</v>
      </c>
      <c r="B241" s="9">
        <v>45558</v>
      </c>
      <c r="C241" s="9">
        <v>45564</v>
      </c>
      <c r="D241" t="s">
        <v>345</v>
      </c>
      <c r="E241" t="s">
        <v>346</v>
      </c>
      <c r="F241" t="s">
        <v>89</v>
      </c>
      <c r="G241" t="s">
        <v>138</v>
      </c>
      <c r="H241" t="s">
        <v>347</v>
      </c>
      <c r="I241" t="s">
        <v>348</v>
      </c>
      <c r="J241" t="s">
        <v>78</v>
      </c>
      <c r="K241" t="s">
        <v>90</v>
      </c>
      <c r="L241" t="s">
        <v>110</v>
      </c>
      <c r="M241" t="s">
        <v>111</v>
      </c>
      <c r="N241" t="s">
        <v>82</v>
      </c>
      <c r="O241" t="s">
        <v>112</v>
      </c>
      <c r="P241" s="8">
        <v>1</v>
      </c>
      <c r="Q241" s="10">
        <v>331.87</v>
      </c>
      <c r="R241" s="11">
        <v>0.06</v>
      </c>
      <c r="S241" s="10">
        <v>9.1300000000000008</v>
      </c>
      <c r="T241" t="s">
        <v>84</v>
      </c>
      <c r="U241" t="s">
        <v>85</v>
      </c>
      <c r="V241" s="8">
        <v>4</v>
      </c>
      <c r="W241" t="s">
        <v>1270</v>
      </c>
      <c r="X241" t="str">
        <f>_xlfn.XLOOKUP(Cleaned_data[[#This Row],[Customer_ID]],Customers[S],Customers[Loyalty_Tier])</f>
        <v>Gold</v>
      </c>
      <c r="Y241" s="9">
        <f>_xlfn.XLOOKUP(Cleaned_data[[#This Row],[Customer_ID]],Customers[S],Customers[Signup_Date])</f>
        <v>45997</v>
      </c>
      <c r="Z241" s="12">
        <f>_xlfn.XLOOKUP(Cleaned_data[[#This Row],[SKU]],Products[SKU],Products[Standard_Cost])</f>
        <v>165</v>
      </c>
      <c r="AA241" s="10">
        <f>Cleaned_data[[#This Row],[Quantity]]*Cleaned_data[[#This Row],[Unit_Price]]</f>
        <v>331.87</v>
      </c>
      <c r="AB241" s="10">
        <f>Cleaned_data[[#This Row],[Unit_Price]]*Cleaned_data[[#This Row],[Discount_Pct]]</f>
        <v>19.912199999999999</v>
      </c>
      <c r="AC241" s="10">
        <f>Cleaned_data[[#This Row],[Gross Sales]]-Cleaned_data[[#This Row],[Discount amount]]</f>
        <v>311.95780000000002</v>
      </c>
      <c r="AD241" s="10">
        <f>Cleaned_data[[#This Row],[Product Cost]]*Cleaned_data[[#This Row],[Quantity]]</f>
        <v>165</v>
      </c>
      <c r="AE241" s="10">
        <f>Cleaned_data[[#This Row],[Net Sales]]-Cleaned_data[[#This Row],[COGS]]</f>
        <v>146.95780000000002</v>
      </c>
      <c r="AF241" s="11">
        <f>Cleaned_data[[#This Row],[Gross Profit]]/Cleaned_data[[#This Row],[Net Sales]]</f>
        <v>0.47108230664532191</v>
      </c>
      <c r="AG241">
        <f>Cleaned_data[[#This Row],[Ship_Date]]-Cleaned_data[[#This Row],[Order_Date]]</f>
        <v>6</v>
      </c>
      <c r="AH241" t="str">
        <f>IF(Cleaned_data[[#This Row],[Delivery Days]]&gt;10,"late","on time")</f>
        <v>on time</v>
      </c>
      <c r="AI241" t="str">
        <f>TEXT(Cleaned_data[[#This Row],[Order_Date]],"mmmm")</f>
        <v>September</v>
      </c>
      <c r="AJ241" s="9" t="str">
        <f>"Q"&amp;ROUNDUP(MONTH(Cleaned_data[[#This Row],[Order_Date]])/3,0)</f>
        <v>Q3</v>
      </c>
    </row>
    <row r="242" spans="1:36">
      <c r="A242" t="s">
        <v>683</v>
      </c>
      <c r="B242" s="9">
        <v>45559</v>
      </c>
      <c r="C242" s="9">
        <v>45561</v>
      </c>
      <c r="D242" t="s">
        <v>469</v>
      </c>
      <c r="E242" t="s">
        <v>470</v>
      </c>
      <c r="F242" t="s">
        <v>89</v>
      </c>
      <c r="G242" t="s">
        <v>138</v>
      </c>
      <c r="H242" t="s">
        <v>186</v>
      </c>
      <c r="I242" t="s">
        <v>187</v>
      </c>
      <c r="J242" t="s">
        <v>109</v>
      </c>
      <c r="K242" t="s">
        <v>130</v>
      </c>
      <c r="L242" t="s">
        <v>110</v>
      </c>
      <c r="M242" t="s">
        <v>111</v>
      </c>
      <c r="N242" t="s">
        <v>82</v>
      </c>
      <c r="O242" t="s">
        <v>112</v>
      </c>
      <c r="P242" s="8">
        <v>1</v>
      </c>
      <c r="Q242" s="10">
        <v>324.16000000000003</v>
      </c>
      <c r="R242" s="11">
        <v>0.01</v>
      </c>
      <c r="S242" s="10">
        <v>5.91</v>
      </c>
      <c r="T242" t="s">
        <v>134</v>
      </c>
      <c r="U242" t="s">
        <v>85</v>
      </c>
      <c r="W242" t="s">
        <v>1270</v>
      </c>
      <c r="X242" t="str">
        <f>_xlfn.XLOOKUP(Cleaned_data[[#This Row],[Customer_ID]],Customers[S],Customers[Loyalty_Tier])</f>
        <v>Platinum</v>
      </c>
      <c r="Y242" s="9">
        <f>_xlfn.XLOOKUP(Cleaned_data[[#This Row],[Customer_ID]],Customers[S],Customers[Signup_Date])</f>
        <v>45102</v>
      </c>
      <c r="Z242" s="12">
        <f>_xlfn.XLOOKUP(Cleaned_data[[#This Row],[SKU]],Products[SKU],Products[Standard_Cost])</f>
        <v>165</v>
      </c>
      <c r="AA242" s="10">
        <f>Cleaned_data[[#This Row],[Quantity]]*Cleaned_data[[#This Row],[Unit_Price]]</f>
        <v>324.16000000000003</v>
      </c>
      <c r="AB242" s="10">
        <f>Cleaned_data[[#This Row],[Unit_Price]]*Cleaned_data[[#This Row],[Discount_Pct]]</f>
        <v>3.2416000000000005</v>
      </c>
      <c r="AC242" s="10">
        <f>Cleaned_data[[#This Row],[Gross Sales]]-Cleaned_data[[#This Row],[Discount amount]]</f>
        <v>320.91840000000002</v>
      </c>
      <c r="AD242" s="10">
        <f>Cleaned_data[[#This Row],[Product Cost]]*Cleaned_data[[#This Row],[Quantity]]</f>
        <v>165</v>
      </c>
      <c r="AE242" s="10">
        <f>Cleaned_data[[#This Row],[Net Sales]]-Cleaned_data[[#This Row],[COGS]]</f>
        <v>155.91840000000002</v>
      </c>
      <c r="AF242" s="11">
        <f>Cleaned_data[[#This Row],[Gross Profit]]/Cleaned_data[[#This Row],[Net Sales]]</f>
        <v>0.48585060875287928</v>
      </c>
      <c r="AG242">
        <f>Cleaned_data[[#This Row],[Ship_Date]]-Cleaned_data[[#This Row],[Order_Date]]</f>
        <v>2</v>
      </c>
      <c r="AH242" t="str">
        <f>IF(Cleaned_data[[#This Row],[Delivery Days]]&gt;10,"late","on time")</f>
        <v>on time</v>
      </c>
      <c r="AI242" t="str">
        <f>TEXT(Cleaned_data[[#This Row],[Order_Date]],"mmmm")</f>
        <v>September</v>
      </c>
      <c r="AJ242" s="9" t="str">
        <f>"Q"&amp;ROUNDUP(MONTH(Cleaned_data[[#This Row],[Order_Date]])/3,0)</f>
        <v>Q3</v>
      </c>
    </row>
    <row r="243" spans="1:36">
      <c r="A243" t="s">
        <v>684</v>
      </c>
      <c r="B243" s="9">
        <v>45562</v>
      </c>
      <c r="C243" s="9">
        <v>45569</v>
      </c>
      <c r="D243" t="s">
        <v>514</v>
      </c>
      <c r="E243" t="s">
        <v>515</v>
      </c>
      <c r="F243" t="s">
        <v>74</v>
      </c>
      <c r="G243" t="s">
        <v>75</v>
      </c>
      <c r="H243" t="s">
        <v>212</v>
      </c>
      <c r="I243" t="s">
        <v>213</v>
      </c>
      <c r="J243" t="s">
        <v>219</v>
      </c>
      <c r="K243" t="s">
        <v>79</v>
      </c>
      <c r="L243" t="s">
        <v>284</v>
      </c>
      <c r="M243" t="s">
        <v>285</v>
      </c>
      <c r="N243" t="s">
        <v>103</v>
      </c>
      <c r="O243" t="s">
        <v>143</v>
      </c>
      <c r="P243" s="8">
        <v>1</v>
      </c>
      <c r="Q243" s="10">
        <v>28.23</v>
      </c>
      <c r="R243" s="11">
        <v>0.01</v>
      </c>
      <c r="S243" s="10">
        <v>9.64</v>
      </c>
      <c r="T243" t="s">
        <v>105</v>
      </c>
      <c r="U243" t="s">
        <v>85</v>
      </c>
      <c r="V243" s="8">
        <v>4</v>
      </c>
      <c r="W243" t="s">
        <v>1270</v>
      </c>
      <c r="X243" t="str">
        <f>_xlfn.XLOOKUP(Cleaned_data[[#This Row],[Customer_ID]],Customers[S],Customers[Loyalty_Tier])</f>
        <v>Silver</v>
      </c>
      <c r="Y243" s="9">
        <f>_xlfn.XLOOKUP(Cleaned_data[[#This Row],[Customer_ID]],Customers[S],Customers[Signup_Date])</f>
        <v>44271</v>
      </c>
      <c r="Z243" s="12">
        <f>_xlfn.XLOOKUP(Cleaned_data[[#This Row],[SKU]],Products[SKU],Products[Standard_Cost])</f>
        <v>14</v>
      </c>
      <c r="AA243" s="10">
        <f>Cleaned_data[[#This Row],[Quantity]]*Cleaned_data[[#This Row],[Unit_Price]]</f>
        <v>28.23</v>
      </c>
      <c r="AB243" s="10">
        <f>Cleaned_data[[#This Row],[Unit_Price]]*Cleaned_data[[#This Row],[Discount_Pct]]</f>
        <v>0.2823</v>
      </c>
      <c r="AC243" s="10">
        <f>Cleaned_data[[#This Row],[Gross Sales]]-Cleaned_data[[#This Row],[Discount amount]]</f>
        <v>27.947700000000001</v>
      </c>
      <c r="AD243" s="10">
        <f>Cleaned_data[[#This Row],[Product Cost]]*Cleaned_data[[#This Row],[Quantity]]</f>
        <v>14</v>
      </c>
      <c r="AE243" s="10">
        <f>Cleaned_data[[#This Row],[Net Sales]]-Cleaned_data[[#This Row],[COGS]]</f>
        <v>13.947700000000001</v>
      </c>
      <c r="AF243" s="11">
        <f>Cleaned_data[[#This Row],[Gross Profit]]/Cleaned_data[[#This Row],[Net Sales]]</f>
        <v>0.49906432371894649</v>
      </c>
      <c r="AG243">
        <f>Cleaned_data[[#This Row],[Ship_Date]]-Cleaned_data[[#This Row],[Order_Date]]</f>
        <v>7</v>
      </c>
      <c r="AH243" t="str">
        <f>IF(Cleaned_data[[#This Row],[Delivery Days]]&gt;10,"late","on time")</f>
        <v>on time</v>
      </c>
      <c r="AI243" t="str">
        <f>TEXT(Cleaned_data[[#This Row],[Order_Date]],"mmmm")</f>
        <v>September</v>
      </c>
      <c r="AJ243" s="9" t="str">
        <f>"Q"&amp;ROUNDUP(MONTH(Cleaned_data[[#This Row],[Order_Date]])/3,0)</f>
        <v>Q3</v>
      </c>
    </row>
    <row r="244" spans="1:36">
      <c r="A244" t="s">
        <v>685</v>
      </c>
      <c r="B244" s="9">
        <v>45562</v>
      </c>
      <c r="C244" s="9">
        <v>45571</v>
      </c>
      <c r="D244" t="s">
        <v>514</v>
      </c>
      <c r="E244" t="s">
        <v>515</v>
      </c>
      <c r="F244" t="s">
        <v>74</v>
      </c>
      <c r="G244" t="s">
        <v>75</v>
      </c>
      <c r="H244" t="s">
        <v>212</v>
      </c>
      <c r="I244" t="s">
        <v>213</v>
      </c>
      <c r="J244" t="s">
        <v>219</v>
      </c>
      <c r="K244" t="s">
        <v>79</v>
      </c>
      <c r="L244" t="s">
        <v>101</v>
      </c>
      <c r="M244" t="s">
        <v>102</v>
      </c>
      <c r="N244" t="s">
        <v>103</v>
      </c>
      <c r="O244" t="s">
        <v>104</v>
      </c>
      <c r="P244" s="8">
        <v>9</v>
      </c>
      <c r="Q244" s="10">
        <v>71.03</v>
      </c>
      <c r="R244" s="11">
        <v>0.05</v>
      </c>
      <c r="S244" s="10">
        <v>11.24</v>
      </c>
      <c r="T244" t="s">
        <v>105</v>
      </c>
      <c r="U244" t="s">
        <v>85</v>
      </c>
      <c r="V244" s="8">
        <v>1</v>
      </c>
      <c r="W244" t="s">
        <v>1270</v>
      </c>
      <c r="X244" t="str">
        <f>_xlfn.XLOOKUP(Cleaned_data[[#This Row],[Customer_ID]],Customers[S],Customers[Loyalty_Tier])</f>
        <v>Silver</v>
      </c>
      <c r="Y244" s="9">
        <f>_xlfn.XLOOKUP(Cleaned_data[[#This Row],[Customer_ID]],Customers[S],Customers[Signup_Date])</f>
        <v>44271</v>
      </c>
      <c r="Z244" s="12">
        <f>_xlfn.XLOOKUP(Cleaned_data[[#This Row],[SKU]],Products[SKU],Products[Standard_Cost])</f>
        <v>36</v>
      </c>
      <c r="AA244" s="10">
        <f>Cleaned_data[[#This Row],[Quantity]]*Cleaned_data[[#This Row],[Unit_Price]]</f>
        <v>639.27</v>
      </c>
      <c r="AB244" s="10">
        <f>Cleaned_data[[#This Row],[Unit_Price]]*Cleaned_data[[#This Row],[Discount_Pct]]</f>
        <v>3.5515000000000003</v>
      </c>
      <c r="AC244" s="10">
        <f>Cleaned_data[[#This Row],[Gross Sales]]-Cleaned_data[[#This Row],[Discount amount]]</f>
        <v>635.71849999999995</v>
      </c>
      <c r="AD244" s="10">
        <f>Cleaned_data[[#This Row],[Product Cost]]*Cleaned_data[[#This Row],[Quantity]]</f>
        <v>324</v>
      </c>
      <c r="AE244" s="10">
        <f>Cleaned_data[[#This Row],[Net Sales]]-Cleaned_data[[#This Row],[COGS]]</f>
        <v>311.71849999999995</v>
      </c>
      <c r="AF244" s="11">
        <f>Cleaned_data[[#This Row],[Gross Profit]]/Cleaned_data[[#This Row],[Net Sales]]</f>
        <v>0.49034045729359765</v>
      </c>
      <c r="AG244">
        <f>Cleaned_data[[#This Row],[Ship_Date]]-Cleaned_data[[#This Row],[Order_Date]]</f>
        <v>9</v>
      </c>
      <c r="AH244" t="str">
        <f>IF(Cleaned_data[[#This Row],[Delivery Days]]&gt;10,"late","on time")</f>
        <v>on time</v>
      </c>
      <c r="AI244" t="str">
        <f>TEXT(Cleaned_data[[#This Row],[Order_Date]],"mmmm")</f>
        <v>September</v>
      </c>
      <c r="AJ244" s="9" t="str">
        <f>"Q"&amp;ROUNDUP(MONTH(Cleaned_data[[#This Row],[Order_Date]])/3,0)</f>
        <v>Q3</v>
      </c>
    </row>
    <row r="245" spans="1:36">
      <c r="A245" t="s">
        <v>686</v>
      </c>
      <c r="B245" s="9">
        <v>45562</v>
      </c>
      <c r="C245" s="9">
        <v>45565</v>
      </c>
      <c r="D245" t="s">
        <v>504</v>
      </c>
      <c r="E245" t="s">
        <v>505</v>
      </c>
      <c r="F245" t="s">
        <v>74</v>
      </c>
      <c r="G245" t="s">
        <v>126</v>
      </c>
      <c r="H245" t="s">
        <v>160</v>
      </c>
      <c r="I245" t="s">
        <v>161</v>
      </c>
      <c r="J245" t="s">
        <v>109</v>
      </c>
      <c r="K245" t="s">
        <v>100</v>
      </c>
      <c r="L245" t="s">
        <v>234</v>
      </c>
      <c r="M245" t="s">
        <v>235</v>
      </c>
      <c r="N245" t="s">
        <v>93</v>
      </c>
      <c r="O245" t="s">
        <v>236</v>
      </c>
      <c r="P245" s="8">
        <v>1</v>
      </c>
      <c r="Q245" s="10">
        <v>143.31</v>
      </c>
      <c r="R245" s="11">
        <v>0.01</v>
      </c>
      <c r="S245" s="10">
        <v>22.31</v>
      </c>
      <c r="T245" t="s">
        <v>134</v>
      </c>
      <c r="U245" t="s">
        <v>85</v>
      </c>
      <c r="V245" s="8">
        <v>1</v>
      </c>
      <c r="W245" t="s">
        <v>1270</v>
      </c>
      <c r="X245" t="str">
        <f>_xlfn.XLOOKUP(Cleaned_data[[#This Row],[Customer_ID]],Customers[S],Customers[Loyalty_Tier])</f>
        <v>Bronze</v>
      </c>
      <c r="Y245" s="9">
        <f>_xlfn.XLOOKUP(Cleaned_data[[#This Row],[Customer_ID]],Customers[S],Customers[Signup_Date])</f>
        <v>44699</v>
      </c>
      <c r="Z245" s="12">
        <f>_xlfn.XLOOKUP(Cleaned_data[[#This Row],[SKU]],Products[SKU],Products[Standard_Cost])</f>
        <v>82</v>
      </c>
      <c r="AA245" s="10">
        <f>Cleaned_data[[#This Row],[Quantity]]*Cleaned_data[[#This Row],[Unit_Price]]</f>
        <v>143.31</v>
      </c>
      <c r="AB245" s="10">
        <f>Cleaned_data[[#This Row],[Unit_Price]]*Cleaned_data[[#This Row],[Discount_Pct]]</f>
        <v>1.4331</v>
      </c>
      <c r="AC245" s="10">
        <f>Cleaned_data[[#This Row],[Gross Sales]]-Cleaned_data[[#This Row],[Discount amount]]</f>
        <v>141.87690000000001</v>
      </c>
      <c r="AD245" s="10">
        <f>Cleaned_data[[#This Row],[Product Cost]]*Cleaned_data[[#This Row],[Quantity]]</f>
        <v>82</v>
      </c>
      <c r="AE245" s="10">
        <f>Cleaned_data[[#This Row],[Net Sales]]-Cleaned_data[[#This Row],[COGS]]</f>
        <v>59.876900000000006</v>
      </c>
      <c r="AF245" s="11">
        <f>Cleaned_data[[#This Row],[Gross Profit]]/Cleaned_data[[#This Row],[Net Sales]]</f>
        <v>0.42203417187716957</v>
      </c>
      <c r="AG245">
        <f>Cleaned_data[[#This Row],[Ship_Date]]-Cleaned_data[[#This Row],[Order_Date]]</f>
        <v>3</v>
      </c>
      <c r="AH245" t="str">
        <f>IF(Cleaned_data[[#This Row],[Delivery Days]]&gt;10,"late","on time")</f>
        <v>on time</v>
      </c>
      <c r="AI245" t="str">
        <f>TEXT(Cleaned_data[[#This Row],[Order_Date]],"mmmm")</f>
        <v>September</v>
      </c>
      <c r="AJ245" s="9" t="str">
        <f>"Q"&amp;ROUNDUP(MONTH(Cleaned_data[[#This Row],[Order_Date]])/3,0)</f>
        <v>Q3</v>
      </c>
    </row>
    <row r="246" spans="1:36">
      <c r="A246" t="s">
        <v>687</v>
      </c>
      <c r="B246" s="9">
        <v>45562</v>
      </c>
      <c r="C246" s="9">
        <v>45567</v>
      </c>
      <c r="D246" t="s">
        <v>646</v>
      </c>
      <c r="E246" t="s">
        <v>647</v>
      </c>
      <c r="F246" t="s">
        <v>89</v>
      </c>
      <c r="G246" t="s">
        <v>126</v>
      </c>
      <c r="H246" t="s">
        <v>127</v>
      </c>
      <c r="I246" t="s">
        <v>128</v>
      </c>
      <c r="J246" t="s">
        <v>219</v>
      </c>
      <c r="K246" t="s">
        <v>100</v>
      </c>
      <c r="L246" t="s">
        <v>91</v>
      </c>
      <c r="M246" t="s">
        <v>92</v>
      </c>
      <c r="N246" t="s">
        <v>93</v>
      </c>
      <c r="O246" t="s">
        <v>94</v>
      </c>
      <c r="P246" s="8">
        <v>2</v>
      </c>
      <c r="Q246" s="10">
        <v>326.13</v>
      </c>
      <c r="R246" s="11">
        <v>0.03</v>
      </c>
      <c r="S246" s="10">
        <v>29.35</v>
      </c>
      <c r="T246" t="s">
        <v>134</v>
      </c>
      <c r="U246" t="s">
        <v>85</v>
      </c>
      <c r="V246" s="8">
        <v>2</v>
      </c>
      <c r="W246" t="s">
        <v>1270</v>
      </c>
      <c r="X246" t="str">
        <f>_xlfn.XLOOKUP(Cleaned_data[[#This Row],[Customer_ID]],Customers[S],Customers[Loyalty_Tier])</f>
        <v>Bronze</v>
      </c>
      <c r="Y246" s="9">
        <f>_xlfn.XLOOKUP(Cleaned_data[[#This Row],[Customer_ID]],Customers[S],Customers[Signup_Date])</f>
        <v>44201</v>
      </c>
      <c r="Z246" s="12">
        <f>_xlfn.XLOOKUP(Cleaned_data[[#This Row],[SKU]],Products[SKU],Products[Standard_Cost])</f>
        <v>184</v>
      </c>
      <c r="AA246" s="10">
        <f>Cleaned_data[[#This Row],[Quantity]]*Cleaned_data[[#This Row],[Unit_Price]]</f>
        <v>652.26</v>
      </c>
      <c r="AB246" s="10">
        <f>Cleaned_data[[#This Row],[Unit_Price]]*Cleaned_data[[#This Row],[Discount_Pct]]</f>
        <v>9.7838999999999992</v>
      </c>
      <c r="AC246" s="10">
        <f>Cleaned_data[[#This Row],[Gross Sales]]-Cleaned_data[[#This Row],[Discount amount]]</f>
        <v>642.47609999999997</v>
      </c>
      <c r="AD246" s="10">
        <f>Cleaned_data[[#This Row],[Product Cost]]*Cleaned_data[[#This Row],[Quantity]]</f>
        <v>368</v>
      </c>
      <c r="AE246" s="10">
        <f>Cleaned_data[[#This Row],[Net Sales]]-Cleaned_data[[#This Row],[COGS]]</f>
        <v>274.47609999999997</v>
      </c>
      <c r="AF246" s="11">
        <f>Cleaned_data[[#This Row],[Gross Profit]]/Cleaned_data[[#This Row],[Net Sales]]</f>
        <v>0.42721604741405944</v>
      </c>
      <c r="AG246">
        <f>Cleaned_data[[#This Row],[Ship_Date]]-Cleaned_data[[#This Row],[Order_Date]]</f>
        <v>5</v>
      </c>
      <c r="AH246" t="str">
        <f>IF(Cleaned_data[[#This Row],[Delivery Days]]&gt;10,"late","on time")</f>
        <v>on time</v>
      </c>
      <c r="AI246" t="str">
        <f>TEXT(Cleaned_data[[#This Row],[Order_Date]],"mmmm")</f>
        <v>September</v>
      </c>
      <c r="AJ246" s="9" t="str">
        <f>"Q"&amp;ROUNDUP(MONTH(Cleaned_data[[#This Row],[Order_Date]])/3,0)</f>
        <v>Q3</v>
      </c>
    </row>
    <row r="247" spans="1:36">
      <c r="A247" t="s">
        <v>688</v>
      </c>
      <c r="B247" s="9">
        <v>45563</v>
      </c>
      <c r="C247" s="9">
        <v>45572</v>
      </c>
      <c r="D247" t="s">
        <v>451</v>
      </c>
      <c r="E247" t="s">
        <v>452</v>
      </c>
      <c r="F247" t="s">
        <v>89</v>
      </c>
      <c r="G247" t="s">
        <v>126</v>
      </c>
      <c r="H247" t="s">
        <v>160</v>
      </c>
      <c r="I247" t="s">
        <v>161</v>
      </c>
      <c r="J247" t="s">
        <v>219</v>
      </c>
      <c r="K247" t="s">
        <v>100</v>
      </c>
      <c r="L247" t="s">
        <v>101</v>
      </c>
      <c r="M247" t="s">
        <v>102</v>
      </c>
      <c r="N247" t="s">
        <v>103</v>
      </c>
      <c r="O247" t="s">
        <v>104</v>
      </c>
      <c r="P247" s="8">
        <v>4</v>
      </c>
      <c r="Q247" s="10">
        <v>78.13</v>
      </c>
      <c r="R247" s="11">
        <v>0.1</v>
      </c>
      <c r="S247" s="10">
        <v>15.68</v>
      </c>
      <c r="T247" t="s">
        <v>84</v>
      </c>
      <c r="U247" t="s">
        <v>85</v>
      </c>
      <c r="V247" s="8">
        <v>2</v>
      </c>
      <c r="W247" t="s">
        <v>1270</v>
      </c>
      <c r="X247" t="str">
        <f>_xlfn.XLOOKUP(Cleaned_data[[#This Row],[Customer_ID]],Customers[S],Customers[Loyalty_Tier])</f>
        <v>Silver</v>
      </c>
      <c r="Y247" s="9">
        <f>_xlfn.XLOOKUP(Cleaned_data[[#This Row],[Customer_ID]],Customers[S],Customers[Signup_Date])</f>
        <v>45495</v>
      </c>
      <c r="Z247" s="12">
        <f>_xlfn.XLOOKUP(Cleaned_data[[#This Row],[SKU]],Products[SKU],Products[Standard_Cost])</f>
        <v>36</v>
      </c>
      <c r="AA247" s="10">
        <f>Cleaned_data[[#This Row],[Quantity]]*Cleaned_data[[#This Row],[Unit_Price]]</f>
        <v>312.52</v>
      </c>
      <c r="AB247" s="10">
        <f>Cleaned_data[[#This Row],[Unit_Price]]*Cleaned_data[[#This Row],[Discount_Pct]]</f>
        <v>7.8129999999999997</v>
      </c>
      <c r="AC247" s="10">
        <f>Cleaned_data[[#This Row],[Gross Sales]]-Cleaned_data[[#This Row],[Discount amount]]</f>
        <v>304.70699999999999</v>
      </c>
      <c r="AD247" s="10">
        <f>Cleaned_data[[#This Row],[Product Cost]]*Cleaned_data[[#This Row],[Quantity]]</f>
        <v>144</v>
      </c>
      <c r="AE247" s="10">
        <f>Cleaned_data[[#This Row],[Net Sales]]-Cleaned_data[[#This Row],[COGS]]</f>
        <v>160.70699999999999</v>
      </c>
      <c r="AF247" s="11">
        <f>Cleaned_data[[#This Row],[Gross Profit]]/Cleaned_data[[#This Row],[Net Sales]]</f>
        <v>0.52741486083352207</v>
      </c>
      <c r="AG247">
        <f>Cleaned_data[[#This Row],[Ship_Date]]-Cleaned_data[[#This Row],[Order_Date]]</f>
        <v>9</v>
      </c>
      <c r="AH247" t="str">
        <f>IF(Cleaned_data[[#This Row],[Delivery Days]]&gt;10,"late","on time")</f>
        <v>on time</v>
      </c>
      <c r="AI247" t="str">
        <f>TEXT(Cleaned_data[[#This Row],[Order_Date]],"mmmm")</f>
        <v>September</v>
      </c>
      <c r="AJ247" s="9" t="str">
        <f>"Q"&amp;ROUNDUP(MONTH(Cleaned_data[[#This Row],[Order_Date]])/3,0)</f>
        <v>Q3</v>
      </c>
    </row>
    <row r="248" spans="1:36">
      <c r="A248" t="s">
        <v>689</v>
      </c>
      <c r="B248" s="9">
        <v>45563</v>
      </c>
      <c r="C248" s="9">
        <v>45570</v>
      </c>
      <c r="D248" t="s">
        <v>158</v>
      </c>
      <c r="E248" t="s">
        <v>159</v>
      </c>
      <c r="F248" t="s">
        <v>89</v>
      </c>
      <c r="G248" t="s">
        <v>126</v>
      </c>
      <c r="H248" t="s">
        <v>160</v>
      </c>
      <c r="I248" t="s">
        <v>161</v>
      </c>
      <c r="J248" t="s">
        <v>129</v>
      </c>
      <c r="K248" t="s">
        <v>79</v>
      </c>
      <c r="L248" t="s">
        <v>431</v>
      </c>
      <c r="M248" t="s">
        <v>432</v>
      </c>
      <c r="N248" t="s">
        <v>103</v>
      </c>
      <c r="O248" t="s">
        <v>251</v>
      </c>
      <c r="P248" s="8">
        <v>8</v>
      </c>
      <c r="Q248" s="10">
        <v>39.049999999999997</v>
      </c>
      <c r="R248" s="11">
        <v>0.05</v>
      </c>
      <c r="S248" s="10">
        <v>11.8</v>
      </c>
      <c r="T248" t="s">
        <v>122</v>
      </c>
      <c r="U248" t="s">
        <v>85</v>
      </c>
      <c r="V248" s="8">
        <v>4</v>
      </c>
      <c r="W248" t="s">
        <v>1270</v>
      </c>
      <c r="X248" t="str">
        <f>_xlfn.XLOOKUP(Cleaned_data[[#This Row],[Customer_ID]],Customers[S],Customers[Loyalty_Tier])</f>
        <v>Silver</v>
      </c>
      <c r="Y248" s="9">
        <f>_xlfn.XLOOKUP(Cleaned_data[[#This Row],[Customer_ID]],Customers[S],Customers[Signup_Date])</f>
        <v>44476</v>
      </c>
      <c r="Z248" s="12">
        <f>_xlfn.XLOOKUP(Cleaned_data[[#This Row],[SKU]],Products[SKU],Products[Standard_Cost])</f>
        <v>20</v>
      </c>
      <c r="AA248" s="10">
        <f>Cleaned_data[[#This Row],[Quantity]]*Cleaned_data[[#This Row],[Unit_Price]]</f>
        <v>312.39999999999998</v>
      </c>
      <c r="AB248" s="10">
        <f>Cleaned_data[[#This Row],[Unit_Price]]*Cleaned_data[[#This Row],[Discount_Pct]]</f>
        <v>1.9524999999999999</v>
      </c>
      <c r="AC248" s="10">
        <f>Cleaned_data[[#This Row],[Gross Sales]]-Cleaned_data[[#This Row],[Discount amount]]</f>
        <v>310.44749999999999</v>
      </c>
      <c r="AD248" s="10">
        <f>Cleaned_data[[#This Row],[Product Cost]]*Cleaned_data[[#This Row],[Quantity]]</f>
        <v>160</v>
      </c>
      <c r="AE248" s="10">
        <f>Cleaned_data[[#This Row],[Net Sales]]-Cleaned_data[[#This Row],[COGS]]</f>
        <v>150.44749999999999</v>
      </c>
      <c r="AF248" s="11">
        <f>Cleaned_data[[#This Row],[Gross Profit]]/Cleaned_data[[#This Row],[Net Sales]]</f>
        <v>0.48461495099815588</v>
      </c>
      <c r="AG248">
        <f>Cleaned_data[[#This Row],[Ship_Date]]-Cleaned_data[[#This Row],[Order_Date]]</f>
        <v>7</v>
      </c>
      <c r="AH248" t="str">
        <f>IF(Cleaned_data[[#This Row],[Delivery Days]]&gt;10,"late","on time")</f>
        <v>on time</v>
      </c>
      <c r="AI248" t="str">
        <f>TEXT(Cleaned_data[[#This Row],[Order_Date]],"mmmm")</f>
        <v>September</v>
      </c>
      <c r="AJ248" s="9" t="str">
        <f>"Q"&amp;ROUNDUP(MONTH(Cleaned_data[[#This Row],[Order_Date]])/3,0)</f>
        <v>Q3</v>
      </c>
    </row>
    <row r="249" spans="1:36">
      <c r="A249" t="s">
        <v>690</v>
      </c>
      <c r="B249" s="9">
        <v>45567</v>
      </c>
      <c r="C249" s="9">
        <v>45575</v>
      </c>
      <c r="D249" t="s">
        <v>419</v>
      </c>
      <c r="E249" t="s">
        <v>420</v>
      </c>
      <c r="F249" t="s">
        <v>74</v>
      </c>
      <c r="G249" t="s">
        <v>126</v>
      </c>
      <c r="H249" t="s">
        <v>160</v>
      </c>
      <c r="I249" t="s">
        <v>161</v>
      </c>
      <c r="J249" t="s">
        <v>109</v>
      </c>
      <c r="K249" t="s">
        <v>79</v>
      </c>
      <c r="L249" t="s">
        <v>234</v>
      </c>
      <c r="M249" t="s">
        <v>235</v>
      </c>
      <c r="N249" t="s">
        <v>93</v>
      </c>
      <c r="O249" t="s">
        <v>236</v>
      </c>
      <c r="P249" s="8">
        <v>3</v>
      </c>
      <c r="Q249" s="10">
        <v>152.91</v>
      </c>
      <c r="R249" s="11">
        <v>0.05</v>
      </c>
      <c r="S249" s="10">
        <v>21.03</v>
      </c>
      <c r="T249" t="s">
        <v>84</v>
      </c>
      <c r="U249" t="s">
        <v>85</v>
      </c>
      <c r="W249" t="s">
        <v>1270</v>
      </c>
      <c r="X249" t="str">
        <f>_xlfn.XLOOKUP(Cleaned_data[[#This Row],[Customer_ID]],Customers[S],Customers[Loyalty_Tier])</f>
        <v>Silver</v>
      </c>
      <c r="Y249" s="9">
        <f>_xlfn.XLOOKUP(Cleaned_data[[#This Row],[Customer_ID]],Customers[S],Customers[Signup_Date])</f>
        <v>44752</v>
      </c>
      <c r="Z249" s="12">
        <f>_xlfn.XLOOKUP(Cleaned_data[[#This Row],[SKU]],Products[SKU],Products[Standard_Cost])</f>
        <v>82</v>
      </c>
      <c r="AA249" s="10">
        <f>Cleaned_data[[#This Row],[Quantity]]*Cleaned_data[[#This Row],[Unit_Price]]</f>
        <v>458.73</v>
      </c>
      <c r="AB249" s="10">
        <f>Cleaned_data[[#This Row],[Unit_Price]]*Cleaned_data[[#This Row],[Discount_Pct]]</f>
        <v>7.6455000000000002</v>
      </c>
      <c r="AC249" s="10">
        <f>Cleaned_data[[#This Row],[Gross Sales]]-Cleaned_data[[#This Row],[Discount amount]]</f>
        <v>451.08449999999999</v>
      </c>
      <c r="AD249" s="10">
        <f>Cleaned_data[[#This Row],[Product Cost]]*Cleaned_data[[#This Row],[Quantity]]</f>
        <v>246</v>
      </c>
      <c r="AE249" s="10">
        <f>Cleaned_data[[#This Row],[Net Sales]]-Cleaned_data[[#This Row],[COGS]]</f>
        <v>205.08449999999999</v>
      </c>
      <c r="AF249" s="11">
        <f>Cleaned_data[[#This Row],[Gross Profit]]/Cleaned_data[[#This Row],[Net Sales]]</f>
        <v>0.45464763253891455</v>
      </c>
      <c r="AG249">
        <f>Cleaned_data[[#This Row],[Ship_Date]]-Cleaned_data[[#This Row],[Order_Date]]</f>
        <v>8</v>
      </c>
      <c r="AH249" t="str">
        <f>IF(Cleaned_data[[#This Row],[Delivery Days]]&gt;10,"late","on time")</f>
        <v>on time</v>
      </c>
      <c r="AI249" t="str">
        <f>TEXT(Cleaned_data[[#This Row],[Order_Date]],"mmmm")</f>
        <v>October</v>
      </c>
      <c r="AJ249" s="9" t="str">
        <f>"Q"&amp;ROUNDUP(MONTH(Cleaned_data[[#This Row],[Order_Date]])/3,0)</f>
        <v>Q4</v>
      </c>
    </row>
    <row r="250" spans="1:36">
      <c r="A250" t="s">
        <v>691</v>
      </c>
      <c r="B250" s="9">
        <v>45569</v>
      </c>
      <c r="C250" s="9">
        <v>45579</v>
      </c>
      <c r="D250" t="s">
        <v>692</v>
      </c>
      <c r="E250" t="s">
        <v>193</v>
      </c>
      <c r="F250" t="s">
        <v>74</v>
      </c>
      <c r="G250" t="s">
        <v>194</v>
      </c>
      <c r="H250" t="s">
        <v>202</v>
      </c>
      <c r="I250" t="s">
        <v>203</v>
      </c>
      <c r="J250" t="s">
        <v>219</v>
      </c>
      <c r="K250" t="s">
        <v>147</v>
      </c>
      <c r="L250" t="s">
        <v>131</v>
      </c>
      <c r="M250" t="s">
        <v>132</v>
      </c>
      <c r="N250" t="s">
        <v>120</v>
      </c>
      <c r="O250" t="s">
        <v>133</v>
      </c>
      <c r="P250" s="8">
        <v>2</v>
      </c>
      <c r="Q250" s="10">
        <v>85.47</v>
      </c>
      <c r="R250" s="11">
        <v>0.08</v>
      </c>
      <c r="S250" s="10">
        <v>8.56</v>
      </c>
      <c r="T250" t="s">
        <v>122</v>
      </c>
      <c r="U250" t="s">
        <v>85</v>
      </c>
      <c r="V250" s="8">
        <v>1</v>
      </c>
      <c r="W250" t="s">
        <v>1270</v>
      </c>
      <c r="X250" t="str">
        <f>_xlfn.XLOOKUP(Cleaned_data[[#This Row],[Customer_ID]],Customers[S],Customers[Loyalty_Tier])</f>
        <v>Bronze</v>
      </c>
      <c r="Y250" s="9">
        <f>_xlfn.XLOOKUP(Cleaned_data[[#This Row],[Customer_ID]],Customers[S],Customers[Signup_Date])</f>
        <v>45516</v>
      </c>
      <c r="Z250" s="12">
        <f>_xlfn.XLOOKUP(Cleaned_data[[#This Row],[SKU]],Products[SKU],Products[Standard_Cost])</f>
        <v>44</v>
      </c>
      <c r="AA250" s="10">
        <f>Cleaned_data[[#This Row],[Quantity]]*Cleaned_data[[#This Row],[Unit_Price]]</f>
        <v>170.94</v>
      </c>
      <c r="AB250" s="10">
        <f>Cleaned_data[[#This Row],[Unit_Price]]*Cleaned_data[[#This Row],[Discount_Pct]]</f>
        <v>6.8376000000000001</v>
      </c>
      <c r="AC250" s="10">
        <f>Cleaned_data[[#This Row],[Gross Sales]]-Cleaned_data[[#This Row],[Discount amount]]</f>
        <v>164.10239999999999</v>
      </c>
      <c r="AD250" s="10">
        <f>Cleaned_data[[#This Row],[Product Cost]]*Cleaned_data[[#This Row],[Quantity]]</f>
        <v>88</v>
      </c>
      <c r="AE250" s="10">
        <f>Cleaned_data[[#This Row],[Net Sales]]-Cleaned_data[[#This Row],[COGS]]</f>
        <v>76.102399999999989</v>
      </c>
      <c r="AF250" s="11">
        <f>Cleaned_data[[#This Row],[Gross Profit]]/Cleaned_data[[#This Row],[Net Sales]]</f>
        <v>0.46374946374946369</v>
      </c>
      <c r="AG250">
        <f>Cleaned_data[[#This Row],[Ship_Date]]-Cleaned_data[[#This Row],[Order_Date]]</f>
        <v>10</v>
      </c>
      <c r="AH250" t="str">
        <f>IF(Cleaned_data[[#This Row],[Delivery Days]]&gt;10,"late","on time")</f>
        <v>on time</v>
      </c>
      <c r="AI250" t="str">
        <f>TEXT(Cleaned_data[[#This Row],[Order_Date]],"mmmm")</f>
        <v>October</v>
      </c>
      <c r="AJ250" s="9" t="str">
        <f>"Q"&amp;ROUNDUP(MONTH(Cleaned_data[[#This Row],[Order_Date]])/3,0)</f>
        <v>Q4</v>
      </c>
    </row>
    <row r="251" spans="1:36">
      <c r="A251" t="s">
        <v>693</v>
      </c>
      <c r="B251" s="9">
        <v>45570</v>
      </c>
      <c r="C251" s="9">
        <v>45571</v>
      </c>
      <c r="D251" t="s">
        <v>694</v>
      </c>
      <c r="E251" t="s">
        <v>695</v>
      </c>
      <c r="F251" t="s">
        <v>89</v>
      </c>
      <c r="G251" t="s">
        <v>194</v>
      </c>
      <c r="H251" t="s">
        <v>225</v>
      </c>
      <c r="I251" t="s">
        <v>226</v>
      </c>
      <c r="J251" t="s">
        <v>129</v>
      </c>
      <c r="K251" t="s">
        <v>79</v>
      </c>
      <c r="L251" t="s">
        <v>207</v>
      </c>
      <c r="M251" t="s">
        <v>208</v>
      </c>
      <c r="N251" t="s">
        <v>120</v>
      </c>
      <c r="O251" t="s">
        <v>164</v>
      </c>
      <c r="P251" s="8">
        <v>3</v>
      </c>
      <c r="Q251" s="10">
        <v>1327.72</v>
      </c>
      <c r="R251" s="11">
        <v>0.11</v>
      </c>
      <c r="S251" s="10">
        <v>5.47</v>
      </c>
      <c r="T251" t="s">
        <v>122</v>
      </c>
      <c r="U251" t="s">
        <v>85</v>
      </c>
      <c r="V251" s="8">
        <v>5</v>
      </c>
      <c r="W251" t="s">
        <v>1270</v>
      </c>
      <c r="X251" t="str">
        <f>_xlfn.XLOOKUP(Cleaned_data[[#This Row],[Customer_ID]],Customers[S],Customers[Loyalty_Tier])</f>
        <v>Silver</v>
      </c>
      <c r="Y251" s="9">
        <f>_xlfn.XLOOKUP(Cleaned_data[[#This Row],[Customer_ID]],Customers[S],Customers[Signup_Date])</f>
        <v>45642</v>
      </c>
      <c r="Z251" s="12">
        <f>_xlfn.XLOOKUP(Cleaned_data[[#This Row],[SKU]],Products[SKU],Products[Standard_Cost])</f>
        <v>885</v>
      </c>
      <c r="AA251" s="10">
        <f>Cleaned_data[[#This Row],[Quantity]]*Cleaned_data[[#This Row],[Unit_Price]]</f>
        <v>3983.16</v>
      </c>
      <c r="AB251" s="10">
        <f>Cleaned_data[[#This Row],[Unit_Price]]*Cleaned_data[[#This Row],[Discount_Pct]]</f>
        <v>146.04920000000001</v>
      </c>
      <c r="AC251" s="10">
        <f>Cleaned_data[[#This Row],[Gross Sales]]-Cleaned_data[[#This Row],[Discount amount]]</f>
        <v>3837.1107999999999</v>
      </c>
      <c r="AD251" s="10">
        <f>Cleaned_data[[#This Row],[Product Cost]]*Cleaned_data[[#This Row],[Quantity]]</f>
        <v>2655</v>
      </c>
      <c r="AE251" s="10">
        <f>Cleaned_data[[#This Row],[Net Sales]]-Cleaned_data[[#This Row],[COGS]]</f>
        <v>1182.1107999999999</v>
      </c>
      <c r="AF251" s="11">
        <f>Cleaned_data[[#This Row],[Gross Profit]]/Cleaned_data[[#This Row],[Net Sales]]</f>
        <v>0.30807314711892081</v>
      </c>
      <c r="AG251">
        <f>Cleaned_data[[#This Row],[Ship_Date]]-Cleaned_data[[#This Row],[Order_Date]]</f>
        <v>1</v>
      </c>
      <c r="AH251" t="str">
        <f>IF(Cleaned_data[[#This Row],[Delivery Days]]&gt;10,"late","on time")</f>
        <v>on time</v>
      </c>
      <c r="AI251" t="str">
        <f>TEXT(Cleaned_data[[#This Row],[Order_Date]],"mmmm")</f>
        <v>October</v>
      </c>
      <c r="AJ251" s="9" t="str">
        <f>"Q"&amp;ROUNDUP(MONTH(Cleaned_data[[#This Row],[Order_Date]])/3,0)</f>
        <v>Q4</v>
      </c>
    </row>
    <row r="252" spans="1:36">
      <c r="A252" t="s">
        <v>696</v>
      </c>
      <c r="B252" s="9">
        <v>45573</v>
      </c>
      <c r="C252" s="9">
        <v>45579</v>
      </c>
      <c r="D252" t="s">
        <v>378</v>
      </c>
      <c r="E252" t="s">
        <v>379</v>
      </c>
      <c r="F252" t="s">
        <v>152</v>
      </c>
      <c r="G252" t="s">
        <v>126</v>
      </c>
      <c r="H252" t="s">
        <v>160</v>
      </c>
      <c r="I252" t="s">
        <v>161</v>
      </c>
      <c r="J252" t="s">
        <v>219</v>
      </c>
      <c r="K252" t="s">
        <v>130</v>
      </c>
      <c r="L252" t="s">
        <v>162</v>
      </c>
      <c r="M252" t="s">
        <v>163</v>
      </c>
      <c r="N252" t="s">
        <v>120</v>
      </c>
      <c r="O252" t="s">
        <v>164</v>
      </c>
      <c r="P252" s="8">
        <v>1</v>
      </c>
      <c r="Q252" s="10">
        <v>901.42</v>
      </c>
      <c r="R252" s="11">
        <v>0.11</v>
      </c>
      <c r="S252" s="10">
        <v>10.49</v>
      </c>
      <c r="T252" t="s">
        <v>122</v>
      </c>
      <c r="U252" t="s">
        <v>85</v>
      </c>
      <c r="W252" t="s">
        <v>1270</v>
      </c>
      <c r="X252" t="str">
        <f>_xlfn.XLOOKUP(Cleaned_data[[#This Row],[Customer_ID]],Customers[S],Customers[Loyalty_Tier])</f>
        <v>Gold</v>
      </c>
      <c r="Y252" s="9">
        <f>_xlfn.XLOOKUP(Cleaned_data[[#This Row],[Customer_ID]],Customers[S],Customers[Signup_Date])</f>
        <v>45713</v>
      </c>
      <c r="Z252" s="12">
        <f>_xlfn.XLOOKUP(Cleaned_data[[#This Row],[SKU]],Products[SKU],Products[Standard_Cost])</f>
        <v>585</v>
      </c>
      <c r="AA252" s="10">
        <f>Cleaned_data[[#This Row],[Quantity]]*Cleaned_data[[#This Row],[Unit_Price]]</f>
        <v>901.42</v>
      </c>
      <c r="AB252" s="10">
        <f>Cleaned_data[[#This Row],[Unit_Price]]*Cleaned_data[[#This Row],[Discount_Pct]]</f>
        <v>99.156199999999998</v>
      </c>
      <c r="AC252" s="10">
        <f>Cleaned_data[[#This Row],[Gross Sales]]-Cleaned_data[[#This Row],[Discount amount]]</f>
        <v>802.26379999999995</v>
      </c>
      <c r="AD252" s="10">
        <f>Cleaned_data[[#This Row],[Product Cost]]*Cleaned_data[[#This Row],[Quantity]]</f>
        <v>585</v>
      </c>
      <c r="AE252" s="10">
        <f>Cleaned_data[[#This Row],[Net Sales]]-Cleaned_data[[#This Row],[COGS]]</f>
        <v>217.26379999999995</v>
      </c>
      <c r="AF252" s="11">
        <f>Cleaned_data[[#This Row],[Gross Profit]]/Cleaned_data[[#This Row],[Net Sales]]</f>
        <v>0.27081341573681866</v>
      </c>
      <c r="AG252">
        <f>Cleaned_data[[#This Row],[Ship_Date]]-Cleaned_data[[#This Row],[Order_Date]]</f>
        <v>6</v>
      </c>
      <c r="AH252" t="str">
        <f>IF(Cleaned_data[[#This Row],[Delivery Days]]&gt;10,"late","on time")</f>
        <v>on time</v>
      </c>
      <c r="AI252" t="str">
        <f>TEXT(Cleaned_data[[#This Row],[Order_Date]],"mmmm")</f>
        <v>October</v>
      </c>
      <c r="AJ252" s="9" t="str">
        <f>"Q"&amp;ROUNDUP(MONTH(Cleaned_data[[#This Row],[Order_Date]])/3,0)</f>
        <v>Q4</v>
      </c>
    </row>
    <row r="253" spans="1:36">
      <c r="A253" t="s">
        <v>697</v>
      </c>
      <c r="B253" s="9">
        <v>45574</v>
      </c>
      <c r="C253" s="9">
        <v>45585</v>
      </c>
      <c r="D253" t="s">
        <v>698</v>
      </c>
      <c r="E253" t="s">
        <v>699</v>
      </c>
      <c r="F253" t="s">
        <v>74</v>
      </c>
      <c r="G253" t="s">
        <v>138</v>
      </c>
      <c r="H253" t="s">
        <v>457</v>
      </c>
      <c r="I253" t="s">
        <v>458</v>
      </c>
      <c r="J253" t="s">
        <v>78</v>
      </c>
      <c r="K253" t="s">
        <v>79</v>
      </c>
      <c r="L253" t="s">
        <v>214</v>
      </c>
      <c r="M253" t="s">
        <v>215</v>
      </c>
      <c r="N253" t="s">
        <v>103</v>
      </c>
      <c r="O253" t="s">
        <v>171</v>
      </c>
      <c r="P253" s="8">
        <v>9</v>
      </c>
      <c r="Q253" s="10">
        <v>12.29</v>
      </c>
      <c r="R253" s="11">
        <v>0.02</v>
      </c>
      <c r="S253" s="10">
        <v>11.48</v>
      </c>
      <c r="T253" t="s">
        <v>105</v>
      </c>
      <c r="U253" t="s">
        <v>85</v>
      </c>
      <c r="V253" s="8">
        <v>4</v>
      </c>
      <c r="W253" t="s">
        <v>1270</v>
      </c>
      <c r="X253" t="str">
        <f>_xlfn.XLOOKUP(Cleaned_data[[#This Row],[Customer_ID]],Customers[S],Customers[Loyalty_Tier])</f>
        <v>Bronze</v>
      </c>
      <c r="Y253" s="9">
        <f>_xlfn.XLOOKUP(Cleaned_data[[#This Row],[Customer_ID]],Customers[S],Customers[Signup_Date])</f>
        <v>45631</v>
      </c>
      <c r="Z253" s="12">
        <f>_xlfn.XLOOKUP(Cleaned_data[[#This Row],[SKU]],Products[SKU],Products[Standard_Cost])</f>
        <v>5</v>
      </c>
      <c r="AA253" s="10">
        <f>Cleaned_data[[#This Row],[Quantity]]*Cleaned_data[[#This Row],[Unit_Price]]</f>
        <v>110.60999999999999</v>
      </c>
      <c r="AB253" s="10">
        <f>Cleaned_data[[#This Row],[Unit_Price]]*Cleaned_data[[#This Row],[Discount_Pct]]</f>
        <v>0.24579999999999999</v>
      </c>
      <c r="AC253" s="10">
        <f>Cleaned_data[[#This Row],[Gross Sales]]-Cleaned_data[[#This Row],[Discount amount]]</f>
        <v>110.36419999999998</v>
      </c>
      <c r="AD253" s="10">
        <f>Cleaned_data[[#This Row],[Product Cost]]*Cleaned_data[[#This Row],[Quantity]]</f>
        <v>45</v>
      </c>
      <c r="AE253" s="10">
        <f>Cleaned_data[[#This Row],[Net Sales]]-Cleaned_data[[#This Row],[COGS]]</f>
        <v>65.364199999999983</v>
      </c>
      <c r="AF253" s="11">
        <f>Cleaned_data[[#This Row],[Gross Profit]]/Cleaned_data[[#This Row],[Net Sales]]</f>
        <v>0.59225908401456262</v>
      </c>
      <c r="AG253">
        <f>Cleaned_data[[#This Row],[Ship_Date]]-Cleaned_data[[#This Row],[Order_Date]]</f>
        <v>11</v>
      </c>
      <c r="AH253" t="str">
        <f>IF(Cleaned_data[[#This Row],[Delivery Days]]&gt;10,"late","on time")</f>
        <v>late</v>
      </c>
      <c r="AI253" t="str">
        <f>TEXT(Cleaned_data[[#This Row],[Order_Date]],"mmmm")</f>
        <v>October</v>
      </c>
      <c r="AJ253" s="9" t="str">
        <f>"Q"&amp;ROUNDUP(MONTH(Cleaned_data[[#This Row],[Order_Date]])/3,0)</f>
        <v>Q4</v>
      </c>
    </row>
    <row r="254" spans="1:36">
      <c r="A254" t="s">
        <v>700</v>
      </c>
      <c r="B254" s="9">
        <v>45575</v>
      </c>
      <c r="C254" s="9">
        <v>45576</v>
      </c>
      <c r="D254" t="s">
        <v>472</v>
      </c>
      <c r="E254" t="s">
        <v>272</v>
      </c>
      <c r="F254" t="s">
        <v>89</v>
      </c>
      <c r="G254" t="s">
        <v>194</v>
      </c>
      <c r="H254" t="s">
        <v>240</v>
      </c>
      <c r="I254" t="s">
        <v>241</v>
      </c>
      <c r="J254" t="s">
        <v>109</v>
      </c>
      <c r="K254" t="s">
        <v>147</v>
      </c>
      <c r="L254" t="s">
        <v>162</v>
      </c>
      <c r="M254" t="s">
        <v>163</v>
      </c>
      <c r="N254" t="s">
        <v>120</v>
      </c>
      <c r="O254" t="s">
        <v>164</v>
      </c>
      <c r="P254" s="8">
        <v>3</v>
      </c>
      <c r="Q254" s="10">
        <v>920.41</v>
      </c>
      <c r="R254" s="11">
        <v>0.06</v>
      </c>
      <c r="S254" s="10">
        <v>12.03</v>
      </c>
      <c r="T254" t="s">
        <v>122</v>
      </c>
      <c r="U254" t="s">
        <v>85</v>
      </c>
      <c r="V254" s="8">
        <v>2</v>
      </c>
      <c r="W254" t="s">
        <v>1270</v>
      </c>
      <c r="X254" t="str">
        <f>_xlfn.XLOOKUP(Cleaned_data[[#This Row],[Customer_ID]],Customers[S],Customers[Loyalty_Tier])</f>
        <v>Bronze</v>
      </c>
      <c r="Y254" s="9">
        <f>_xlfn.XLOOKUP(Cleaned_data[[#This Row],[Customer_ID]],Customers[S],Customers[Signup_Date])</f>
        <v>44494</v>
      </c>
      <c r="Z254" s="12">
        <f>_xlfn.XLOOKUP(Cleaned_data[[#This Row],[SKU]],Products[SKU],Products[Standard_Cost])</f>
        <v>585</v>
      </c>
      <c r="AA254" s="10">
        <f>Cleaned_data[[#This Row],[Quantity]]*Cleaned_data[[#This Row],[Unit_Price]]</f>
        <v>2761.23</v>
      </c>
      <c r="AB254" s="10">
        <f>Cleaned_data[[#This Row],[Unit_Price]]*Cleaned_data[[#This Row],[Discount_Pct]]</f>
        <v>55.224599999999995</v>
      </c>
      <c r="AC254" s="10">
        <f>Cleaned_data[[#This Row],[Gross Sales]]-Cleaned_data[[#This Row],[Discount amount]]</f>
        <v>2706.0054</v>
      </c>
      <c r="AD254" s="10">
        <f>Cleaned_data[[#This Row],[Product Cost]]*Cleaned_data[[#This Row],[Quantity]]</f>
        <v>1755</v>
      </c>
      <c r="AE254" s="10">
        <f>Cleaned_data[[#This Row],[Net Sales]]-Cleaned_data[[#This Row],[COGS]]</f>
        <v>951.00540000000001</v>
      </c>
      <c r="AF254" s="11">
        <f>Cleaned_data[[#This Row],[Gross Profit]]/Cleaned_data[[#This Row],[Net Sales]]</f>
        <v>0.35144253592398594</v>
      </c>
      <c r="AG254">
        <f>Cleaned_data[[#This Row],[Ship_Date]]-Cleaned_data[[#This Row],[Order_Date]]</f>
        <v>1</v>
      </c>
      <c r="AH254" t="str">
        <f>IF(Cleaned_data[[#This Row],[Delivery Days]]&gt;10,"late","on time")</f>
        <v>on time</v>
      </c>
      <c r="AI254" t="str">
        <f>TEXT(Cleaned_data[[#This Row],[Order_Date]],"mmmm")</f>
        <v>October</v>
      </c>
      <c r="AJ254" s="9" t="str">
        <f>"Q"&amp;ROUNDUP(MONTH(Cleaned_data[[#This Row],[Order_Date]])/3,0)</f>
        <v>Q4</v>
      </c>
    </row>
    <row r="255" spans="1:36">
      <c r="A255" t="s">
        <v>701</v>
      </c>
      <c r="B255" s="9">
        <v>45575</v>
      </c>
      <c r="C255" s="9">
        <v>45583</v>
      </c>
      <c r="D255" t="s">
        <v>276</v>
      </c>
      <c r="E255" t="s">
        <v>277</v>
      </c>
      <c r="F255" t="s">
        <v>152</v>
      </c>
      <c r="G255" t="s">
        <v>75</v>
      </c>
      <c r="H255" t="s">
        <v>212</v>
      </c>
      <c r="I255" t="s">
        <v>213</v>
      </c>
      <c r="J255" t="s">
        <v>129</v>
      </c>
      <c r="K255" t="s">
        <v>147</v>
      </c>
      <c r="L255" t="s">
        <v>242</v>
      </c>
      <c r="M255" t="s">
        <v>243</v>
      </c>
      <c r="N255" t="s">
        <v>120</v>
      </c>
      <c r="O255" t="s">
        <v>133</v>
      </c>
      <c r="P255" s="8">
        <v>4</v>
      </c>
      <c r="Q255" s="10">
        <v>194.7</v>
      </c>
      <c r="R255" s="11">
        <v>0.02</v>
      </c>
      <c r="S255" s="10">
        <v>15.42</v>
      </c>
      <c r="T255" t="s">
        <v>105</v>
      </c>
      <c r="U255" t="s">
        <v>85</v>
      </c>
      <c r="V255" s="8">
        <v>5</v>
      </c>
      <c r="W255" t="s">
        <v>1270</v>
      </c>
      <c r="X255" t="str">
        <f>_xlfn.XLOOKUP(Cleaned_data[[#This Row],[Customer_ID]],Customers[S],Customers[Loyalty_Tier])</f>
        <v>Silver</v>
      </c>
      <c r="Y255" s="9">
        <f>_xlfn.XLOOKUP(Cleaned_data[[#This Row],[Customer_ID]],Customers[S],Customers[Signup_Date])</f>
        <v>44291</v>
      </c>
      <c r="Z255" s="12">
        <f>_xlfn.XLOOKUP(Cleaned_data[[#This Row],[SKU]],Products[SKU],Products[Standard_Cost])</f>
        <v>96</v>
      </c>
      <c r="AA255" s="10">
        <f>Cleaned_data[[#This Row],[Quantity]]*Cleaned_data[[#This Row],[Unit_Price]]</f>
        <v>778.8</v>
      </c>
      <c r="AB255" s="10">
        <f>Cleaned_data[[#This Row],[Unit_Price]]*Cleaned_data[[#This Row],[Discount_Pct]]</f>
        <v>3.8939999999999997</v>
      </c>
      <c r="AC255" s="10">
        <f>Cleaned_data[[#This Row],[Gross Sales]]-Cleaned_data[[#This Row],[Discount amount]]</f>
        <v>774.90599999999995</v>
      </c>
      <c r="AD255" s="10">
        <f>Cleaned_data[[#This Row],[Product Cost]]*Cleaned_data[[#This Row],[Quantity]]</f>
        <v>384</v>
      </c>
      <c r="AE255" s="10">
        <f>Cleaned_data[[#This Row],[Net Sales]]-Cleaned_data[[#This Row],[COGS]]</f>
        <v>390.90599999999995</v>
      </c>
      <c r="AF255" s="11">
        <f>Cleaned_data[[#This Row],[Gross Profit]]/Cleaned_data[[#This Row],[Net Sales]]</f>
        <v>0.50445602434359782</v>
      </c>
      <c r="AG255">
        <f>Cleaned_data[[#This Row],[Ship_Date]]-Cleaned_data[[#This Row],[Order_Date]]</f>
        <v>8</v>
      </c>
      <c r="AH255" t="str">
        <f>IF(Cleaned_data[[#This Row],[Delivery Days]]&gt;10,"late","on time")</f>
        <v>on time</v>
      </c>
      <c r="AI255" t="str">
        <f>TEXT(Cleaned_data[[#This Row],[Order_Date]],"mmmm")</f>
        <v>October</v>
      </c>
      <c r="AJ255" s="9" t="str">
        <f>"Q"&amp;ROUNDUP(MONTH(Cleaned_data[[#This Row],[Order_Date]])/3,0)</f>
        <v>Q4</v>
      </c>
    </row>
    <row r="256" spans="1:36">
      <c r="A256" t="s">
        <v>702</v>
      </c>
      <c r="B256" s="9">
        <v>45576</v>
      </c>
      <c r="C256" s="9">
        <v>45582</v>
      </c>
      <c r="D256" t="s">
        <v>463</v>
      </c>
      <c r="E256" t="s">
        <v>464</v>
      </c>
      <c r="F256" t="s">
        <v>152</v>
      </c>
      <c r="G256" t="s">
        <v>194</v>
      </c>
      <c r="H256" t="s">
        <v>202</v>
      </c>
      <c r="I256" t="s">
        <v>203</v>
      </c>
      <c r="J256" t="s">
        <v>219</v>
      </c>
      <c r="K256" t="s">
        <v>147</v>
      </c>
      <c r="L256" t="s">
        <v>110</v>
      </c>
      <c r="M256" t="s">
        <v>111</v>
      </c>
      <c r="N256" t="s">
        <v>82</v>
      </c>
      <c r="O256" t="s">
        <v>112</v>
      </c>
      <c r="P256" s="8">
        <v>2</v>
      </c>
      <c r="Q256" s="10">
        <v>310.82</v>
      </c>
      <c r="R256" s="11">
        <v>0.11</v>
      </c>
      <c r="S256" s="10">
        <v>7</v>
      </c>
      <c r="T256" t="s">
        <v>84</v>
      </c>
      <c r="U256" t="s">
        <v>85</v>
      </c>
      <c r="V256" s="8">
        <v>3</v>
      </c>
      <c r="W256" t="s">
        <v>1270</v>
      </c>
      <c r="X256" t="str">
        <f>_xlfn.XLOOKUP(Cleaned_data[[#This Row],[Customer_ID]],Customers[S],Customers[Loyalty_Tier])</f>
        <v>Silver</v>
      </c>
      <c r="Y256" s="9">
        <f>_xlfn.XLOOKUP(Cleaned_data[[#This Row],[Customer_ID]],Customers[S],Customers[Signup_Date])</f>
        <v>45862</v>
      </c>
      <c r="Z256" s="12">
        <f>_xlfn.XLOOKUP(Cleaned_data[[#This Row],[SKU]],Products[SKU],Products[Standard_Cost])</f>
        <v>165</v>
      </c>
      <c r="AA256" s="10">
        <f>Cleaned_data[[#This Row],[Quantity]]*Cleaned_data[[#This Row],[Unit_Price]]</f>
        <v>621.64</v>
      </c>
      <c r="AB256" s="10">
        <f>Cleaned_data[[#This Row],[Unit_Price]]*Cleaned_data[[#This Row],[Discount_Pct]]</f>
        <v>34.190199999999997</v>
      </c>
      <c r="AC256" s="10">
        <f>Cleaned_data[[#This Row],[Gross Sales]]-Cleaned_data[[#This Row],[Discount amount]]</f>
        <v>587.44979999999998</v>
      </c>
      <c r="AD256" s="10">
        <f>Cleaned_data[[#This Row],[Product Cost]]*Cleaned_data[[#This Row],[Quantity]]</f>
        <v>330</v>
      </c>
      <c r="AE256" s="10">
        <f>Cleaned_data[[#This Row],[Net Sales]]-Cleaned_data[[#This Row],[COGS]]</f>
        <v>257.44979999999998</v>
      </c>
      <c r="AF256" s="11">
        <f>Cleaned_data[[#This Row],[Gross Profit]]/Cleaned_data[[#This Row],[Net Sales]]</f>
        <v>0.43824987258485743</v>
      </c>
      <c r="AG256">
        <f>Cleaned_data[[#This Row],[Ship_Date]]-Cleaned_data[[#This Row],[Order_Date]]</f>
        <v>6</v>
      </c>
      <c r="AH256" t="str">
        <f>IF(Cleaned_data[[#This Row],[Delivery Days]]&gt;10,"late","on time")</f>
        <v>on time</v>
      </c>
      <c r="AI256" t="str">
        <f>TEXT(Cleaned_data[[#This Row],[Order_Date]],"mmmm")</f>
        <v>October</v>
      </c>
      <c r="AJ256" s="9" t="str">
        <f>"Q"&amp;ROUNDUP(MONTH(Cleaned_data[[#This Row],[Order_Date]])/3,0)</f>
        <v>Q4</v>
      </c>
    </row>
    <row r="257" spans="1:36">
      <c r="A257" t="s">
        <v>703</v>
      </c>
      <c r="B257" s="9">
        <v>45576</v>
      </c>
      <c r="C257" s="9">
        <v>45581</v>
      </c>
      <c r="D257" t="s">
        <v>704</v>
      </c>
      <c r="E257" t="s">
        <v>705</v>
      </c>
      <c r="F257" t="s">
        <v>89</v>
      </c>
      <c r="G257" t="s">
        <v>138</v>
      </c>
      <c r="H257" t="s">
        <v>186</v>
      </c>
      <c r="I257" t="s">
        <v>187</v>
      </c>
      <c r="J257" t="s">
        <v>129</v>
      </c>
      <c r="K257" t="s">
        <v>168</v>
      </c>
      <c r="L257" t="s">
        <v>162</v>
      </c>
      <c r="M257" t="s">
        <v>163</v>
      </c>
      <c r="N257" t="s">
        <v>120</v>
      </c>
      <c r="O257" t="s">
        <v>164</v>
      </c>
      <c r="P257" s="8">
        <v>3</v>
      </c>
      <c r="Q257" s="10">
        <v>845.52</v>
      </c>
      <c r="R257" s="11">
        <v>0.1</v>
      </c>
      <c r="S257" s="10">
        <v>12.6</v>
      </c>
      <c r="T257" t="s">
        <v>122</v>
      </c>
      <c r="U257" t="s">
        <v>85</v>
      </c>
      <c r="V257" s="8">
        <v>1</v>
      </c>
      <c r="W257" t="s">
        <v>1270</v>
      </c>
      <c r="X257" t="str">
        <f>_xlfn.XLOOKUP(Cleaned_data[[#This Row],[Customer_ID]],Customers[S],Customers[Loyalty_Tier])</f>
        <v>Silver</v>
      </c>
      <c r="Y257" s="9">
        <f>_xlfn.XLOOKUP(Cleaned_data[[#This Row],[Customer_ID]],Customers[S],Customers[Signup_Date])</f>
        <v>45403</v>
      </c>
      <c r="Z257" s="12">
        <f>_xlfn.XLOOKUP(Cleaned_data[[#This Row],[SKU]],Products[SKU],Products[Standard_Cost])</f>
        <v>585</v>
      </c>
      <c r="AA257" s="10">
        <f>Cleaned_data[[#This Row],[Quantity]]*Cleaned_data[[#This Row],[Unit_Price]]</f>
        <v>2536.56</v>
      </c>
      <c r="AB257" s="10">
        <f>Cleaned_data[[#This Row],[Unit_Price]]*Cleaned_data[[#This Row],[Discount_Pct]]</f>
        <v>84.552000000000007</v>
      </c>
      <c r="AC257" s="10">
        <f>Cleaned_data[[#This Row],[Gross Sales]]-Cleaned_data[[#This Row],[Discount amount]]</f>
        <v>2452.0079999999998</v>
      </c>
      <c r="AD257" s="10">
        <f>Cleaned_data[[#This Row],[Product Cost]]*Cleaned_data[[#This Row],[Quantity]]</f>
        <v>1755</v>
      </c>
      <c r="AE257" s="10">
        <f>Cleaned_data[[#This Row],[Net Sales]]-Cleaned_data[[#This Row],[COGS]]</f>
        <v>697.00799999999981</v>
      </c>
      <c r="AF257" s="11">
        <f>Cleaned_data[[#This Row],[Gross Profit]]/Cleaned_data[[#This Row],[Net Sales]]</f>
        <v>0.28426008398015007</v>
      </c>
      <c r="AG257">
        <f>Cleaned_data[[#This Row],[Ship_Date]]-Cleaned_data[[#This Row],[Order_Date]]</f>
        <v>5</v>
      </c>
      <c r="AH257" t="str">
        <f>IF(Cleaned_data[[#This Row],[Delivery Days]]&gt;10,"late","on time")</f>
        <v>on time</v>
      </c>
      <c r="AI257" t="str">
        <f>TEXT(Cleaned_data[[#This Row],[Order_Date]],"mmmm")</f>
        <v>October</v>
      </c>
      <c r="AJ257" s="9" t="str">
        <f>"Q"&amp;ROUNDUP(MONTH(Cleaned_data[[#This Row],[Order_Date]])/3,0)</f>
        <v>Q4</v>
      </c>
    </row>
    <row r="258" spans="1:36">
      <c r="A258" t="s">
        <v>706</v>
      </c>
      <c r="B258" s="9">
        <v>45576</v>
      </c>
      <c r="C258" s="9">
        <v>45580</v>
      </c>
      <c r="D258" t="s">
        <v>541</v>
      </c>
      <c r="E258" t="s">
        <v>542</v>
      </c>
      <c r="F258" t="s">
        <v>89</v>
      </c>
      <c r="G258" t="s">
        <v>138</v>
      </c>
      <c r="H258" t="s">
        <v>139</v>
      </c>
      <c r="I258" t="s">
        <v>140</v>
      </c>
      <c r="J258" t="s">
        <v>129</v>
      </c>
      <c r="K258" t="s">
        <v>90</v>
      </c>
      <c r="L258" t="s">
        <v>197</v>
      </c>
      <c r="M258" t="s">
        <v>198</v>
      </c>
      <c r="N258" t="s">
        <v>120</v>
      </c>
      <c r="O258" t="s">
        <v>121</v>
      </c>
      <c r="P258" s="8">
        <v>3</v>
      </c>
      <c r="Q258" s="10">
        <v>512.22</v>
      </c>
      <c r="R258" s="11">
        <v>0.01</v>
      </c>
      <c r="S258" s="10">
        <v>11.84</v>
      </c>
      <c r="T258" t="s">
        <v>134</v>
      </c>
      <c r="U258" t="s">
        <v>85</v>
      </c>
      <c r="V258" s="8">
        <v>3</v>
      </c>
      <c r="W258" t="s">
        <v>1270</v>
      </c>
      <c r="X258" t="str">
        <f>_xlfn.XLOOKUP(Cleaned_data[[#This Row],[Customer_ID]],Customers[S],Customers[Loyalty_Tier])</f>
        <v>Silver</v>
      </c>
      <c r="Y258" s="9">
        <f>_xlfn.XLOOKUP(Cleaned_data[[#This Row],[Customer_ID]],Customers[S],Customers[Signup_Date])</f>
        <v>45674</v>
      </c>
      <c r="Z258" s="12">
        <f>_xlfn.XLOOKUP(Cleaned_data[[#This Row],[SKU]],Products[SKU],Products[Standard_Cost])</f>
        <v>310</v>
      </c>
      <c r="AA258" s="10">
        <f>Cleaned_data[[#This Row],[Quantity]]*Cleaned_data[[#This Row],[Unit_Price]]</f>
        <v>1536.66</v>
      </c>
      <c r="AB258" s="10">
        <f>Cleaned_data[[#This Row],[Unit_Price]]*Cleaned_data[[#This Row],[Discount_Pct]]</f>
        <v>5.1222000000000003</v>
      </c>
      <c r="AC258" s="10">
        <f>Cleaned_data[[#This Row],[Gross Sales]]-Cleaned_data[[#This Row],[Discount amount]]</f>
        <v>1531.5378000000001</v>
      </c>
      <c r="AD258" s="10">
        <f>Cleaned_data[[#This Row],[Product Cost]]*Cleaned_data[[#This Row],[Quantity]]</f>
        <v>930</v>
      </c>
      <c r="AE258" s="10">
        <f>Cleaned_data[[#This Row],[Net Sales]]-Cleaned_data[[#This Row],[COGS]]</f>
        <v>601.53780000000006</v>
      </c>
      <c r="AF258" s="11">
        <f>Cleaned_data[[#This Row],[Gross Profit]]/Cleaned_data[[#This Row],[Net Sales]]</f>
        <v>0.39276719125051962</v>
      </c>
      <c r="AG258">
        <f>Cleaned_data[[#This Row],[Ship_Date]]-Cleaned_data[[#This Row],[Order_Date]]</f>
        <v>4</v>
      </c>
      <c r="AH258" t="str">
        <f>IF(Cleaned_data[[#This Row],[Delivery Days]]&gt;10,"late","on time")</f>
        <v>on time</v>
      </c>
      <c r="AI258" t="str">
        <f>TEXT(Cleaned_data[[#This Row],[Order_Date]],"mmmm")</f>
        <v>October</v>
      </c>
      <c r="AJ258" s="9" t="str">
        <f>"Q"&amp;ROUNDUP(MONTH(Cleaned_data[[#This Row],[Order_Date]])/3,0)</f>
        <v>Q4</v>
      </c>
    </row>
    <row r="259" spans="1:36">
      <c r="A259" t="s">
        <v>707</v>
      </c>
      <c r="B259" s="9">
        <v>45577</v>
      </c>
      <c r="C259" s="9">
        <v>45583</v>
      </c>
      <c r="D259" t="s">
        <v>474</v>
      </c>
      <c r="E259" t="s">
        <v>475</v>
      </c>
      <c r="F259" t="s">
        <v>74</v>
      </c>
      <c r="G259" t="s">
        <v>138</v>
      </c>
      <c r="H259" t="s">
        <v>153</v>
      </c>
      <c r="I259" t="s">
        <v>154</v>
      </c>
      <c r="J259" t="s">
        <v>219</v>
      </c>
      <c r="K259" t="s">
        <v>90</v>
      </c>
      <c r="L259" t="s">
        <v>220</v>
      </c>
      <c r="M259" t="s">
        <v>221</v>
      </c>
      <c r="N259" t="s">
        <v>93</v>
      </c>
      <c r="O259" t="s">
        <v>177</v>
      </c>
      <c r="P259" s="8">
        <v>3</v>
      </c>
      <c r="Q259" s="10">
        <v>228.02</v>
      </c>
      <c r="R259" s="11">
        <v>0.05</v>
      </c>
      <c r="S259" s="10">
        <v>20.48</v>
      </c>
      <c r="T259" t="s">
        <v>105</v>
      </c>
      <c r="U259" t="s">
        <v>85</v>
      </c>
      <c r="V259" s="8">
        <v>2</v>
      </c>
      <c r="W259" t="s">
        <v>1270</v>
      </c>
      <c r="X259" t="str">
        <f>_xlfn.XLOOKUP(Cleaned_data[[#This Row],[Customer_ID]],Customers[S],Customers[Loyalty_Tier])</f>
        <v>Platinum</v>
      </c>
      <c r="Y259" s="9">
        <f>_xlfn.XLOOKUP(Cleaned_data[[#This Row],[Customer_ID]],Customers[S],Customers[Signup_Date])</f>
        <v>45020</v>
      </c>
      <c r="Z259" s="12">
        <f>_xlfn.XLOOKUP(Cleaned_data[[#This Row],[SKU]],Products[SKU],Products[Standard_Cost])</f>
        <v>118</v>
      </c>
      <c r="AA259" s="10">
        <f>Cleaned_data[[#This Row],[Quantity]]*Cleaned_data[[#This Row],[Unit_Price]]</f>
        <v>684.06000000000006</v>
      </c>
      <c r="AB259" s="10">
        <f>Cleaned_data[[#This Row],[Unit_Price]]*Cleaned_data[[#This Row],[Discount_Pct]]</f>
        <v>11.401000000000002</v>
      </c>
      <c r="AC259" s="10">
        <f>Cleaned_data[[#This Row],[Gross Sales]]-Cleaned_data[[#This Row],[Discount amount]]</f>
        <v>672.65900000000011</v>
      </c>
      <c r="AD259" s="10">
        <f>Cleaned_data[[#This Row],[Product Cost]]*Cleaned_data[[#This Row],[Quantity]]</f>
        <v>354</v>
      </c>
      <c r="AE259" s="10">
        <f>Cleaned_data[[#This Row],[Net Sales]]-Cleaned_data[[#This Row],[COGS]]</f>
        <v>318.65900000000011</v>
      </c>
      <c r="AF259" s="11">
        <f>Cleaned_data[[#This Row],[Gross Profit]]/Cleaned_data[[#This Row],[Net Sales]]</f>
        <v>0.47373037452855021</v>
      </c>
      <c r="AG259">
        <f>Cleaned_data[[#This Row],[Ship_Date]]-Cleaned_data[[#This Row],[Order_Date]]</f>
        <v>6</v>
      </c>
      <c r="AH259" t="str">
        <f>IF(Cleaned_data[[#This Row],[Delivery Days]]&gt;10,"late","on time")</f>
        <v>on time</v>
      </c>
      <c r="AI259" t="str">
        <f>TEXT(Cleaned_data[[#This Row],[Order_Date]],"mmmm")</f>
        <v>October</v>
      </c>
      <c r="AJ259" s="9" t="str">
        <f>"Q"&amp;ROUNDUP(MONTH(Cleaned_data[[#This Row],[Order_Date]])/3,0)</f>
        <v>Q4</v>
      </c>
    </row>
    <row r="260" spans="1:36">
      <c r="A260" t="s">
        <v>708</v>
      </c>
      <c r="B260" s="9">
        <v>45578</v>
      </c>
      <c r="C260" s="9">
        <v>45582</v>
      </c>
      <c r="D260" t="s">
        <v>630</v>
      </c>
      <c r="E260" t="s">
        <v>631</v>
      </c>
      <c r="F260" t="s">
        <v>152</v>
      </c>
      <c r="G260" t="s">
        <v>126</v>
      </c>
      <c r="H260" t="s">
        <v>160</v>
      </c>
      <c r="I260" t="s">
        <v>182</v>
      </c>
      <c r="J260" t="s">
        <v>129</v>
      </c>
      <c r="K260" t="s">
        <v>79</v>
      </c>
      <c r="L260" t="s">
        <v>249</v>
      </c>
      <c r="M260" t="s">
        <v>250</v>
      </c>
      <c r="N260" t="s">
        <v>103</v>
      </c>
      <c r="O260" t="s">
        <v>251</v>
      </c>
      <c r="P260" s="8">
        <v>10</v>
      </c>
      <c r="Q260" s="10">
        <v>22.83</v>
      </c>
      <c r="R260" s="11">
        <v>0.32</v>
      </c>
      <c r="S260" s="10">
        <v>11.13</v>
      </c>
      <c r="T260" t="s">
        <v>105</v>
      </c>
      <c r="U260" t="s">
        <v>85</v>
      </c>
      <c r="V260" s="8">
        <v>3</v>
      </c>
      <c r="W260" t="s">
        <v>1270</v>
      </c>
      <c r="X260" t="str">
        <f>_xlfn.XLOOKUP(Cleaned_data[[#This Row],[Customer_ID]],Customers[S],Customers[Loyalty_Tier])</f>
        <v>Silver</v>
      </c>
      <c r="Y260" s="9">
        <f>_xlfn.XLOOKUP(Cleaned_data[[#This Row],[Customer_ID]],Customers[S],Customers[Signup_Date])</f>
        <v>44481</v>
      </c>
      <c r="Z260" s="12">
        <f>_xlfn.XLOOKUP(Cleaned_data[[#This Row],[SKU]],Products[SKU],Products[Standard_Cost])</f>
        <v>10</v>
      </c>
      <c r="AA260" s="10">
        <f>Cleaned_data[[#This Row],[Quantity]]*Cleaned_data[[#This Row],[Unit_Price]]</f>
        <v>228.29999999999998</v>
      </c>
      <c r="AB260" s="10">
        <f>Cleaned_data[[#This Row],[Unit_Price]]*Cleaned_data[[#This Row],[Discount_Pct]]</f>
        <v>7.3055999999999992</v>
      </c>
      <c r="AC260" s="10">
        <f>Cleaned_data[[#This Row],[Gross Sales]]-Cleaned_data[[#This Row],[Discount amount]]</f>
        <v>220.99439999999998</v>
      </c>
      <c r="AD260" s="10">
        <f>Cleaned_data[[#This Row],[Product Cost]]*Cleaned_data[[#This Row],[Quantity]]</f>
        <v>100</v>
      </c>
      <c r="AE260" s="10">
        <f>Cleaned_data[[#This Row],[Net Sales]]-Cleaned_data[[#This Row],[COGS]]</f>
        <v>120.99439999999998</v>
      </c>
      <c r="AF260" s="11">
        <f>Cleaned_data[[#This Row],[Gross Profit]]/Cleaned_data[[#This Row],[Net Sales]]</f>
        <v>0.54749984614994762</v>
      </c>
      <c r="AG260">
        <f>Cleaned_data[[#This Row],[Ship_Date]]-Cleaned_data[[#This Row],[Order_Date]]</f>
        <v>4</v>
      </c>
      <c r="AH260" t="str">
        <f>IF(Cleaned_data[[#This Row],[Delivery Days]]&gt;10,"late","on time")</f>
        <v>on time</v>
      </c>
      <c r="AI260" t="str">
        <f>TEXT(Cleaned_data[[#This Row],[Order_Date]],"mmmm")</f>
        <v>October</v>
      </c>
      <c r="AJ260" s="9" t="str">
        <f>"Q"&amp;ROUNDUP(MONTH(Cleaned_data[[#This Row],[Order_Date]])/3,0)</f>
        <v>Q4</v>
      </c>
    </row>
    <row r="261" spans="1:36">
      <c r="A261" t="s">
        <v>709</v>
      </c>
      <c r="B261" s="9">
        <v>45578</v>
      </c>
      <c r="C261" s="9">
        <v>45588</v>
      </c>
      <c r="D261" t="s">
        <v>556</v>
      </c>
      <c r="E261" t="s">
        <v>557</v>
      </c>
      <c r="F261" t="s">
        <v>152</v>
      </c>
      <c r="G261" t="s">
        <v>75</v>
      </c>
      <c r="H261" t="s">
        <v>212</v>
      </c>
      <c r="I261" t="s">
        <v>213</v>
      </c>
      <c r="J261" t="s">
        <v>129</v>
      </c>
      <c r="K261" t="s">
        <v>168</v>
      </c>
      <c r="L261" t="s">
        <v>188</v>
      </c>
      <c r="M261" t="s">
        <v>189</v>
      </c>
      <c r="N261" t="s">
        <v>120</v>
      </c>
      <c r="O261" t="s">
        <v>190</v>
      </c>
      <c r="P261" s="8">
        <v>2</v>
      </c>
      <c r="Q261" s="10">
        <v>55.92</v>
      </c>
      <c r="R261" s="11">
        <v>7.0000000000000007E-2</v>
      </c>
      <c r="S261" s="10">
        <v>18.18</v>
      </c>
      <c r="T261" t="s">
        <v>84</v>
      </c>
      <c r="U261" t="s">
        <v>85</v>
      </c>
      <c r="V261" s="8">
        <v>5</v>
      </c>
      <c r="W261" t="s">
        <v>1270</v>
      </c>
      <c r="X261" t="str">
        <f>_xlfn.XLOOKUP(Cleaned_data[[#This Row],[Customer_ID]],Customers[S],Customers[Loyalty_Tier])</f>
        <v>Platinum</v>
      </c>
      <c r="Y261" s="9">
        <f>_xlfn.XLOOKUP(Cleaned_data[[#This Row],[Customer_ID]],Customers[S],Customers[Signup_Date])</f>
        <v>44341</v>
      </c>
      <c r="Z261" s="12">
        <f>_xlfn.XLOOKUP(Cleaned_data[[#This Row],[SKU]],Products[SKU],Products[Standard_Cost])</f>
        <v>28</v>
      </c>
      <c r="AA261" s="10">
        <f>Cleaned_data[[#This Row],[Quantity]]*Cleaned_data[[#This Row],[Unit_Price]]</f>
        <v>111.84</v>
      </c>
      <c r="AB261" s="10">
        <f>Cleaned_data[[#This Row],[Unit_Price]]*Cleaned_data[[#This Row],[Discount_Pct]]</f>
        <v>3.9144000000000005</v>
      </c>
      <c r="AC261" s="10">
        <f>Cleaned_data[[#This Row],[Gross Sales]]-Cleaned_data[[#This Row],[Discount amount]]</f>
        <v>107.9256</v>
      </c>
      <c r="AD261" s="10">
        <f>Cleaned_data[[#This Row],[Product Cost]]*Cleaned_data[[#This Row],[Quantity]]</f>
        <v>56</v>
      </c>
      <c r="AE261" s="10">
        <f>Cleaned_data[[#This Row],[Net Sales]]-Cleaned_data[[#This Row],[COGS]]</f>
        <v>51.925600000000003</v>
      </c>
      <c r="AF261" s="11">
        <f>Cleaned_data[[#This Row],[Gross Profit]]/Cleaned_data[[#This Row],[Net Sales]]</f>
        <v>0.48112403359351258</v>
      </c>
      <c r="AG261">
        <f>Cleaned_data[[#This Row],[Ship_Date]]-Cleaned_data[[#This Row],[Order_Date]]</f>
        <v>10</v>
      </c>
      <c r="AH261" t="str">
        <f>IF(Cleaned_data[[#This Row],[Delivery Days]]&gt;10,"late","on time")</f>
        <v>on time</v>
      </c>
      <c r="AI261" t="str">
        <f>TEXT(Cleaned_data[[#This Row],[Order_Date]],"mmmm")</f>
        <v>October</v>
      </c>
      <c r="AJ261" s="9" t="str">
        <f>"Q"&amp;ROUNDUP(MONTH(Cleaned_data[[#This Row],[Order_Date]])/3,0)</f>
        <v>Q4</v>
      </c>
    </row>
    <row r="262" spans="1:36">
      <c r="A262" t="s">
        <v>710</v>
      </c>
      <c r="B262" s="9">
        <v>45578</v>
      </c>
      <c r="C262" s="9">
        <v>45581</v>
      </c>
      <c r="D262" t="s">
        <v>550</v>
      </c>
      <c r="E262" t="s">
        <v>218</v>
      </c>
      <c r="F262" t="s">
        <v>152</v>
      </c>
      <c r="G262" t="s">
        <v>126</v>
      </c>
      <c r="H262" t="s">
        <v>127</v>
      </c>
      <c r="I262" t="s">
        <v>128</v>
      </c>
      <c r="J262" t="s">
        <v>109</v>
      </c>
      <c r="K262" t="s">
        <v>79</v>
      </c>
      <c r="L262" t="s">
        <v>155</v>
      </c>
      <c r="M262" t="s">
        <v>156</v>
      </c>
      <c r="N262" t="s">
        <v>82</v>
      </c>
      <c r="O262" t="s">
        <v>112</v>
      </c>
      <c r="P262" s="8">
        <v>4</v>
      </c>
      <c r="Q262" s="10">
        <v>166.63</v>
      </c>
      <c r="R262" s="11">
        <v>0.04</v>
      </c>
      <c r="S262" s="10">
        <v>12.14</v>
      </c>
      <c r="T262" t="s">
        <v>122</v>
      </c>
      <c r="U262" t="s">
        <v>85</v>
      </c>
      <c r="W262" t="s">
        <v>1270</v>
      </c>
      <c r="X262" t="str">
        <f>_xlfn.XLOOKUP(Cleaned_data[[#This Row],[Customer_ID]],Customers[S],Customers[Loyalty_Tier])</f>
        <v>Platinum</v>
      </c>
      <c r="Y262" s="9">
        <f>_xlfn.XLOOKUP(Cleaned_data[[#This Row],[Customer_ID]],Customers[S],Customers[Signup_Date])</f>
        <v>44903</v>
      </c>
      <c r="Z262" s="12">
        <f>_xlfn.XLOOKUP(Cleaned_data[[#This Row],[SKU]],Products[SKU],Products[Standard_Cost])</f>
        <v>82</v>
      </c>
      <c r="AA262" s="10">
        <f>Cleaned_data[[#This Row],[Quantity]]*Cleaned_data[[#This Row],[Unit_Price]]</f>
        <v>666.52</v>
      </c>
      <c r="AB262" s="10">
        <f>Cleaned_data[[#This Row],[Unit_Price]]*Cleaned_data[[#This Row],[Discount_Pct]]</f>
        <v>6.6651999999999996</v>
      </c>
      <c r="AC262" s="10">
        <f>Cleaned_data[[#This Row],[Gross Sales]]-Cleaned_data[[#This Row],[Discount amount]]</f>
        <v>659.85479999999995</v>
      </c>
      <c r="AD262" s="10">
        <f>Cleaned_data[[#This Row],[Product Cost]]*Cleaned_data[[#This Row],[Quantity]]</f>
        <v>328</v>
      </c>
      <c r="AE262" s="10">
        <f>Cleaned_data[[#This Row],[Net Sales]]-Cleaned_data[[#This Row],[COGS]]</f>
        <v>331.85479999999995</v>
      </c>
      <c r="AF262" s="11">
        <f>Cleaned_data[[#This Row],[Gross Profit]]/Cleaned_data[[#This Row],[Net Sales]]</f>
        <v>0.50292094563834344</v>
      </c>
      <c r="AG262">
        <f>Cleaned_data[[#This Row],[Ship_Date]]-Cleaned_data[[#This Row],[Order_Date]]</f>
        <v>3</v>
      </c>
      <c r="AH262" t="str">
        <f>IF(Cleaned_data[[#This Row],[Delivery Days]]&gt;10,"late","on time")</f>
        <v>on time</v>
      </c>
      <c r="AI262" t="str">
        <f>TEXT(Cleaned_data[[#This Row],[Order_Date]],"mmmm")</f>
        <v>October</v>
      </c>
      <c r="AJ262" s="9" t="str">
        <f>"Q"&amp;ROUNDUP(MONTH(Cleaned_data[[#This Row],[Order_Date]])/3,0)</f>
        <v>Q4</v>
      </c>
    </row>
    <row r="263" spans="1:36">
      <c r="A263" t="s">
        <v>711</v>
      </c>
      <c r="B263" s="9">
        <v>45580</v>
      </c>
      <c r="C263" s="9">
        <v>45588</v>
      </c>
      <c r="D263" t="s">
        <v>712</v>
      </c>
      <c r="E263" t="s">
        <v>515</v>
      </c>
      <c r="F263" t="s">
        <v>152</v>
      </c>
      <c r="G263" t="s">
        <v>138</v>
      </c>
      <c r="H263" t="s">
        <v>153</v>
      </c>
      <c r="I263" t="s">
        <v>154</v>
      </c>
      <c r="J263" t="s">
        <v>129</v>
      </c>
      <c r="K263" t="s">
        <v>168</v>
      </c>
      <c r="L263" t="s">
        <v>118</v>
      </c>
      <c r="M263" t="s">
        <v>119</v>
      </c>
      <c r="N263" t="s">
        <v>120</v>
      </c>
      <c r="O263" t="s">
        <v>121</v>
      </c>
      <c r="P263" s="8">
        <v>2</v>
      </c>
      <c r="Q263" s="10">
        <v>292.77</v>
      </c>
      <c r="R263" s="11">
        <v>0.01</v>
      </c>
      <c r="S263" s="10">
        <v>21.08</v>
      </c>
      <c r="T263" t="s">
        <v>134</v>
      </c>
      <c r="U263" t="s">
        <v>85</v>
      </c>
      <c r="V263" s="8">
        <v>3</v>
      </c>
      <c r="W263" t="s">
        <v>1270</v>
      </c>
      <c r="X263" t="str">
        <f>_xlfn.XLOOKUP(Cleaned_data[[#This Row],[Customer_ID]],Customers[S],Customers[Loyalty_Tier])</f>
        <v>Gold</v>
      </c>
      <c r="Y263" s="9">
        <f>_xlfn.XLOOKUP(Cleaned_data[[#This Row],[Customer_ID]],Customers[S],Customers[Signup_Date])</f>
        <v>45527</v>
      </c>
      <c r="Z263" s="12">
        <f>_xlfn.XLOOKUP(Cleaned_data[[#This Row],[SKU]],Products[SKU],Products[Standard_Cost])</f>
        <v>168</v>
      </c>
      <c r="AA263" s="10">
        <f>Cleaned_data[[#This Row],[Quantity]]*Cleaned_data[[#This Row],[Unit_Price]]</f>
        <v>585.54</v>
      </c>
      <c r="AB263" s="10">
        <f>Cleaned_data[[#This Row],[Unit_Price]]*Cleaned_data[[#This Row],[Discount_Pct]]</f>
        <v>2.9276999999999997</v>
      </c>
      <c r="AC263" s="10">
        <f>Cleaned_data[[#This Row],[Gross Sales]]-Cleaned_data[[#This Row],[Discount amount]]</f>
        <v>582.6123</v>
      </c>
      <c r="AD263" s="10">
        <f>Cleaned_data[[#This Row],[Product Cost]]*Cleaned_data[[#This Row],[Quantity]]</f>
        <v>336</v>
      </c>
      <c r="AE263" s="10">
        <f>Cleaned_data[[#This Row],[Net Sales]]-Cleaned_data[[#This Row],[COGS]]</f>
        <v>246.6123</v>
      </c>
      <c r="AF263" s="11">
        <f>Cleaned_data[[#This Row],[Gross Profit]]/Cleaned_data[[#This Row],[Net Sales]]</f>
        <v>0.42328714996233346</v>
      </c>
      <c r="AG263">
        <f>Cleaned_data[[#This Row],[Ship_Date]]-Cleaned_data[[#This Row],[Order_Date]]</f>
        <v>8</v>
      </c>
      <c r="AH263" t="str">
        <f>IF(Cleaned_data[[#This Row],[Delivery Days]]&gt;10,"late","on time")</f>
        <v>on time</v>
      </c>
      <c r="AI263" t="str">
        <f>TEXT(Cleaned_data[[#This Row],[Order_Date]],"mmmm")</f>
        <v>October</v>
      </c>
      <c r="AJ263" s="9" t="str">
        <f>"Q"&amp;ROUNDUP(MONTH(Cleaned_data[[#This Row],[Order_Date]])/3,0)</f>
        <v>Q4</v>
      </c>
    </row>
    <row r="264" spans="1:36">
      <c r="A264" t="s">
        <v>713</v>
      </c>
      <c r="B264" s="9">
        <v>45580</v>
      </c>
      <c r="C264" s="9">
        <v>45581</v>
      </c>
      <c r="D264" t="s">
        <v>714</v>
      </c>
      <c r="E264" t="s">
        <v>715</v>
      </c>
      <c r="F264" t="s">
        <v>89</v>
      </c>
      <c r="G264" t="s">
        <v>126</v>
      </c>
      <c r="H264" t="s">
        <v>160</v>
      </c>
      <c r="I264" t="s">
        <v>161</v>
      </c>
      <c r="J264" t="s">
        <v>219</v>
      </c>
      <c r="K264" t="s">
        <v>79</v>
      </c>
      <c r="L264" t="s">
        <v>254</v>
      </c>
      <c r="M264" t="s">
        <v>255</v>
      </c>
      <c r="N264" t="s">
        <v>103</v>
      </c>
      <c r="O264" t="s">
        <v>83</v>
      </c>
      <c r="P264" s="8">
        <v>5</v>
      </c>
      <c r="Q264" s="10">
        <v>95.8</v>
      </c>
      <c r="R264" s="11">
        <v>0.05</v>
      </c>
      <c r="S264" s="10">
        <v>10.61</v>
      </c>
      <c r="T264" t="s">
        <v>122</v>
      </c>
      <c r="U264" t="s">
        <v>85</v>
      </c>
      <c r="V264" s="8">
        <v>5</v>
      </c>
      <c r="W264" t="s">
        <v>1270</v>
      </c>
      <c r="X264" t="str">
        <f>_xlfn.XLOOKUP(Cleaned_data[[#This Row],[Customer_ID]],Customers[S],Customers[Loyalty_Tier])</f>
        <v>Bronze</v>
      </c>
      <c r="Y264" s="9">
        <f>_xlfn.XLOOKUP(Cleaned_data[[#This Row],[Customer_ID]],Customers[S],Customers[Signup_Date])</f>
        <v>45844</v>
      </c>
      <c r="Z264" s="12">
        <f>_xlfn.XLOOKUP(Cleaned_data[[#This Row],[SKU]],Products[SKU],Products[Standard_Cost])</f>
        <v>48</v>
      </c>
      <c r="AA264" s="10">
        <f>Cleaned_data[[#This Row],[Quantity]]*Cleaned_data[[#This Row],[Unit_Price]]</f>
        <v>479</v>
      </c>
      <c r="AB264" s="10">
        <f>Cleaned_data[[#This Row],[Unit_Price]]*Cleaned_data[[#This Row],[Discount_Pct]]</f>
        <v>4.79</v>
      </c>
      <c r="AC264" s="10">
        <f>Cleaned_data[[#This Row],[Gross Sales]]-Cleaned_data[[#This Row],[Discount amount]]</f>
        <v>474.21</v>
      </c>
      <c r="AD264" s="10">
        <f>Cleaned_data[[#This Row],[Product Cost]]*Cleaned_data[[#This Row],[Quantity]]</f>
        <v>240</v>
      </c>
      <c r="AE264" s="10">
        <f>Cleaned_data[[#This Row],[Net Sales]]-Cleaned_data[[#This Row],[COGS]]</f>
        <v>234.20999999999998</v>
      </c>
      <c r="AF264" s="11">
        <f>Cleaned_data[[#This Row],[Gross Profit]]/Cleaned_data[[#This Row],[Net Sales]]</f>
        <v>0.49389510976149803</v>
      </c>
      <c r="AG264">
        <f>Cleaned_data[[#This Row],[Ship_Date]]-Cleaned_data[[#This Row],[Order_Date]]</f>
        <v>1</v>
      </c>
      <c r="AH264" t="str">
        <f>IF(Cleaned_data[[#This Row],[Delivery Days]]&gt;10,"late","on time")</f>
        <v>on time</v>
      </c>
      <c r="AI264" t="str">
        <f>TEXT(Cleaned_data[[#This Row],[Order_Date]],"mmmm")</f>
        <v>October</v>
      </c>
      <c r="AJ264" s="9" t="str">
        <f>"Q"&amp;ROUNDUP(MONTH(Cleaned_data[[#This Row],[Order_Date]])/3,0)</f>
        <v>Q4</v>
      </c>
    </row>
    <row r="265" spans="1:36">
      <c r="A265" t="s">
        <v>717</v>
      </c>
      <c r="B265" s="9">
        <v>45580</v>
      </c>
      <c r="C265" s="9">
        <v>45587</v>
      </c>
      <c r="D265" t="s">
        <v>583</v>
      </c>
      <c r="E265" t="s">
        <v>584</v>
      </c>
      <c r="F265" t="s">
        <v>89</v>
      </c>
      <c r="G265" t="s">
        <v>138</v>
      </c>
      <c r="H265" t="s">
        <v>139</v>
      </c>
      <c r="I265" t="s">
        <v>140</v>
      </c>
      <c r="J265" t="s">
        <v>78</v>
      </c>
      <c r="K265" t="s">
        <v>130</v>
      </c>
      <c r="L265" t="s">
        <v>110</v>
      </c>
      <c r="M265" t="s">
        <v>111</v>
      </c>
      <c r="N265" t="s">
        <v>82</v>
      </c>
      <c r="O265" t="s">
        <v>112</v>
      </c>
      <c r="P265" s="8">
        <v>1</v>
      </c>
      <c r="Q265" s="10">
        <v>311.73</v>
      </c>
      <c r="R265" s="11">
        <v>0.12</v>
      </c>
      <c r="S265" s="10">
        <v>10.82</v>
      </c>
      <c r="T265" t="s">
        <v>84</v>
      </c>
      <c r="U265" t="s">
        <v>85</v>
      </c>
      <c r="V265" s="8">
        <v>1</v>
      </c>
      <c r="W265" t="s">
        <v>1270</v>
      </c>
      <c r="X265" t="str">
        <f>_xlfn.XLOOKUP(Cleaned_data[[#This Row],[Customer_ID]],Customers[S],Customers[Loyalty_Tier])</f>
        <v>Silver</v>
      </c>
      <c r="Y265" s="9">
        <f>_xlfn.XLOOKUP(Cleaned_data[[#This Row],[Customer_ID]],Customers[S],Customers[Signup_Date])</f>
        <v>45174</v>
      </c>
      <c r="Z265" s="12">
        <f>_xlfn.XLOOKUP(Cleaned_data[[#This Row],[SKU]],Products[SKU],Products[Standard_Cost])</f>
        <v>165</v>
      </c>
      <c r="AA265" s="10">
        <f>Cleaned_data[[#This Row],[Quantity]]*Cleaned_data[[#This Row],[Unit_Price]]</f>
        <v>311.73</v>
      </c>
      <c r="AB265" s="10">
        <f>Cleaned_data[[#This Row],[Unit_Price]]*Cleaned_data[[#This Row],[Discount_Pct]]</f>
        <v>37.407600000000002</v>
      </c>
      <c r="AC265" s="10">
        <f>Cleaned_data[[#This Row],[Gross Sales]]-Cleaned_data[[#This Row],[Discount amount]]</f>
        <v>274.32240000000002</v>
      </c>
      <c r="AD265" s="10">
        <f>Cleaned_data[[#This Row],[Product Cost]]*Cleaned_data[[#This Row],[Quantity]]</f>
        <v>165</v>
      </c>
      <c r="AE265" s="10">
        <f>Cleaned_data[[#This Row],[Net Sales]]-Cleaned_data[[#This Row],[COGS]]</f>
        <v>109.32240000000002</v>
      </c>
      <c r="AF265" s="11">
        <f>Cleaned_data[[#This Row],[Gross Profit]]/Cleaned_data[[#This Row],[Net Sales]]</f>
        <v>0.39851794822442504</v>
      </c>
      <c r="AG265">
        <f>Cleaned_data[[#This Row],[Ship_Date]]-Cleaned_data[[#This Row],[Order_Date]]</f>
        <v>7</v>
      </c>
      <c r="AH265" t="str">
        <f>IF(Cleaned_data[[#This Row],[Delivery Days]]&gt;10,"late","on time")</f>
        <v>on time</v>
      </c>
      <c r="AI265" t="str">
        <f>TEXT(Cleaned_data[[#This Row],[Order_Date]],"mmmm")</f>
        <v>October</v>
      </c>
      <c r="AJ265" s="9" t="str">
        <f>"Q"&amp;ROUNDUP(MONTH(Cleaned_data[[#This Row],[Order_Date]])/3,0)</f>
        <v>Q4</v>
      </c>
    </row>
    <row r="266" spans="1:36">
      <c r="A266" t="s">
        <v>718</v>
      </c>
      <c r="B266" s="9">
        <v>45580</v>
      </c>
      <c r="C266" s="9">
        <v>45584</v>
      </c>
      <c r="D266" t="s">
        <v>87</v>
      </c>
      <c r="E266" t="s">
        <v>88</v>
      </c>
      <c r="F266" t="s">
        <v>89</v>
      </c>
      <c r="G266" t="s">
        <v>75</v>
      </c>
      <c r="H266" t="s">
        <v>76</v>
      </c>
      <c r="I266" t="s">
        <v>77</v>
      </c>
      <c r="J266" t="s">
        <v>219</v>
      </c>
      <c r="K266" t="s">
        <v>168</v>
      </c>
      <c r="L266" t="s">
        <v>261</v>
      </c>
      <c r="M266" t="s">
        <v>262</v>
      </c>
      <c r="N266" t="s">
        <v>103</v>
      </c>
      <c r="O266" t="s">
        <v>104</v>
      </c>
      <c r="P266" s="8">
        <v>7</v>
      </c>
      <c r="Q266" s="10">
        <v>28.01</v>
      </c>
      <c r="R266" s="11">
        <v>0.31</v>
      </c>
      <c r="S266" s="10">
        <v>9.94</v>
      </c>
      <c r="T266" t="s">
        <v>84</v>
      </c>
      <c r="U266" t="s">
        <v>85</v>
      </c>
      <c r="V266" s="8">
        <v>4</v>
      </c>
      <c r="W266" t="s">
        <v>1270</v>
      </c>
      <c r="X266" t="str">
        <f>_xlfn.XLOOKUP(Cleaned_data[[#This Row],[Customer_ID]],Customers[S],Customers[Loyalty_Tier])</f>
        <v>Silver</v>
      </c>
      <c r="Y266" s="9">
        <f>_xlfn.XLOOKUP(Cleaned_data[[#This Row],[Customer_ID]],Customers[S],Customers[Signup_Date])</f>
        <v>44736</v>
      </c>
      <c r="Z266" s="12">
        <f>_xlfn.XLOOKUP(Cleaned_data[[#This Row],[SKU]],Products[SKU],Products[Standard_Cost])</f>
        <v>12</v>
      </c>
      <c r="AA266" s="10">
        <f>Cleaned_data[[#This Row],[Quantity]]*Cleaned_data[[#This Row],[Unit_Price]]</f>
        <v>196.07000000000002</v>
      </c>
      <c r="AB266" s="10">
        <f>Cleaned_data[[#This Row],[Unit_Price]]*Cleaned_data[[#This Row],[Discount_Pct]]</f>
        <v>8.6830999999999996</v>
      </c>
      <c r="AC266" s="10">
        <f>Cleaned_data[[#This Row],[Gross Sales]]-Cleaned_data[[#This Row],[Discount amount]]</f>
        <v>187.38690000000003</v>
      </c>
      <c r="AD266" s="10">
        <f>Cleaned_data[[#This Row],[Product Cost]]*Cleaned_data[[#This Row],[Quantity]]</f>
        <v>84</v>
      </c>
      <c r="AE266" s="10">
        <f>Cleaned_data[[#This Row],[Net Sales]]-Cleaned_data[[#This Row],[COGS]]</f>
        <v>103.38690000000003</v>
      </c>
      <c r="AF266" s="11">
        <f>Cleaned_data[[#This Row],[Gross Profit]]/Cleaned_data[[#This Row],[Net Sales]]</f>
        <v>0.55172960329670862</v>
      </c>
      <c r="AG266">
        <f>Cleaned_data[[#This Row],[Ship_Date]]-Cleaned_data[[#This Row],[Order_Date]]</f>
        <v>4</v>
      </c>
      <c r="AH266" t="str">
        <f>IF(Cleaned_data[[#This Row],[Delivery Days]]&gt;10,"late","on time")</f>
        <v>on time</v>
      </c>
      <c r="AI266" t="str">
        <f>TEXT(Cleaned_data[[#This Row],[Order_Date]],"mmmm")</f>
        <v>October</v>
      </c>
      <c r="AJ266" s="9" t="str">
        <f>"Q"&amp;ROUNDUP(MONTH(Cleaned_data[[#This Row],[Order_Date]])/3,0)</f>
        <v>Q4</v>
      </c>
    </row>
    <row r="267" spans="1:36">
      <c r="A267" t="s">
        <v>719</v>
      </c>
      <c r="B267" s="9">
        <v>45581</v>
      </c>
      <c r="C267" s="9">
        <v>45591</v>
      </c>
      <c r="D267" t="s">
        <v>720</v>
      </c>
      <c r="E267" t="s">
        <v>721</v>
      </c>
      <c r="F267" t="s">
        <v>89</v>
      </c>
      <c r="G267" t="s">
        <v>75</v>
      </c>
      <c r="H267" t="s">
        <v>212</v>
      </c>
      <c r="I267" t="s">
        <v>213</v>
      </c>
      <c r="J267" t="s">
        <v>129</v>
      </c>
      <c r="K267" t="s">
        <v>90</v>
      </c>
      <c r="L267" t="s">
        <v>175</v>
      </c>
      <c r="M267" t="s">
        <v>176</v>
      </c>
      <c r="N267" t="s">
        <v>93</v>
      </c>
      <c r="O267" t="s">
        <v>177</v>
      </c>
      <c r="P267" s="8">
        <v>1</v>
      </c>
      <c r="Q267" s="10">
        <v>166.95</v>
      </c>
      <c r="R267" s="11">
        <v>0.11</v>
      </c>
      <c r="S267" s="10">
        <v>24.17</v>
      </c>
      <c r="T267" t="s">
        <v>122</v>
      </c>
      <c r="U267" t="s">
        <v>85</v>
      </c>
      <c r="V267" s="8">
        <v>5</v>
      </c>
      <c r="W267" t="s">
        <v>1270</v>
      </c>
      <c r="X267" t="str">
        <f>_xlfn.XLOOKUP(Cleaned_data[[#This Row],[Customer_ID]],Customers[S],Customers[Loyalty_Tier])</f>
        <v>Gold</v>
      </c>
      <c r="Y267" s="9">
        <f>_xlfn.XLOOKUP(Cleaned_data[[#This Row],[Customer_ID]],Customers[S],Customers[Signup_Date])</f>
        <v>44538</v>
      </c>
      <c r="Z267" s="12">
        <f>_xlfn.XLOOKUP(Cleaned_data[[#This Row],[SKU]],Products[SKU],Products[Standard_Cost])</f>
        <v>88</v>
      </c>
      <c r="AA267" s="10">
        <f>Cleaned_data[[#This Row],[Quantity]]*Cleaned_data[[#This Row],[Unit_Price]]</f>
        <v>166.95</v>
      </c>
      <c r="AB267" s="10">
        <f>Cleaned_data[[#This Row],[Unit_Price]]*Cleaned_data[[#This Row],[Discount_Pct]]</f>
        <v>18.3645</v>
      </c>
      <c r="AC267" s="10">
        <f>Cleaned_data[[#This Row],[Gross Sales]]-Cleaned_data[[#This Row],[Discount amount]]</f>
        <v>148.5855</v>
      </c>
      <c r="AD267" s="10">
        <f>Cleaned_data[[#This Row],[Product Cost]]*Cleaned_data[[#This Row],[Quantity]]</f>
        <v>88</v>
      </c>
      <c r="AE267" s="10">
        <f>Cleaned_data[[#This Row],[Net Sales]]-Cleaned_data[[#This Row],[COGS]]</f>
        <v>60.585499999999996</v>
      </c>
      <c r="AF267" s="11">
        <f>Cleaned_data[[#This Row],[Gross Profit]]/Cleaned_data[[#This Row],[Net Sales]]</f>
        <v>0.40774840075242874</v>
      </c>
      <c r="AG267">
        <f>Cleaned_data[[#This Row],[Ship_Date]]-Cleaned_data[[#This Row],[Order_Date]]</f>
        <v>10</v>
      </c>
      <c r="AH267" t="str">
        <f>IF(Cleaned_data[[#This Row],[Delivery Days]]&gt;10,"late","on time")</f>
        <v>on time</v>
      </c>
      <c r="AI267" t="str">
        <f>TEXT(Cleaned_data[[#This Row],[Order_Date]],"mmmm")</f>
        <v>October</v>
      </c>
      <c r="AJ267" s="9" t="str">
        <f>"Q"&amp;ROUNDUP(MONTH(Cleaned_data[[#This Row],[Order_Date]])/3,0)</f>
        <v>Q4</v>
      </c>
    </row>
    <row r="268" spans="1:36">
      <c r="A268" t="s">
        <v>722</v>
      </c>
      <c r="B268" s="9">
        <v>45584</v>
      </c>
      <c r="C268" s="9">
        <v>45590</v>
      </c>
      <c r="D268" t="s">
        <v>692</v>
      </c>
      <c r="E268" t="s">
        <v>193</v>
      </c>
      <c r="F268" t="s">
        <v>74</v>
      </c>
      <c r="G268" t="s">
        <v>194</v>
      </c>
      <c r="H268" t="s">
        <v>202</v>
      </c>
      <c r="I268" t="s">
        <v>203</v>
      </c>
      <c r="J268" t="s">
        <v>129</v>
      </c>
      <c r="K268" t="s">
        <v>79</v>
      </c>
      <c r="L268" t="s">
        <v>101</v>
      </c>
      <c r="M268" t="s">
        <v>102</v>
      </c>
      <c r="N268" t="s">
        <v>103</v>
      </c>
      <c r="O268" t="s">
        <v>104</v>
      </c>
      <c r="P268" s="8">
        <v>5</v>
      </c>
      <c r="Q268" s="10">
        <v>72.11</v>
      </c>
      <c r="R268" s="11">
        <v>0.1</v>
      </c>
      <c r="S268" s="10">
        <v>7.12</v>
      </c>
      <c r="T268" t="s">
        <v>84</v>
      </c>
      <c r="U268" t="s">
        <v>85</v>
      </c>
      <c r="V268" s="8">
        <v>1</v>
      </c>
      <c r="W268" t="s">
        <v>1270</v>
      </c>
      <c r="X268" t="str">
        <f>_xlfn.XLOOKUP(Cleaned_data[[#This Row],[Customer_ID]],Customers[S],Customers[Loyalty_Tier])</f>
        <v>Bronze</v>
      </c>
      <c r="Y268" s="9">
        <f>_xlfn.XLOOKUP(Cleaned_data[[#This Row],[Customer_ID]],Customers[S],Customers[Signup_Date])</f>
        <v>45516</v>
      </c>
      <c r="Z268" s="12">
        <f>_xlfn.XLOOKUP(Cleaned_data[[#This Row],[SKU]],Products[SKU],Products[Standard_Cost])</f>
        <v>36</v>
      </c>
      <c r="AA268" s="10">
        <f>Cleaned_data[[#This Row],[Quantity]]*Cleaned_data[[#This Row],[Unit_Price]]</f>
        <v>360.55</v>
      </c>
      <c r="AB268" s="10">
        <f>Cleaned_data[[#This Row],[Unit_Price]]*Cleaned_data[[#This Row],[Discount_Pct]]</f>
        <v>7.2110000000000003</v>
      </c>
      <c r="AC268" s="10">
        <f>Cleaned_data[[#This Row],[Gross Sales]]-Cleaned_data[[#This Row],[Discount amount]]</f>
        <v>353.339</v>
      </c>
      <c r="AD268" s="10">
        <f>Cleaned_data[[#This Row],[Product Cost]]*Cleaned_data[[#This Row],[Quantity]]</f>
        <v>180</v>
      </c>
      <c r="AE268" s="10">
        <f>Cleaned_data[[#This Row],[Net Sales]]-Cleaned_data[[#This Row],[COGS]]</f>
        <v>173.339</v>
      </c>
      <c r="AF268" s="11">
        <f>Cleaned_data[[#This Row],[Gross Profit]]/Cleaned_data[[#This Row],[Net Sales]]</f>
        <v>0.4905742077721395</v>
      </c>
      <c r="AG268">
        <f>Cleaned_data[[#This Row],[Ship_Date]]-Cleaned_data[[#This Row],[Order_Date]]</f>
        <v>6</v>
      </c>
      <c r="AH268" t="str">
        <f>IF(Cleaned_data[[#This Row],[Delivery Days]]&gt;10,"late","on time")</f>
        <v>on time</v>
      </c>
      <c r="AI268" t="str">
        <f>TEXT(Cleaned_data[[#This Row],[Order_Date]],"mmmm")</f>
        <v>October</v>
      </c>
      <c r="AJ268" s="9" t="str">
        <f>"Q"&amp;ROUNDUP(MONTH(Cleaned_data[[#This Row],[Order_Date]])/3,0)</f>
        <v>Q4</v>
      </c>
    </row>
    <row r="269" spans="1:36">
      <c r="A269" t="s">
        <v>723</v>
      </c>
      <c r="B269" s="9">
        <v>45584</v>
      </c>
      <c r="C269" s="9">
        <v>45591</v>
      </c>
      <c r="D269" t="s">
        <v>448</v>
      </c>
      <c r="E269" t="s">
        <v>449</v>
      </c>
      <c r="F269" t="s">
        <v>89</v>
      </c>
      <c r="G269" t="s">
        <v>126</v>
      </c>
      <c r="H269" t="s">
        <v>160</v>
      </c>
      <c r="I269" t="s">
        <v>182</v>
      </c>
      <c r="J269" t="s">
        <v>219</v>
      </c>
      <c r="K269" t="s">
        <v>90</v>
      </c>
      <c r="L269" t="s">
        <v>118</v>
      </c>
      <c r="M269" t="s">
        <v>119</v>
      </c>
      <c r="N269" t="s">
        <v>120</v>
      </c>
      <c r="O269" t="s">
        <v>121</v>
      </c>
      <c r="P269" s="8">
        <v>3</v>
      </c>
      <c r="Q269" s="10">
        <v>301.48</v>
      </c>
      <c r="R269" s="11">
        <v>0.05</v>
      </c>
      <c r="S269" s="10">
        <v>16.010000000000002</v>
      </c>
      <c r="T269" t="s">
        <v>84</v>
      </c>
      <c r="U269" t="s">
        <v>85</v>
      </c>
      <c r="V269" s="8">
        <v>3</v>
      </c>
      <c r="W269" t="s">
        <v>1270</v>
      </c>
      <c r="X269" t="str">
        <f>_xlfn.XLOOKUP(Cleaned_data[[#This Row],[Customer_ID]],Customers[S],Customers[Loyalty_Tier])</f>
        <v>Bronze</v>
      </c>
      <c r="Y269" s="9">
        <f>_xlfn.XLOOKUP(Cleaned_data[[#This Row],[Customer_ID]],Customers[S],Customers[Signup_Date])</f>
        <v>44278</v>
      </c>
      <c r="Z269" s="12">
        <f>_xlfn.XLOOKUP(Cleaned_data[[#This Row],[SKU]],Products[SKU],Products[Standard_Cost])</f>
        <v>168</v>
      </c>
      <c r="AA269" s="10">
        <f>Cleaned_data[[#This Row],[Quantity]]*Cleaned_data[[#This Row],[Unit_Price]]</f>
        <v>904.44</v>
      </c>
      <c r="AB269" s="10">
        <f>Cleaned_data[[#This Row],[Unit_Price]]*Cleaned_data[[#This Row],[Discount_Pct]]</f>
        <v>15.074000000000002</v>
      </c>
      <c r="AC269" s="10">
        <f>Cleaned_data[[#This Row],[Gross Sales]]-Cleaned_data[[#This Row],[Discount amount]]</f>
        <v>889.3660000000001</v>
      </c>
      <c r="AD269" s="10">
        <f>Cleaned_data[[#This Row],[Product Cost]]*Cleaned_data[[#This Row],[Quantity]]</f>
        <v>504</v>
      </c>
      <c r="AE269" s="10">
        <f>Cleaned_data[[#This Row],[Net Sales]]-Cleaned_data[[#This Row],[COGS]]</f>
        <v>385.3660000000001</v>
      </c>
      <c r="AF269" s="11">
        <f>Cleaned_data[[#This Row],[Gross Profit]]/Cleaned_data[[#This Row],[Net Sales]]</f>
        <v>0.43330417398461379</v>
      </c>
      <c r="AG269">
        <f>Cleaned_data[[#This Row],[Ship_Date]]-Cleaned_data[[#This Row],[Order_Date]]</f>
        <v>7</v>
      </c>
      <c r="AH269" t="str">
        <f>IF(Cleaned_data[[#This Row],[Delivery Days]]&gt;10,"late","on time")</f>
        <v>on time</v>
      </c>
      <c r="AI269" t="str">
        <f>TEXT(Cleaned_data[[#This Row],[Order_Date]],"mmmm")</f>
        <v>October</v>
      </c>
      <c r="AJ269" s="9" t="str">
        <f>"Q"&amp;ROUNDUP(MONTH(Cleaned_data[[#This Row],[Order_Date]])/3,0)</f>
        <v>Q4</v>
      </c>
    </row>
    <row r="270" spans="1:36">
      <c r="A270" t="s">
        <v>724</v>
      </c>
      <c r="B270" s="9">
        <v>45588</v>
      </c>
      <c r="C270" s="9">
        <v>45598</v>
      </c>
      <c r="D270" t="s">
        <v>487</v>
      </c>
      <c r="E270" t="s">
        <v>470</v>
      </c>
      <c r="F270" t="s">
        <v>152</v>
      </c>
      <c r="G270" t="s">
        <v>75</v>
      </c>
      <c r="H270" t="s">
        <v>98</v>
      </c>
      <c r="I270" t="s">
        <v>99</v>
      </c>
      <c r="J270" t="s">
        <v>219</v>
      </c>
      <c r="K270" t="s">
        <v>90</v>
      </c>
      <c r="L270" t="s">
        <v>162</v>
      </c>
      <c r="M270" t="s">
        <v>163</v>
      </c>
      <c r="N270" t="s">
        <v>120</v>
      </c>
      <c r="O270" t="s">
        <v>164</v>
      </c>
      <c r="P270" s="8">
        <v>4</v>
      </c>
      <c r="Q270" s="10">
        <v>914.86</v>
      </c>
      <c r="R270" s="11">
        <v>0.06</v>
      </c>
      <c r="S270" s="10">
        <v>12.69</v>
      </c>
      <c r="T270" t="s">
        <v>84</v>
      </c>
      <c r="U270" t="s">
        <v>85</v>
      </c>
      <c r="V270" s="8">
        <v>5</v>
      </c>
      <c r="W270" t="s">
        <v>1270</v>
      </c>
      <c r="X270" t="str">
        <f>_xlfn.XLOOKUP(Cleaned_data[[#This Row],[Customer_ID]],Customers[S],Customers[Loyalty_Tier])</f>
        <v>Gold</v>
      </c>
      <c r="Y270" s="9">
        <f>_xlfn.XLOOKUP(Cleaned_data[[#This Row],[Customer_ID]],Customers[S],Customers[Signup_Date])</f>
        <v>44199</v>
      </c>
      <c r="Z270" s="12">
        <f>_xlfn.XLOOKUP(Cleaned_data[[#This Row],[SKU]],Products[SKU],Products[Standard_Cost])</f>
        <v>585</v>
      </c>
      <c r="AA270" s="10">
        <f>Cleaned_data[[#This Row],[Quantity]]*Cleaned_data[[#This Row],[Unit_Price]]</f>
        <v>3659.44</v>
      </c>
      <c r="AB270" s="10">
        <f>Cleaned_data[[#This Row],[Unit_Price]]*Cleaned_data[[#This Row],[Discount_Pct]]</f>
        <v>54.891599999999997</v>
      </c>
      <c r="AC270" s="10">
        <f>Cleaned_data[[#This Row],[Gross Sales]]-Cleaned_data[[#This Row],[Discount amount]]</f>
        <v>3604.5484000000001</v>
      </c>
      <c r="AD270" s="10">
        <f>Cleaned_data[[#This Row],[Product Cost]]*Cleaned_data[[#This Row],[Quantity]]</f>
        <v>2340</v>
      </c>
      <c r="AE270" s="10">
        <f>Cleaned_data[[#This Row],[Net Sales]]-Cleaned_data[[#This Row],[COGS]]</f>
        <v>1264.5484000000001</v>
      </c>
      <c r="AF270" s="11">
        <f>Cleaned_data[[#This Row],[Gross Profit]]/Cleaned_data[[#This Row],[Net Sales]]</f>
        <v>0.35082020260845992</v>
      </c>
      <c r="AG270">
        <f>Cleaned_data[[#This Row],[Ship_Date]]-Cleaned_data[[#This Row],[Order_Date]]</f>
        <v>10</v>
      </c>
      <c r="AH270" t="str">
        <f>IF(Cleaned_data[[#This Row],[Delivery Days]]&gt;10,"late","on time")</f>
        <v>on time</v>
      </c>
      <c r="AI270" t="str">
        <f>TEXT(Cleaned_data[[#This Row],[Order_Date]],"mmmm")</f>
        <v>October</v>
      </c>
      <c r="AJ270" s="9" t="str">
        <f>"Q"&amp;ROUNDUP(MONTH(Cleaned_data[[#This Row],[Order_Date]])/3,0)</f>
        <v>Q4</v>
      </c>
    </row>
    <row r="271" spans="1:36">
      <c r="A271" t="s">
        <v>725</v>
      </c>
      <c r="B271" s="9">
        <v>45589</v>
      </c>
      <c r="C271" s="9">
        <v>45595</v>
      </c>
      <c r="D271" t="s">
        <v>445</v>
      </c>
      <c r="E271" t="s">
        <v>446</v>
      </c>
      <c r="F271" t="s">
        <v>152</v>
      </c>
      <c r="G271" t="s">
        <v>126</v>
      </c>
      <c r="H271" t="s">
        <v>160</v>
      </c>
      <c r="I271" t="s">
        <v>182</v>
      </c>
      <c r="J271" t="s">
        <v>219</v>
      </c>
      <c r="K271" t="s">
        <v>130</v>
      </c>
      <c r="L271" t="s">
        <v>207</v>
      </c>
      <c r="M271" t="s">
        <v>208</v>
      </c>
      <c r="N271" t="s">
        <v>120</v>
      </c>
      <c r="O271" t="s">
        <v>164</v>
      </c>
      <c r="P271" s="8">
        <v>4</v>
      </c>
      <c r="Q271" s="10">
        <v>1439.48</v>
      </c>
      <c r="R271" s="11">
        <v>0.08</v>
      </c>
      <c r="S271" s="10">
        <v>20.86</v>
      </c>
      <c r="T271" t="s">
        <v>84</v>
      </c>
      <c r="U271" t="s">
        <v>85</v>
      </c>
      <c r="V271" s="8">
        <v>1</v>
      </c>
      <c r="W271" t="s">
        <v>1270</v>
      </c>
      <c r="X271" t="str">
        <f>_xlfn.XLOOKUP(Cleaned_data[[#This Row],[Customer_ID]],Customers[S],Customers[Loyalty_Tier])</f>
        <v>Bronze</v>
      </c>
      <c r="Y271" s="9">
        <f>_xlfn.XLOOKUP(Cleaned_data[[#This Row],[Customer_ID]],Customers[S],Customers[Signup_Date])</f>
        <v>45690</v>
      </c>
      <c r="Z271" s="12">
        <f>_xlfn.XLOOKUP(Cleaned_data[[#This Row],[SKU]],Products[SKU],Products[Standard_Cost])</f>
        <v>885</v>
      </c>
      <c r="AA271" s="10">
        <f>Cleaned_data[[#This Row],[Quantity]]*Cleaned_data[[#This Row],[Unit_Price]]</f>
        <v>5757.92</v>
      </c>
      <c r="AB271" s="10">
        <f>Cleaned_data[[#This Row],[Unit_Price]]*Cleaned_data[[#This Row],[Discount_Pct]]</f>
        <v>115.1584</v>
      </c>
      <c r="AC271" s="10">
        <f>Cleaned_data[[#This Row],[Gross Sales]]-Cleaned_data[[#This Row],[Discount amount]]</f>
        <v>5642.7615999999998</v>
      </c>
      <c r="AD271" s="10">
        <f>Cleaned_data[[#This Row],[Product Cost]]*Cleaned_data[[#This Row],[Quantity]]</f>
        <v>3540</v>
      </c>
      <c r="AE271" s="10">
        <f>Cleaned_data[[#This Row],[Net Sales]]-Cleaned_data[[#This Row],[COGS]]</f>
        <v>2102.7615999999998</v>
      </c>
      <c r="AF271" s="11">
        <f>Cleaned_data[[#This Row],[Gross Profit]]/Cleaned_data[[#This Row],[Net Sales]]</f>
        <v>0.37264760573971439</v>
      </c>
      <c r="AG271">
        <f>Cleaned_data[[#This Row],[Ship_Date]]-Cleaned_data[[#This Row],[Order_Date]]</f>
        <v>6</v>
      </c>
      <c r="AH271" t="str">
        <f>IF(Cleaned_data[[#This Row],[Delivery Days]]&gt;10,"late","on time")</f>
        <v>on time</v>
      </c>
      <c r="AI271" t="str">
        <f>TEXT(Cleaned_data[[#This Row],[Order_Date]],"mmmm")</f>
        <v>October</v>
      </c>
      <c r="AJ271" s="9" t="str">
        <f>"Q"&amp;ROUNDUP(MONTH(Cleaned_data[[#This Row],[Order_Date]])/3,0)</f>
        <v>Q4</v>
      </c>
    </row>
    <row r="272" spans="1:36">
      <c r="A272" t="s">
        <v>726</v>
      </c>
      <c r="B272" s="9">
        <v>45590</v>
      </c>
      <c r="C272" s="9">
        <v>45598</v>
      </c>
      <c r="D272" t="s">
        <v>396</v>
      </c>
      <c r="E272" t="s">
        <v>397</v>
      </c>
      <c r="F272" t="s">
        <v>152</v>
      </c>
      <c r="G272" t="s">
        <v>138</v>
      </c>
      <c r="H272" t="s">
        <v>186</v>
      </c>
      <c r="I272" t="s">
        <v>187</v>
      </c>
      <c r="J272" t="s">
        <v>78</v>
      </c>
      <c r="K272" t="s">
        <v>147</v>
      </c>
      <c r="L272" t="s">
        <v>254</v>
      </c>
      <c r="M272" t="s">
        <v>255</v>
      </c>
      <c r="N272" t="s">
        <v>82</v>
      </c>
      <c r="O272" t="s">
        <v>83</v>
      </c>
      <c r="P272" s="8">
        <v>10</v>
      </c>
      <c r="Q272" s="10">
        <v>91.59</v>
      </c>
      <c r="R272" s="11">
        <v>7.0000000000000007E-2</v>
      </c>
      <c r="S272" s="10">
        <v>15</v>
      </c>
      <c r="T272" t="s">
        <v>134</v>
      </c>
      <c r="U272" t="s">
        <v>85</v>
      </c>
      <c r="V272" s="8">
        <v>5</v>
      </c>
      <c r="W272" t="s">
        <v>1270</v>
      </c>
      <c r="X272" t="str">
        <f>_xlfn.XLOOKUP(Cleaned_data[[#This Row],[Customer_ID]],Customers[S],Customers[Loyalty_Tier])</f>
        <v>Gold</v>
      </c>
      <c r="Y272" s="9">
        <f>_xlfn.XLOOKUP(Cleaned_data[[#This Row],[Customer_ID]],Customers[S],Customers[Signup_Date])</f>
        <v>44818</v>
      </c>
      <c r="Z272" s="12">
        <f>_xlfn.XLOOKUP(Cleaned_data[[#This Row],[SKU]],Products[SKU],Products[Standard_Cost])</f>
        <v>48</v>
      </c>
      <c r="AA272" s="10">
        <f>Cleaned_data[[#This Row],[Quantity]]*Cleaned_data[[#This Row],[Unit_Price]]</f>
        <v>915.90000000000009</v>
      </c>
      <c r="AB272" s="10">
        <f>Cleaned_data[[#This Row],[Unit_Price]]*Cleaned_data[[#This Row],[Discount_Pct]]</f>
        <v>6.4113000000000007</v>
      </c>
      <c r="AC272" s="10">
        <f>Cleaned_data[[#This Row],[Gross Sales]]-Cleaned_data[[#This Row],[Discount amount]]</f>
        <v>909.48870000000011</v>
      </c>
      <c r="AD272" s="10">
        <f>Cleaned_data[[#This Row],[Product Cost]]*Cleaned_data[[#This Row],[Quantity]]</f>
        <v>480</v>
      </c>
      <c r="AE272" s="10">
        <f>Cleaned_data[[#This Row],[Net Sales]]-Cleaned_data[[#This Row],[COGS]]</f>
        <v>429.48870000000011</v>
      </c>
      <c r="AF272" s="11">
        <f>Cleaned_data[[#This Row],[Gross Profit]]/Cleaned_data[[#This Row],[Net Sales]]</f>
        <v>0.47223093590937421</v>
      </c>
      <c r="AG272">
        <f>Cleaned_data[[#This Row],[Ship_Date]]-Cleaned_data[[#This Row],[Order_Date]]</f>
        <v>8</v>
      </c>
      <c r="AH272" t="str">
        <f>IF(Cleaned_data[[#This Row],[Delivery Days]]&gt;10,"late","on time")</f>
        <v>on time</v>
      </c>
      <c r="AI272" t="str">
        <f>TEXT(Cleaned_data[[#This Row],[Order_Date]],"mmmm")</f>
        <v>October</v>
      </c>
      <c r="AJ272" s="9" t="str">
        <f>"Q"&amp;ROUNDUP(MONTH(Cleaned_data[[#This Row],[Order_Date]])/3,0)</f>
        <v>Q4</v>
      </c>
    </row>
    <row r="273" spans="1:36">
      <c r="A273" t="s">
        <v>727</v>
      </c>
      <c r="B273" s="9">
        <v>45590</v>
      </c>
      <c r="C273" s="9">
        <v>45596</v>
      </c>
      <c r="D273" t="s">
        <v>728</v>
      </c>
      <c r="E273" t="s">
        <v>333</v>
      </c>
      <c r="F273" t="s">
        <v>89</v>
      </c>
      <c r="G273" t="s">
        <v>194</v>
      </c>
      <c r="H273" t="s">
        <v>195</v>
      </c>
      <c r="I273" t="s">
        <v>196</v>
      </c>
      <c r="J273" t="s">
        <v>78</v>
      </c>
      <c r="K273" t="s">
        <v>79</v>
      </c>
      <c r="L273" t="s">
        <v>214</v>
      </c>
      <c r="M273" t="s">
        <v>215</v>
      </c>
      <c r="N273" t="s">
        <v>103</v>
      </c>
      <c r="O273" t="s">
        <v>171</v>
      </c>
      <c r="P273" s="8">
        <v>10</v>
      </c>
      <c r="Q273" s="10">
        <v>11.81</v>
      </c>
      <c r="R273" s="11">
        <v>0.02</v>
      </c>
      <c r="S273" s="10">
        <v>8.36</v>
      </c>
      <c r="T273" t="s">
        <v>105</v>
      </c>
      <c r="U273" t="s">
        <v>85</v>
      </c>
      <c r="V273" s="8">
        <v>1</v>
      </c>
      <c r="W273" t="s">
        <v>1270</v>
      </c>
      <c r="X273" t="str">
        <f>_xlfn.XLOOKUP(Cleaned_data[[#This Row],[Customer_ID]],Customers[S],Customers[Loyalty_Tier])</f>
        <v>Platinum</v>
      </c>
      <c r="Y273" s="9">
        <f>_xlfn.XLOOKUP(Cleaned_data[[#This Row],[Customer_ID]],Customers[S],Customers[Signup_Date])</f>
        <v>45616</v>
      </c>
      <c r="Z273" s="12">
        <f>_xlfn.XLOOKUP(Cleaned_data[[#This Row],[SKU]],Products[SKU],Products[Standard_Cost])</f>
        <v>5</v>
      </c>
      <c r="AA273" s="10">
        <f>Cleaned_data[[#This Row],[Quantity]]*Cleaned_data[[#This Row],[Unit_Price]]</f>
        <v>118.10000000000001</v>
      </c>
      <c r="AB273" s="10">
        <f>Cleaned_data[[#This Row],[Unit_Price]]*Cleaned_data[[#This Row],[Discount_Pct]]</f>
        <v>0.23620000000000002</v>
      </c>
      <c r="AC273" s="10">
        <f>Cleaned_data[[#This Row],[Gross Sales]]-Cleaned_data[[#This Row],[Discount amount]]</f>
        <v>117.86380000000001</v>
      </c>
      <c r="AD273" s="10">
        <f>Cleaned_data[[#This Row],[Product Cost]]*Cleaned_data[[#This Row],[Quantity]]</f>
        <v>50</v>
      </c>
      <c r="AE273" s="10">
        <f>Cleaned_data[[#This Row],[Net Sales]]-Cleaned_data[[#This Row],[COGS]]</f>
        <v>67.863800000000012</v>
      </c>
      <c r="AF273" s="11">
        <f>Cleaned_data[[#This Row],[Gross Profit]]/Cleaned_data[[#This Row],[Net Sales]]</f>
        <v>0.57578153767314477</v>
      </c>
      <c r="AG273">
        <f>Cleaned_data[[#This Row],[Ship_Date]]-Cleaned_data[[#This Row],[Order_Date]]</f>
        <v>6</v>
      </c>
      <c r="AH273" t="str">
        <f>IF(Cleaned_data[[#This Row],[Delivery Days]]&gt;10,"late","on time")</f>
        <v>on time</v>
      </c>
      <c r="AI273" t="str">
        <f>TEXT(Cleaned_data[[#This Row],[Order_Date]],"mmmm")</f>
        <v>October</v>
      </c>
      <c r="AJ273" s="9" t="str">
        <f>"Q"&amp;ROUNDUP(MONTH(Cleaned_data[[#This Row],[Order_Date]])/3,0)</f>
        <v>Q4</v>
      </c>
    </row>
    <row r="274" spans="1:36">
      <c r="A274" t="s">
        <v>729</v>
      </c>
      <c r="B274" s="9">
        <v>45590</v>
      </c>
      <c r="C274" s="9">
        <v>45591</v>
      </c>
      <c r="D274" t="s">
        <v>413</v>
      </c>
      <c r="E274" t="s">
        <v>414</v>
      </c>
      <c r="F274" t="s">
        <v>89</v>
      </c>
      <c r="G274" t="s">
        <v>138</v>
      </c>
      <c r="H274" t="s">
        <v>139</v>
      </c>
      <c r="I274" t="s">
        <v>140</v>
      </c>
      <c r="J274" t="s">
        <v>109</v>
      </c>
      <c r="K274" t="s">
        <v>90</v>
      </c>
      <c r="L274" t="s">
        <v>214</v>
      </c>
      <c r="M274" t="s">
        <v>215</v>
      </c>
      <c r="N274" t="s">
        <v>103</v>
      </c>
      <c r="O274" t="s">
        <v>171</v>
      </c>
      <c r="P274" s="8">
        <v>6</v>
      </c>
      <c r="Q274" s="10">
        <v>11.85</v>
      </c>
      <c r="R274" s="11">
        <v>0.08</v>
      </c>
      <c r="S274" s="10">
        <v>16.46</v>
      </c>
      <c r="T274" t="s">
        <v>84</v>
      </c>
      <c r="U274" t="s">
        <v>85</v>
      </c>
      <c r="V274" s="8">
        <v>4</v>
      </c>
      <c r="W274" t="s">
        <v>1270</v>
      </c>
      <c r="X274" t="str">
        <f>_xlfn.XLOOKUP(Cleaned_data[[#This Row],[Customer_ID]],Customers[S],Customers[Loyalty_Tier])</f>
        <v>Platinum</v>
      </c>
      <c r="Y274" s="9">
        <f>_xlfn.XLOOKUP(Cleaned_data[[#This Row],[Customer_ID]],Customers[S],Customers[Signup_Date])</f>
        <v>44959</v>
      </c>
      <c r="Z274" s="12">
        <f>_xlfn.XLOOKUP(Cleaned_data[[#This Row],[SKU]],Products[SKU],Products[Standard_Cost])</f>
        <v>5</v>
      </c>
      <c r="AA274" s="10">
        <f>Cleaned_data[[#This Row],[Quantity]]*Cleaned_data[[#This Row],[Unit_Price]]</f>
        <v>71.099999999999994</v>
      </c>
      <c r="AB274" s="10">
        <f>Cleaned_data[[#This Row],[Unit_Price]]*Cleaned_data[[#This Row],[Discount_Pct]]</f>
        <v>0.94799999999999995</v>
      </c>
      <c r="AC274" s="10">
        <f>Cleaned_data[[#This Row],[Gross Sales]]-Cleaned_data[[#This Row],[Discount amount]]</f>
        <v>70.152000000000001</v>
      </c>
      <c r="AD274" s="10">
        <f>Cleaned_data[[#This Row],[Product Cost]]*Cleaned_data[[#This Row],[Quantity]]</f>
        <v>30</v>
      </c>
      <c r="AE274" s="10">
        <f>Cleaned_data[[#This Row],[Net Sales]]-Cleaned_data[[#This Row],[COGS]]</f>
        <v>40.152000000000001</v>
      </c>
      <c r="AF274" s="11">
        <f>Cleaned_data[[#This Row],[Gross Profit]]/Cleaned_data[[#This Row],[Net Sales]]</f>
        <v>0.5723571672938762</v>
      </c>
      <c r="AG274">
        <f>Cleaned_data[[#This Row],[Ship_Date]]-Cleaned_data[[#This Row],[Order_Date]]</f>
        <v>1</v>
      </c>
      <c r="AH274" t="str">
        <f>IF(Cleaned_data[[#This Row],[Delivery Days]]&gt;10,"late","on time")</f>
        <v>on time</v>
      </c>
      <c r="AI274" t="str">
        <f>TEXT(Cleaned_data[[#This Row],[Order_Date]],"mmmm")</f>
        <v>October</v>
      </c>
      <c r="AJ274" s="9" t="str">
        <f>"Q"&amp;ROUNDUP(MONTH(Cleaned_data[[#This Row],[Order_Date]])/3,0)</f>
        <v>Q4</v>
      </c>
    </row>
    <row r="275" spans="1:36">
      <c r="A275" t="s">
        <v>730</v>
      </c>
      <c r="B275" s="9">
        <v>45591</v>
      </c>
      <c r="C275" s="9">
        <v>45600</v>
      </c>
      <c r="D275" t="s">
        <v>621</v>
      </c>
      <c r="E275" t="s">
        <v>622</v>
      </c>
      <c r="F275" t="s">
        <v>74</v>
      </c>
      <c r="G275" t="s">
        <v>194</v>
      </c>
      <c r="H275" t="s">
        <v>230</v>
      </c>
      <c r="I275" t="s">
        <v>231</v>
      </c>
      <c r="J275" t="s">
        <v>78</v>
      </c>
      <c r="K275" t="s">
        <v>130</v>
      </c>
      <c r="L275" t="s">
        <v>175</v>
      </c>
      <c r="M275" t="s">
        <v>176</v>
      </c>
      <c r="N275" t="s">
        <v>93</v>
      </c>
      <c r="O275" t="s">
        <v>177</v>
      </c>
      <c r="P275" s="8">
        <v>1</v>
      </c>
      <c r="Q275" s="10">
        <v>168.53</v>
      </c>
      <c r="R275" s="11">
        <v>0.05</v>
      </c>
      <c r="S275" s="10">
        <v>27.38</v>
      </c>
      <c r="T275" t="s">
        <v>105</v>
      </c>
      <c r="U275" t="s">
        <v>85</v>
      </c>
      <c r="V275" s="8">
        <v>2</v>
      </c>
      <c r="W275" t="s">
        <v>1270</v>
      </c>
      <c r="X275" t="str">
        <f>_xlfn.XLOOKUP(Cleaned_data[[#This Row],[Customer_ID]],Customers[S],Customers[Loyalty_Tier])</f>
        <v>Gold</v>
      </c>
      <c r="Y275" s="9">
        <f>_xlfn.XLOOKUP(Cleaned_data[[#This Row],[Customer_ID]],Customers[S],Customers[Signup_Date])</f>
        <v>44796</v>
      </c>
      <c r="Z275" s="12">
        <f>_xlfn.XLOOKUP(Cleaned_data[[#This Row],[SKU]],Products[SKU],Products[Standard_Cost])</f>
        <v>88</v>
      </c>
      <c r="AA275" s="10">
        <f>Cleaned_data[[#This Row],[Quantity]]*Cleaned_data[[#This Row],[Unit_Price]]</f>
        <v>168.53</v>
      </c>
      <c r="AB275" s="10">
        <f>Cleaned_data[[#This Row],[Unit_Price]]*Cleaned_data[[#This Row],[Discount_Pct]]</f>
        <v>8.4265000000000008</v>
      </c>
      <c r="AC275" s="10">
        <f>Cleaned_data[[#This Row],[Gross Sales]]-Cleaned_data[[#This Row],[Discount amount]]</f>
        <v>160.1035</v>
      </c>
      <c r="AD275" s="10">
        <f>Cleaned_data[[#This Row],[Product Cost]]*Cleaned_data[[#This Row],[Quantity]]</f>
        <v>88</v>
      </c>
      <c r="AE275" s="10">
        <f>Cleaned_data[[#This Row],[Net Sales]]-Cleaned_data[[#This Row],[COGS]]</f>
        <v>72.103499999999997</v>
      </c>
      <c r="AF275" s="11">
        <f>Cleaned_data[[#This Row],[Gross Profit]]/Cleaned_data[[#This Row],[Net Sales]]</f>
        <v>0.45035555125278337</v>
      </c>
      <c r="AG275">
        <f>Cleaned_data[[#This Row],[Ship_Date]]-Cleaned_data[[#This Row],[Order_Date]]</f>
        <v>9</v>
      </c>
      <c r="AH275" t="str">
        <f>IF(Cleaned_data[[#This Row],[Delivery Days]]&gt;10,"late","on time")</f>
        <v>on time</v>
      </c>
      <c r="AI275" t="str">
        <f>TEXT(Cleaned_data[[#This Row],[Order_Date]],"mmmm")</f>
        <v>October</v>
      </c>
      <c r="AJ275" s="9" t="str">
        <f>"Q"&amp;ROUNDUP(MONTH(Cleaned_data[[#This Row],[Order_Date]])/3,0)</f>
        <v>Q4</v>
      </c>
    </row>
    <row r="276" spans="1:36">
      <c r="A276" t="s">
        <v>731</v>
      </c>
      <c r="B276" s="9">
        <v>45592</v>
      </c>
      <c r="C276" s="9">
        <v>45596</v>
      </c>
      <c r="D276" t="s">
        <v>205</v>
      </c>
      <c r="E276" t="s">
        <v>206</v>
      </c>
      <c r="F276" t="s">
        <v>74</v>
      </c>
      <c r="G276" t="s">
        <v>194</v>
      </c>
      <c r="H276" t="s">
        <v>202</v>
      </c>
      <c r="I276" t="s">
        <v>203</v>
      </c>
      <c r="J276" t="s">
        <v>78</v>
      </c>
      <c r="K276" t="s">
        <v>147</v>
      </c>
      <c r="L276" t="s">
        <v>249</v>
      </c>
      <c r="M276" t="s">
        <v>250</v>
      </c>
      <c r="N276" t="s">
        <v>103</v>
      </c>
      <c r="O276" t="s">
        <v>251</v>
      </c>
      <c r="P276" s="8">
        <v>2</v>
      </c>
      <c r="Q276" s="10">
        <v>23.08</v>
      </c>
      <c r="R276" s="11">
        <v>0.09</v>
      </c>
      <c r="S276" s="10">
        <v>14.42</v>
      </c>
      <c r="T276" t="s">
        <v>105</v>
      </c>
      <c r="U276" t="s">
        <v>85</v>
      </c>
      <c r="V276" s="8">
        <v>5</v>
      </c>
      <c r="W276" t="s">
        <v>1270</v>
      </c>
      <c r="X276" t="str">
        <f>_xlfn.XLOOKUP(Cleaned_data[[#This Row],[Customer_ID]],Customers[S],Customers[Loyalty_Tier])</f>
        <v>Silver</v>
      </c>
      <c r="Y276" s="9">
        <f>_xlfn.XLOOKUP(Cleaned_data[[#This Row],[Customer_ID]],Customers[S],Customers[Signup_Date])</f>
        <v>45725</v>
      </c>
      <c r="Z276" s="12">
        <f>_xlfn.XLOOKUP(Cleaned_data[[#This Row],[SKU]],Products[SKU],Products[Standard_Cost])</f>
        <v>10</v>
      </c>
      <c r="AA276" s="10">
        <f>Cleaned_data[[#This Row],[Quantity]]*Cleaned_data[[#This Row],[Unit_Price]]</f>
        <v>46.16</v>
      </c>
      <c r="AB276" s="10">
        <f>Cleaned_data[[#This Row],[Unit_Price]]*Cleaned_data[[#This Row],[Discount_Pct]]</f>
        <v>2.0771999999999999</v>
      </c>
      <c r="AC276" s="10">
        <f>Cleaned_data[[#This Row],[Gross Sales]]-Cleaned_data[[#This Row],[Discount amount]]</f>
        <v>44.082799999999999</v>
      </c>
      <c r="AD276" s="10">
        <f>Cleaned_data[[#This Row],[Product Cost]]*Cleaned_data[[#This Row],[Quantity]]</f>
        <v>20</v>
      </c>
      <c r="AE276" s="10">
        <f>Cleaned_data[[#This Row],[Net Sales]]-Cleaned_data[[#This Row],[COGS]]</f>
        <v>24.082799999999999</v>
      </c>
      <c r="AF276" s="11">
        <f>Cleaned_data[[#This Row],[Gross Profit]]/Cleaned_data[[#This Row],[Net Sales]]</f>
        <v>0.54630831072436414</v>
      </c>
      <c r="AG276">
        <f>Cleaned_data[[#This Row],[Ship_Date]]-Cleaned_data[[#This Row],[Order_Date]]</f>
        <v>4</v>
      </c>
      <c r="AH276" t="str">
        <f>IF(Cleaned_data[[#This Row],[Delivery Days]]&gt;10,"late","on time")</f>
        <v>on time</v>
      </c>
      <c r="AI276" t="str">
        <f>TEXT(Cleaned_data[[#This Row],[Order_Date]],"mmmm")</f>
        <v>October</v>
      </c>
      <c r="AJ276" s="9" t="str">
        <f>"Q"&amp;ROUNDUP(MONTH(Cleaned_data[[#This Row],[Order_Date]])/3,0)</f>
        <v>Q4</v>
      </c>
    </row>
    <row r="277" spans="1:36">
      <c r="A277" t="s">
        <v>732</v>
      </c>
      <c r="B277" s="9">
        <v>45592</v>
      </c>
      <c r="C277" s="9">
        <v>45600</v>
      </c>
      <c r="D277" t="s">
        <v>353</v>
      </c>
      <c r="E277" t="s">
        <v>354</v>
      </c>
      <c r="F277" t="s">
        <v>74</v>
      </c>
      <c r="G277" t="s">
        <v>126</v>
      </c>
      <c r="H277" t="s">
        <v>160</v>
      </c>
      <c r="I277" t="s">
        <v>182</v>
      </c>
      <c r="J277" t="s">
        <v>78</v>
      </c>
      <c r="K277" t="s">
        <v>79</v>
      </c>
      <c r="L277" t="s">
        <v>197</v>
      </c>
      <c r="M277" t="s">
        <v>198</v>
      </c>
      <c r="N277" t="s">
        <v>120</v>
      </c>
      <c r="O277" t="s">
        <v>121</v>
      </c>
      <c r="P277" s="8">
        <v>2</v>
      </c>
      <c r="Q277" s="10">
        <v>524.41</v>
      </c>
      <c r="R277" s="11">
        <v>0</v>
      </c>
      <c r="S277" s="10">
        <v>18.21</v>
      </c>
      <c r="T277" t="s">
        <v>105</v>
      </c>
      <c r="U277" t="s">
        <v>85</v>
      </c>
      <c r="V277" s="8">
        <v>3</v>
      </c>
      <c r="W277" t="s">
        <v>1270</v>
      </c>
      <c r="X277" t="str">
        <f>_xlfn.XLOOKUP(Cleaned_data[[#This Row],[Customer_ID]],Customers[S],Customers[Loyalty_Tier])</f>
        <v>Bronze</v>
      </c>
      <c r="Y277" s="9">
        <f>_xlfn.XLOOKUP(Cleaned_data[[#This Row],[Customer_ID]],Customers[S],Customers[Signup_Date])</f>
        <v>44241</v>
      </c>
      <c r="Z277" s="12">
        <f>_xlfn.XLOOKUP(Cleaned_data[[#This Row],[SKU]],Products[SKU],Products[Standard_Cost])</f>
        <v>310</v>
      </c>
      <c r="AA277" s="10">
        <f>Cleaned_data[[#This Row],[Quantity]]*Cleaned_data[[#This Row],[Unit_Price]]</f>
        <v>1048.82</v>
      </c>
      <c r="AB277" s="10">
        <f>Cleaned_data[[#This Row],[Unit_Price]]*Cleaned_data[[#This Row],[Discount_Pct]]</f>
        <v>0</v>
      </c>
      <c r="AC277" s="10">
        <f>Cleaned_data[[#This Row],[Gross Sales]]-Cleaned_data[[#This Row],[Discount amount]]</f>
        <v>1048.82</v>
      </c>
      <c r="AD277" s="10">
        <f>Cleaned_data[[#This Row],[Product Cost]]*Cleaned_data[[#This Row],[Quantity]]</f>
        <v>620</v>
      </c>
      <c r="AE277" s="10">
        <f>Cleaned_data[[#This Row],[Net Sales]]-Cleaned_data[[#This Row],[COGS]]</f>
        <v>428.81999999999994</v>
      </c>
      <c r="AF277" s="11">
        <f>Cleaned_data[[#This Row],[Gross Profit]]/Cleaned_data[[#This Row],[Net Sales]]</f>
        <v>0.4088594801777235</v>
      </c>
      <c r="AG277">
        <f>Cleaned_data[[#This Row],[Ship_Date]]-Cleaned_data[[#This Row],[Order_Date]]</f>
        <v>8</v>
      </c>
      <c r="AH277" t="str">
        <f>IF(Cleaned_data[[#This Row],[Delivery Days]]&gt;10,"late","on time")</f>
        <v>on time</v>
      </c>
      <c r="AI277" t="str">
        <f>TEXT(Cleaned_data[[#This Row],[Order_Date]],"mmmm")</f>
        <v>October</v>
      </c>
      <c r="AJ277" s="9" t="str">
        <f>"Q"&amp;ROUNDUP(MONTH(Cleaned_data[[#This Row],[Order_Date]])/3,0)</f>
        <v>Q4</v>
      </c>
    </row>
    <row r="278" spans="1:36">
      <c r="A278" t="s">
        <v>733</v>
      </c>
      <c r="B278" s="9">
        <v>45593</v>
      </c>
      <c r="C278" s="9">
        <v>45603</v>
      </c>
      <c r="D278" t="s">
        <v>368</v>
      </c>
      <c r="E278" t="s">
        <v>369</v>
      </c>
      <c r="F278" t="s">
        <v>89</v>
      </c>
      <c r="G278" t="s">
        <v>194</v>
      </c>
      <c r="H278" t="s">
        <v>240</v>
      </c>
      <c r="I278" t="s">
        <v>241</v>
      </c>
      <c r="J278" t="s">
        <v>129</v>
      </c>
      <c r="K278" t="s">
        <v>168</v>
      </c>
      <c r="L278" t="s">
        <v>359</v>
      </c>
      <c r="M278" t="s">
        <v>360</v>
      </c>
      <c r="N278" t="s">
        <v>93</v>
      </c>
      <c r="O278" t="s">
        <v>94</v>
      </c>
      <c r="P278" s="8">
        <v>3</v>
      </c>
      <c r="Q278" s="10">
        <v>437.62</v>
      </c>
      <c r="R278" s="11">
        <v>0.08</v>
      </c>
      <c r="S278" s="10">
        <v>18.350000000000001</v>
      </c>
      <c r="T278" t="s">
        <v>84</v>
      </c>
      <c r="U278" t="s">
        <v>85</v>
      </c>
      <c r="V278" s="8">
        <v>4</v>
      </c>
      <c r="W278" t="s">
        <v>1270</v>
      </c>
      <c r="X278" t="str">
        <f>_xlfn.XLOOKUP(Cleaned_data[[#This Row],[Customer_ID]],Customers[S],Customers[Loyalty_Tier])</f>
        <v>Platinum</v>
      </c>
      <c r="Y278" s="9">
        <f>_xlfn.XLOOKUP(Cleaned_data[[#This Row],[Customer_ID]],Customers[S],Customers[Signup_Date])</f>
        <v>45670</v>
      </c>
      <c r="Z278" s="12">
        <f>_xlfn.XLOOKUP(Cleaned_data[[#This Row],[SKU]],Products[SKU],Products[Standard_Cost])</f>
        <v>265</v>
      </c>
      <c r="AA278" s="10">
        <f>Cleaned_data[[#This Row],[Quantity]]*Cleaned_data[[#This Row],[Unit_Price]]</f>
        <v>1312.8600000000001</v>
      </c>
      <c r="AB278" s="10">
        <f>Cleaned_data[[#This Row],[Unit_Price]]*Cleaned_data[[#This Row],[Discount_Pct]]</f>
        <v>35.009599999999999</v>
      </c>
      <c r="AC278" s="10">
        <f>Cleaned_data[[#This Row],[Gross Sales]]-Cleaned_data[[#This Row],[Discount amount]]</f>
        <v>1277.8504</v>
      </c>
      <c r="AD278" s="10">
        <f>Cleaned_data[[#This Row],[Product Cost]]*Cleaned_data[[#This Row],[Quantity]]</f>
        <v>795</v>
      </c>
      <c r="AE278" s="10">
        <f>Cleaned_data[[#This Row],[Net Sales]]-Cleaned_data[[#This Row],[COGS]]</f>
        <v>482.85040000000004</v>
      </c>
      <c r="AF278" s="11">
        <f>Cleaned_data[[#This Row],[Gross Profit]]/Cleaned_data[[#This Row],[Net Sales]]</f>
        <v>0.37786144606598709</v>
      </c>
      <c r="AG278">
        <f>Cleaned_data[[#This Row],[Ship_Date]]-Cleaned_data[[#This Row],[Order_Date]]</f>
        <v>10</v>
      </c>
      <c r="AH278" t="str">
        <f>IF(Cleaned_data[[#This Row],[Delivery Days]]&gt;10,"late","on time")</f>
        <v>on time</v>
      </c>
      <c r="AI278" t="str">
        <f>TEXT(Cleaned_data[[#This Row],[Order_Date]],"mmmm")</f>
        <v>October</v>
      </c>
      <c r="AJ278" s="9" t="str">
        <f>"Q"&amp;ROUNDUP(MONTH(Cleaned_data[[#This Row],[Order_Date]])/3,0)</f>
        <v>Q4</v>
      </c>
    </row>
    <row r="279" spans="1:36">
      <c r="A279" t="s">
        <v>734</v>
      </c>
      <c r="B279" s="9">
        <v>45594</v>
      </c>
      <c r="C279" s="9">
        <v>45598</v>
      </c>
      <c r="D279" t="s">
        <v>646</v>
      </c>
      <c r="E279" t="s">
        <v>647</v>
      </c>
      <c r="F279" t="s">
        <v>89</v>
      </c>
      <c r="G279" t="s">
        <v>126</v>
      </c>
      <c r="H279" t="s">
        <v>127</v>
      </c>
      <c r="I279" t="s">
        <v>128</v>
      </c>
      <c r="J279" t="s">
        <v>109</v>
      </c>
      <c r="K279" t="s">
        <v>147</v>
      </c>
      <c r="L279" t="s">
        <v>118</v>
      </c>
      <c r="M279" t="s">
        <v>119</v>
      </c>
      <c r="N279" t="s">
        <v>120</v>
      </c>
      <c r="O279" t="s">
        <v>121</v>
      </c>
      <c r="P279" s="8">
        <v>3</v>
      </c>
      <c r="Q279" s="10">
        <v>297.10000000000002</v>
      </c>
      <c r="R279" s="11">
        <v>0.1</v>
      </c>
      <c r="S279" s="10">
        <v>15.77</v>
      </c>
      <c r="T279" t="s">
        <v>84</v>
      </c>
      <c r="U279" t="s">
        <v>85</v>
      </c>
      <c r="V279" s="8">
        <v>3</v>
      </c>
      <c r="W279" t="s">
        <v>1270</v>
      </c>
      <c r="X279" t="str">
        <f>_xlfn.XLOOKUP(Cleaned_data[[#This Row],[Customer_ID]],Customers[S],Customers[Loyalty_Tier])</f>
        <v>Bronze</v>
      </c>
      <c r="Y279" s="9">
        <f>_xlfn.XLOOKUP(Cleaned_data[[#This Row],[Customer_ID]],Customers[S],Customers[Signup_Date])</f>
        <v>44201</v>
      </c>
      <c r="Z279" s="12">
        <f>_xlfn.XLOOKUP(Cleaned_data[[#This Row],[SKU]],Products[SKU],Products[Standard_Cost])</f>
        <v>168</v>
      </c>
      <c r="AA279" s="10">
        <f>Cleaned_data[[#This Row],[Quantity]]*Cleaned_data[[#This Row],[Unit_Price]]</f>
        <v>891.30000000000007</v>
      </c>
      <c r="AB279" s="10">
        <f>Cleaned_data[[#This Row],[Unit_Price]]*Cleaned_data[[#This Row],[Discount_Pct]]</f>
        <v>29.710000000000004</v>
      </c>
      <c r="AC279" s="10">
        <f>Cleaned_data[[#This Row],[Gross Sales]]-Cleaned_data[[#This Row],[Discount amount]]</f>
        <v>861.59</v>
      </c>
      <c r="AD279" s="10">
        <f>Cleaned_data[[#This Row],[Product Cost]]*Cleaned_data[[#This Row],[Quantity]]</f>
        <v>504</v>
      </c>
      <c r="AE279" s="10">
        <f>Cleaned_data[[#This Row],[Net Sales]]-Cleaned_data[[#This Row],[COGS]]</f>
        <v>357.59000000000003</v>
      </c>
      <c r="AF279" s="11">
        <f>Cleaned_data[[#This Row],[Gross Profit]]/Cleaned_data[[#This Row],[Net Sales]]</f>
        <v>0.41503499344235661</v>
      </c>
      <c r="AG279">
        <f>Cleaned_data[[#This Row],[Ship_Date]]-Cleaned_data[[#This Row],[Order_Date]]</f>
        <v>4</v>
      </c>
      <c r="AH279" t="str">
        <f>IF(Cleaned_data[[#This Row],[Delivery Days]]&gt;10,"late","on time")</f>
        <v>on time</v>
      </c>
      <c r="AI279" t="str">
        <f>TEXT(Cleaned_data[[#This Row],[Order_Date]],"mmmm")</f>
        <v>October</v>
      </c>
      <c r="AJ279" s="9" t="str">
        <f>"Q"&amp;ROUNDUP(MONTH(Cleaned_data[[#This Row],[Order_Date]])/3,0)</f>
        <v>Q4</v>
      </c>
    </row>
    <row r="280" spans="1:36">
      <c r="A280" t="s">
        <v>735</v>
      </c>
      <c r="B280" s="9">
        <v>45595</v>
      </c>
      <c r="C280" s="9">
        <v>45596</v>
      </c>
      <c r="D280" t="s">
        <v>210</v>
      </c>
      <c r="E280" t="s">
        <v>211</v>
      </c>
      <c r="F280" t="s">
        <v>89</v>
      </c>
      <c r="G280" t="s">
        <v>75</v>
      </c>
      <c r="H280" t="s">
        <v>212</v>
      </c>
      <c r="I280" t="s">
        <v>213</v>
      </c>
      <c r="J280" t="s">
        <v>129</v>
      </c>
      <c r="K280" t="s">
        <v>168</v>
      </c>
      <c r="L280" t="s">
        <v>234</v>
      </c>
      <c r="M280" t="s">
        <v>235</v>
      </c>
      <c r="N280" t="s">
        <v>93</v>
      </c>
      <c r="O280" t="s">
        <v>236</v>
      </c>
      <c r="P280" s="8">
        <v>1</v>
      </c>
      <c r="Q280" s="10">
        <v>140.28</v>
      </c>
      <c r="R280" s="11">
        <v>0.12</v>
      </c>
      <c r="S280" s="10">
        <v>21.66</v>
      </c>
      <c r="T280" t="s">
        <v>122</v>
      </c>
      <c r="U280" t="s">
        <v>85</v>
      </c>
      <c r="V280" s="8">
        <v>5</v>
      </c>
      <c r="W280" t="s">
        <v>1270</v>
      </c>
      <c r="X280" t="str">
        <f>_xlfn.XLOOKUP(Cleaned_data[[#This Row],[Customer_ID]],Customers[S],Customers[Loyalty_Tier])</f>
        <v>Platinum</v>
      </c>
      <c r="Y280" s="9">
        <f>_xlfn.XLOOKUP(Cleaned_data[[#This Row],[Customer_ID]],Customers[S],Customers[Signup_Date])</f>
        <v>45059</v>
      </c>
      <c r="Z280" s="12">
        <f>_xlfn.XLOOKUP(Cleaned_data[[#This Row],[SKU]],Products[SKU],Products[Standard_Cost])</f>
        <v>82</v>
      </c>
      <c r="AA280" s="10">
        <f>Cleaned_data[[#This Row],[Quantity]]*Cleaned_data[[#This Row],[Unit_Price]]</f>
        <v>140.28</v>
      </c>
      <c r="AB280" s="10">
        <f>Cleaned_data[[#This Row],[Unit_Price]]*Cleaned_data[[#This Row],[Discount_Pct]]</f>
        <v>16.833600000000001</v>
      </c>
      <c r="AC280" s="10">
        <f>Cleaned_data[[#This Row],[Gross Sales]]-Cleaned_data[[#This Row],[Discount amount]]</f>
        <v>123.4464</v>
      </c>
      <c r="AD280" s="10">
        <f>Cleaned_data[[#This Row],[Product Cost]]*Cleaned_data[[#This Row],[Quantity]]</f>
        <v>82</v>
      </c>
      <c r="AE280" s="10">
        <f>Cleaned_data[[#This Row],[Net Sales]]-Cleaned_data[[#This Row],[COGS]]</f>
        <v>41.446399999999997</v>
      </c>
      <c r="AF280" s="11">
        <f>Cleaned_data[[#This Row],[Gross Profit]]/Cleaned_data[[#This Row],[Net Sales]]</f>
        <v>0.33574409622313811</v>
      </c>
      <c r="AG280">
        <f>Cleaned_data[[#This Row],[Ship_Date]]-Cleaned_data[[#This Row],[Order_Date]]</f>
        <v>1</v>
      </c>
      <c r="AH280" t="str">
        <f>IF(Cleaned_data[[#This Row],[Delivery Days]]&gt;10,"late","on time")</f>
        <v>on time</v>
      </c>
      <c r="AI280" t="str">
        <f>TEXT(Cleaned_data[[#This Row],[Order_Date]],"mmmm")</f>
        <v>October</v>
      </c>
      <c r="AJ280" s="9" t="str">
        <f>"Q"&amp;ROUNDUP(MONTH(Cleaned_data[[#This Row],[Order_Date]])/3,0)</f>
        <v>Q4</v>
      </c>
    </row>
    <row r="281" spans="1:36">
      <c r="A281" t="s">
        <v>736</v>
      </c>
      <c r="B281" s="9">
        <v>45595</v>
      </c>
      <c r="C281" s="9">
        <v>45599</v>
      </c>
      <c r="D281" t="s">
        <v>335</v>
      </c>
      <c r="E281" t="s">
        <v>336</v>
      </c>
      <c r="F281" t="s">
        <v>74</v>
      </c>
      <c r="G281" t="s">
        <v>126</v>
      </c>
      <c r="H281" t="s">
        <v>291</v>
      </c>
      <c r="I281" t="s">
        <v>292</v>
      </c>
      <c r="J281" t="s">
        <v>129</v>
      </c>
      <c r="K281" t="s">
        <v>147</v>
      </c>
      <c r="L281" t="s">
        <v>242</v>
      </c>
      <c r="M281" t="s">
        <v>243</v>
      </c>
      <c r="N281" t="s">
        <v>120</v>
      </c>
      <c r="O281" t="s">
        <v>133</v>
      </c>
      <c r="P281" s="8">
        <v>2</v>
      </c>
      <c r="Q281" s="10">
        <v>181.78</v>
      </c>
      <c r="R281" s="11">
        <v>0.03</v>
      </c>
      <c r="S281" s="10">
        <v>9.4</v>
      </c>
      <c r="T281" t="s">
        <v>105</v>
      </c>
      <c r="U281" t="s">
        <v>85</v>
      </c>
      <c r="V281" s="8">
        <v>2</v>
      </c>
      <c r="W281" t="s">
        <v>1270</v>
      </c>
      <c r="X281" t="str">
        <f>_xlfn.XLOOKUP(Cleaned_data[[#This Row],[Customer_ID]],Customers[S],Customers[Loyalty_Tier])</f>
        <v>Bronze</v>
      </c>
      <c r="Y281" s="9">
        <f>_xlfn.XLOOKUP(Cleaned_data[[#This Row],[Customer_ID]],Customers[S],Customers[Signup_Date])</f>
        <v>44764</v>
      </c>
      <c r="Z281" s="12">
        <f>_xlfn.XLOOKUP(Cleaned_data[[#This Row],[SKU]],Products[SKU],Products[Standard_Cost])</f>
        <v>96</v>
      </c>
      <c r="AA281" s="10">
        <f>Cleaned_data[[#This Row],[Quantity]]*Cleaned_data[[#This Row],[Unit_Price]]</f>
        <v>363.56</v>
      </c>
      <c r="AB281" s="10">
        <f>Cleaned_data[[#This Row],[Unit_Price]]*Cleaned_data[[#This Row],[Discount_Pct]]</f>
        <v>5.4534000000000002</v>
      </c>
      <c r="AC281" s="10">
        <f>Cleaned_data[[#This Row],[Gross Sales]]-Cleaned_data[[#This Row],[Discount amount]]</f>
        <v>358.10660000000001</v>
      </c>
      <c r="AD281" s="10">
        <f>Cleaned_data[[#This Row],[Product Cost]]*Cleaned_data[[#This Row],[Quantity]]</f>
        <v>192</v>
      </c>
      <c r="AE281" s="10">
        <f>Cleaned_data[[#This Row],[Net Sales]]-Cleaned_data[[#This Row],[COGS]]</f>
        <v>166.10660000000001</v>
      </c>
      <c r="AF281" s="11">
        <f>Cleaned_data[[#This Row],[Gross Profit]]/Cleaned_data[[#This Row],[Net Sales]]</f>
        <v>0.46384679869066925</v>
      </c>
      <c r="AG281">
        <f>Cleaned_data[[#This Row],[Ship_Date]]-Cleaned_data[[#This Row],[Order_Date]]</f>
        <v>4</v>
      </c>
      <c r="AH281" t="str">
        <f>IF(Cleaned_data[[#This Row],[Delivery Days]]&gt;10,"late","on time")</f>
        <v>on time</v>
      </c>
      <c r="AI281" t="str">
        <f>TEXT(Cleaned_data[[#This Row],[Order_Date]],"mmmm")</f>
        <v>October</v>
      </c>
      <c r="AJ281" s="9" t="str">
        <f>"Q"&amp;ROUNDUP(MONTH(Cleaned_data[[#This Row],[Order_Date]])/3,0)</f>
        <v>Q4</v>
      </c>
    </row>
    <row r="282" spans="1:36">
      <c r="A282" t="s">
        <v>737</v>
      </c>
      <c r="B282" s="9">
        <v>45595</v>
      </c>
      <c r="C282" s="9">
        <v>45596</v>
      </c>
      <c r="D282" t="s">
        <v>350</v>
      </c>
      <c r="E282" t="s">
        <v>351</v>
      </c>
      <c r="F282" t="s">
        <v>152</v>
      </c>
      <c r="G282" t="s">
        <v>126</v>
      </c>
      <c r="H282" t="s">
        <v>160</v>
      </c>
      <c r="I282" t="s">
        <v>182</v>
      </c>
      <c r="J282" t="s">
        <v>109</v>
      </c>
      <c r="K282" t="s">
        <v>147</v>
      </c>
      <c r="L282" t="s">
        <v>214</v>
      </c>
      <c r="M282" t="s">
        <v>215</v>
      </c>
      <c r="N282" t="s">
        <v>103</v>
      </c>
      <c r="O282" t="s">
        <v>171</v>
      </c>
      <c r="P282" s="8">
        <v>8</v>
      </c>
      <c r="Q282" s="10">
        <v>12.52</v>
      </c>
      <c r="R282" s="11">
        <v>0.31</v>
      </c>
      <c r="S282" s="10">
        <v>7.04</v>
      </c>
      <c r="T282" t="s">
        <v>134</v>
      </c>
      <c r="U282" t="s">
        <v>85</v>
      </c>
      <c r="V282" s="8">
        <v>5</v>
      </c>
      <c r="W282" t="s">
        <v>1270</v>
      </c>
      <c r="X282" t="str">
        <f>_xlfn.XLOOKUP(Cleaned_data[[#This Row],[Customer_ID]],Customers[S],Customers[Loyalty_Tier])</f>
        <v>Bronze</v>
      </c>
      <c r="Y282" s="9">
        <f>_xlfn.XLOOKUP(Cleaned_data[[#This Row],[Customer_ID]],Customers[S],Customers[Signup_Date])</f>
        <v>45115</v>
      </c>
      <c r="Z282" s="12">
        <f>_xlfn.XLOOKUP(Cleaned_data[[#This Row],[SKU]],Products[SKU],Products[Standard_Cost])</f>
        <v>5</v>
      </c>
      <c r="AA282" s="10">
        <f>Cleaned_data[[#This Row],[Quantity]]*Cleaned_data[[#This Row],[Unit_Price]]</f>
        <v>100.16</v>
      </c>
      <c r="AB282" s="10">
        <f>Cleaned_data[[#This Row],[Unit_Price]]*Cleaned_data[[#This Row],[Discount_Pct]]</f>
        <v>3.8811999999999998</v>
      </c>
      <c r="AC282" s="10">
        <f>Cleaned_data[[#This Row],[Gross Sales]]-Cleaned_data[[#This Row],[Discount amount]]</f>
        <v>96.27879999999999</v>
      </c>
      <c r="AD282" s="10">
        <f>Cleaned_data[[#This Row],[Product Cost]]*Cleaned_data[[#This Row],[Quantity]]</f>
        <v>40</v>
      </c>
      <c r="AE282" s="10">
        <f>Cleaned_data[[#This Row],[Net Sales]]-Cleaned_data[[#This Row],[COGS]]</f>
        <v>56.27879999999999</v>
      </c>
      <c r="AF282" s="11">
        <f>Cleaned_data[[#This Row],[Gross Profit]]/Cleaned_data[[#This Row],[Net Sales]]</f>
        <v>0.58453989871082723</v>
      </c>
      <c r="AG282">
        <f>Cleaned_data[[#This Row],[Ship_Date]]-Cleaned_data[[#This Row],[Order_Date]]</f>
        <v>1</v>
      </c>
      <c r="AH282" t="str">
        <f>IF(Cleaned_data[[#This Row],[Delivery Days]]&gt;10,"late","on time")</f>
        <v>on time</v>
      </c>
      <c r="AI282" t="str">
        <f>TEXT(Cleaned_data[[#This Row],[Order_Date]],"mmmm")</f>
        <v>October</v>
      </c>
      <c r="AJ282" s="9" t="str">
        <f>"Q"&amp;ROUNDUP(MONTH(Cleaned_data[[#This Row],[Order_Date]])/3,0)</f>
        <v>Q4</v>
      </c>
    </row>
    <row r="283" spans="1:36">
      <c r="A283" t="s">
        <v>738</v>
      </c>
      <c r="B283" s="9">
        <v>45596</v>
      </c>
      <c r="C283" s="9">
        <v>45605</v>
      </c>
      <c r="D283" t="s">
        <v>345</v>
      </c>
      <c r="E283" t="s">
        <v>346</v>
      </c>
      <c r="F283" t="s">
        <v>89</v>
      </c>
      <c r="G283" t="s">
        <v>138</v>
      </c>
      <c r="H283" t="s">
        <v>347</v>
      </c>
      <c r="I283" t="s">
        <v>348</v>
      </c>
      <c r="J283" t="s">
        <v>219</v>
      </c>
      <c r="K283" t="s">
        <v>100</v>
      </c>
      <c r="L283" t="s">
        <v>284</v>
      </c>
      <c r="M283" t="s">
        <v>285</v>
      </c>
      <c r="N283" t="s">
        <v>103</v>
      </c>
      <c r="O283" t="s">
        <v>143</v>
      </c>
      <c r="P283" s="8">
        <v>6</v>
      </c>
      <c r="Q283" s="10">
        <v>26.8</v>
      </c>
      <c r="R283" s="11">
        <v>0.03</v>
      </c>
      <c r="S283" s="10">
        <v>10.87</v>
      </c>
      <c r="T283" t="s">
        <v>105</v>
      </c>
      <c r="U283" t="s">
        <v>85</v>
      </c>
      <c r="V283" s="8">
        <v>3</v>
      </c>
      <c r="W283" t="s">
        <v>1270</v>
      </c>
      <c r="X283" t="str">
        <f>_xlfn.XLOOKUP(Cleaned_data[[#This Row],[Customer_ID]],Customers[S],Customers[Loyalty_Tier])</f>
        <v>Gold</v>
      </c>
      <c r="Y283" s="9">
        <f>_xlfn.XLOOKUP(Cleaned_data[[#This Row],[Customer_ID]],Customers[S],Customers[Signup_Date])</f>
        <v>45997</v>
      </c>
      <c r="Z283" s="12">
        <f>_xlfn.XLOOKUP(Cleaned_data[[#This Row],[SKU]],Products[SKU],Products[Standard_Cost])</f>
        <v>14</v>
      </c>
      <c r="AA283" s="10">
        <f>Cleaned_data[[#This Row],[Quantity]]*Cleaned_data[[#This Row],[Unit_Price]]</f>
        <v>160.80000000000001</v>
      </c>
      <c r="AB283" s="10">
        <f>Cleaned_data[[#This Row],[Unit_Price]]*Cleaned_data[[#This Row],[Discount_Pct]]</f>
        <v>0.80399999999999994</v>
      </c>
      <c r="AC283" s="10">
        <f>Cleaned_data[[#This Row],[Gross Sales]]-Cleaned_data[[#This Row],[Discount amount]]</f>
        <v>159.99600000000001</v>
      </c>
      <c r="AD283" s="10">
        <f>Cleaned_data[[#This Row],[Product Cost]]*Cleaned_data[[#This Row],[Quantity]]</f>
        <v>84</v>
      </c>
      <c r="AE283" s="10">
        <f>Cleaned_data[[#This Row],[Net Sales]]-Cleaned_data[[#This Row],[COGS]]</f>
        <v>75.996000000000009</v>
      </c>
      <c r="AF283" s="11">
        <f>Cleaned_data[[#This Row],[Gross Profit]]/Cleaned_data[[#This Row],[Net Sales]]</f>
        <v>0.47498687467186684</v>
      </c>
      <c r="AG283">
        <f>Cleaned_data[[#This Row],[Ship_Date]]-Cleaned_data[[#This Row],[Order_Date]]</f>
        <v>9</v>
      </c>
      <c r="AH283" t="str">
        <f>IF(Cleaned_data[[#This Row],[Delivery Days]]&gt;10,"late","on time")</f>
        <v>on time</v>
      </c>
      <c r="AI283" t="str">
        <f>TEXT(Cleaned_data[[#This Row],[Order_Date]],"mmmm")</f>
        <v>October</v>
      </c>
      <c r="AJ283" s="9" t="str">
        <f>"Q"&amp;ROUNDUP(MONTH(Cleaned_data[[#This Row],[Order_Date]])/3,0)</f>
        <v>Q4</v>
      </c>
    </row>
    <row r="284" spans="1:36">
      <c r="A284" t="s">
        <v>739</v>
      </c>
      <c r="B284" s="9">
        <v>45596</v>
      </c>
      <c r="C284" s="9">
        <v>45606</v>
      </c>
      <c r="D284" t="s">
        <v>419</v>
      </c>
      <c r="E284" t="s">
        <v>420</v>
      </c>
      <c r="F284" t="s">
        <v>74</v>
      </c>
      <c r="G284" t="s">
        <v>126</v>
      </c>
      <c r="H284" t="s">
        <v>160</v>
      </c>
      <c r="I284" t="s">
        <v>161</v>
      </c>
      <c r="J284" t="s">
        <v>129</v>
      </c>
      <c r="K284" t="s">
        <v>168</v>
      </c>
      <c r="L284" t="s">
        <v>214</v>
      </c>
      <c r="M284" t="s">
        <v>215</v>
      </c>
      <c r="N284" t="s">
        <v>103</v>
      </c>
      <c r="O284" t="s">
        <v>171</v>
      </c>
      <c r="P284" s="8">
        <v>1</v>
      </c>
      <c r="Q284" s="10">
        <v>12.3</v>
      </c>
      <c r="R284" s="11">
        <v>0.05</v>
      </c>
      <c r="S284" s="10">
        <v>7.15</v>
      </c>
      <c r="T284" t="s">
        <v>84</v>
      </c>
      <c r="U284" t="s">
        <v>85</v>
      </c>
      <c r="W284" t="s">
        <v>1270</v>
      </c>
      <c r="X284" t="str">
        <f>_xlfn.XLOOKUP(Cleaned_data[[#This Row],[Customer_ID]],Customers[S],Customers[Loyalty_Tier])</f>
        <v>Silver</v>
      </c>
      <c r="Y284" s="9">
        <f>_xlfn.XLOOKUP(Cleaned_data[[#This Row],[Customer_ID]],Customers[S],Customers[Signup_Date])</f>
        <v>44752</v>
      </c>
      <c r="Z284" s="12">
        <f>_xlfn.XLOOKUP(Cleaned_data[[#This Row],[SKU]],Products[SKU],Products[Standard_Cost])</f>
        <v>5</v>
      </c>
      <c r="AA284" s="10">
        <f>Cleaned_data[[#This Row],[Quantity]]*Cleaned_data[[#This Row],[Unit_Price]]</f>
        <v>12.3</v>
      </c>
      <c r="AB284" s="10">
        <f>Cleaned_data[[#This Row],[Unit_Price]]*Cleaned_data[[#This Row],[Discount_Pct]]</f>
        <v>0.6150000000000001</v>
      </c>
      <c r="AC284" s="10">
        <f>Cleaned_data[[#This Row],[Gross Sales]]-Cleaned_data[[#This Row],[Discount amount]]</f>
        <v>11.685</v>
      </c>
      <c r="AD284" s="10">
        <f>Cleaned_data[[#This Row],[Product Cost]]*Cleaned_data[[#This Row],[Quantity]]</f>
        <v>5</v>
      </c>
      <c r="AE284" s="10">
        <f>Cleaned_data[[#This Row],[Net Sales]]-Cleaned_data[[#This Row],[COGS]]</f>
        <v>6.6850000000000005</v>
      </c>
      <c r="AF284" s="11">
        <f>Cleaned_data[[#This Row],[Gross Profit]]/Cleaned_data[[#This Row],[Net Sales]]</f>
        <v>0.57210098416773647</v>
      </c>
      <c r="AG284">
        <f>Cleaned_data[[#This Row],[Ship_Date]]-Cleaned_data[[#This Row],[Order_Date]]</f>
        <v>10</v>
      </c>
      <c r="AH284" t="str">
        <f>IF(Cleaned_data[[#This Row],[Delivery Days]]&gt;10,"late","on time")</f>
        <v>on time</v>
      </c>
      <c r="AI284" t="str">
        <f>TEXT(Cleaned_data[[#This Row],[Order_Date]],"mmmm")</f>
        <v>October</v>
      </c>
      <c r="AJ284" s="9" t="str">
        <f>"Q"&amp;ROUNDUP(MONTH(Cleaned_data[[#This Row],[Order_Date]])/3,0)</f>
        <v>Q4</v>
      </c>
    </row>
    <row r="285" spans="1:36">
      <c r="A285" t="s">
        <v>740</v>
      </c>
      <c r="B285" s="9">
        <v>45600</v>
      </c>
      <c r="C285" s="9">
        <v>45601</v>
      </c>
      <c r="D285" t="s">
        <v>460</v>
      </c>
      <c r="E285" t="s">
        <v>461</v>
      </c>
      <c r="F285" t="s">
        <v>74</v>
      </c>
      <c r="G285" t="s">
        <v>75</v>
      </c>
      <c r="H285" t="s">
        <v>273</v>
      </c>
      <c r="I285" t="s">
        <v>274</v>
      </c>
      <c r="J285" t="s">
        <v>219</v>
      </c>
      <c r="K285" t="s">
        <v>147</v>
      </c>
      <c r="L285" t="s">
        <v>359</v>
      </c>
      <c r="M285" t="s">
        <v>360</v>
      </c>
      <c r="N285" t="s">
        <v>93</v>
      </c>
      <c r="O285" t="s">
        <v>94</v>
      </c>
      <c r="P285" s="8">
        <v>3</v>
      </c>
      <c r="Q285" s="10">
        <v>451.18</v>
      </c>
      <c r="R285" s="11">
        <v>0.09</v>
      </c>
      <c r="S285" s="10">
        <v>23.31</v>
      </c>
      <c r="T285" t="s">
        <v>105</v>
      </c>
      <c r="U285" t="s">
        <v>85</v>
      </c>
      <c r="V285" s="8">
        <v>1</v>
      </c>
      <c r="W285" t="s">
        <v>1270</v>
      </c>
      <c r="X285" t="str">
        <f>_xlfn.XLOOKUP(Cleaned_data[[#This Row],[Customer_ID]],Customers[S],Customers[Loyalty_Tier])</f>
        <v>Gold</v>
      </c>
      <c r="Y285" s="9">
        <f>_xlfn.XLOOKUP(Cleaned_data[[#This Row],[Customer_ID]],Customers[S],Customers[Signup_Date])</f>
        <v>45647</v>
      </c>
      <c r="Z285" s="12">
        <f>_xlfn.XLOOKUP(Cleaned_data[[#This Row],[SKU]],Products[SKU],Products[Standard_Cost])</f>
        <v>265</v>
      </c>
      <c r="AA285" s="10">
        <f>Cleaned_data[[#This Row],[Quantity]]*Cleaned_data[[#This Row],[Unit_Price]]</f>
        <v>1353.54</v>
      </c>
      <c r="AB285" s="10">
        <f>Cleaned_data[[#This Row],[Unit_Price]]*Cleaned_data[[#This Row],[Discount_Pct]]</f>
        <v>40.606200000000001</v>
      </c>
      <c r="AC285" s="10">
        <f>Cleaned_data[[#This Row],[Gross Sales]]-Cleaned_data[[#This Row],[Discount amount]]</f>
        <v>1312.9338</v>
      </c>
      <c r="AD285" s="10">
        <f>Cleaned_data[[#This Row],[Product Cost]]*Cleaned_data[[#This Row],[Quantity]]</f>
        <v>795</v>
      </c>
      <c r="AE285" s="10">
        <f>Cleaned_data[[#This Row],[Net Sales]]-Cleaned_data[[#This Row],[COGS]]</f>
        <v>517.93380000000002</v>
      </c>
      <c r="AF285" s="11">
        <f>Cleaned_data[[#This Row],[Gross Profit]]/Cleaned_data[[#This Row],[Net Sales]]</f>
        <v>0.3944858453640237</v>
      </c>
      <c r="AG285">
        <f>Cleaned_data[[#This Row],[Ship_Date]]-Cleaned_data[[#This Row],[Order_Date]]</f>
        <v>1</v>
      </c>
      <c r="AH285" t="str">
        <f>IF(Cleaned_data[[#This Row],[Delivery Days]]&gt;10,"late","on time")</f>
        <v>on time</v>
      </c>
      <c r="AI285" t="str">
        <f>TEXT(Cleaned_data[[#This Row],[Order_Date]],"mmmm")</f>
        <v>November</v>
      </c>
      <c r="AJ285" s="9" t="str">
        <f>"Q"&amp;ROUNDUP(MONTH(Cleaned_data[[#This Row],[Order_Date]])/3,0)</f>
        <v>Q4</v>
      </c>
    </row>
    <row r="286" spans="1:36">
      <c r="A286" t="s">
        <v>741</v>
      </c>
      <c r="B286" s="9">
        <v>45601</v>
      </c>
      <c r="C286" s="9">
        <v>45606</v>
      </c>
      <c r="D286" t="s">
        <v>522</v>
      </c>
      <c r="E286" t="s">
        <v>512</v>
      </c>
      <c r="F286" t="s">
        <v>74</v>
      </c>
      <c r="G286" t="s">
        <v>194</v>
      </c>
      <c r="H286" t="s">
        <v>230</v>
      </c>
      <c r="I286" t="s">
        <v>231</v>
      </c>
      <c r="J286" t="s">
        <v>109</v>
      </c>
      <c r="K286" t="s">
        <v>79</v>
      </c>
      <c r="L286" t="s">
        <v>118</v>
      </c>
      <c r="M286" t="s">
        <v>119</v>
      </c>
      <c r="N286" t="s">
        <v>120</v>
      </c>
      <c r="O286" t="s">
        <v>121</v>
      </c>
      <c r="P286" s="8">
        <v>4</v>
      </c>
      <c r="Q286" s="10">
        <v>305.56</v>
      </c>
      <c r="R286" s="11">
        <v>0.03</v>
      </c>
      <c r="S286" s="10">
        <v>6.84</v>
      </c>
      <c r="T286" t="s">
        <v>84</v>
      </c>
      <c r="U286" t="s">
        <v>85</v>
      </c>
      <c r="V286" s="8">
        <v>1</v>
      </c>
      <c r="W286" t="s">
        <v>1270</v>
      </c>
      <c r="X286" t="str">
        <f>_xlfn.XLOOKUP(Cleaned_data[[#This Row],[Customer_ID]],Customers[S],Customers[Loyalty_Tier])</f>
        <v>Silver</v>
      </c>
      <c r="Y286" s="9">
        <f>_xlfn.XLOOKUP(Cleaned_data[[#This Row],[Customer_ID]],Customers[S],Customers[Signup_Date])</f>
        <v>44653</v>
      </c>
      <c r="Z286" s="12">
        <f>_xlfn.XLOOKUP(Cleaned_data[[#This Row],[SKU]],Products[SKU],Products[Standard_Cost])</f>
        <v>168</v>
      </c>
      <c r="AA286" s="10">
        <f>Cleaned_data[[#This Row],[Quantity]]*Cleaned_data[[#This Row],[Unit_Price]]</f>
        <v>1222.24</v>
      </c>
      <c r="AB286" s="10">
        <f>Cleaned_data[[#This Row],[Unit_Price]]*Cleaned_data[[#This Row],[Discount_Pct]]</f>
        <v>9.1668000000000003</v>
      </c>
      <c r="AC286" s="10">
        <f>Cleaned_data[[#This Row],[Gross Sales]]-Cleaned_data[[#This Row],[Discount amount]]</f>
        <v>1213.0732</v>
      </c>
      <c r="AD286" s="10">
        <f>Cleaned_data[[#This Row],[Product Cost]]*Cleaned_data[[#This Row],[Quantity]]</f>
        <v>672</v>
      </c>
      <c r="AE286" s="10">
        <f>Cleaned_data[[#This Row],[Net Sales]]-Cleaned_data[[#This Row],[COGS]]</f>
        <v>541.07320000000004</v>
      </c>
      <c r="AF286" s="11">
        <f>Cleaned_data[[#This Row],[Gross Profit]]/Cleaned_data[[#This Row],[Net Sales]]</f>
        <v>0.44603507850968932</v>
      </c>
      <c r="AG286">
        <f>Cleaned_data[[#This Row],[Ship_Date]]-Cleaned_data[[#This Row],[Order_Date]]</f>
        <v>5</v>
      </c>
      <c r="AH286" t="str">
        <f>IF(Cleaned_data[[#This Row],[Delivery Days]]&gt;10,"late","on time")</f>
        <v>on time</v>
      </c>
      <c r="AI286" t="str">
        <f>TEXT(Cleaned_data[[#This Row],[Order_Date]],"mmmm")</f>
        <v>November</v>
      </c>
      <c r="AJ286" s="9" t="str">
        <f>"Q"&amp;ROUNDUP(MONTH(Cleaned_data[[#This Row],[Order_Date]])/3,0)</f>
        <v>Q4</v>
      </c>
    </row>
    <row r="287" spans="1:36">
      <c r="A287" t="s">
        <v>742</v>
      </c>
      <c r="B287" s="9">
        <v>45604</v>
      </c>
      <c r="C287" s="9">
        <v>45607</v>
      </c>
      <c r="D287" t="s">
        <v>345</v>
      </c>
      <c r="E287" t="s">
        <v>346</v>
      </c>
      <c r="F287" t="s">
        <v>89</v>
      </c>
      <c r="G287" t="s">
        <v>138</v>
      </c>
      <c r="H287" t="s">
        <v>347</v>
      </c>
      <c r="I287" t="s">
        <v>348</v>
      </c>
      <c r="J287" t="s">
        <v>109</v>
      </c>
      <c r="K287" t="s">
        <v>79</v>
      </c>
      <c r="L287" t="s">
        <v>207</v>
      </c>
      <c r="M287" t="s">
        <v>208</v>
      </c>
      <c r="N287" t="s">
        <v>120</v>
      </c>
      <c r="O287" t="s">
        <v>164</v>
      </c>
      <c r="P287" s="8">
        <v>1</v>
      </c>
      <c r="Q287" s="10">
        <v>1441.36</v>
      </c>
      <c r="R287" s="11">
        <v>0.21</v>
      </c>
      <c r="S287" s="10">
        <v>11.33</v>
      </c>
      <c r="T287" t="s">
        <v>122</v>
      </c>
      <c r="U287" t="s">
        <v>85</v>
      </c>
      <c r="V287" s="8">
        <v>4</v>
      </c>
      <c r="W287" t="s">
        <v>1270</v>
      </c>
      <c r="X287" t="str">
        <f>_xlfn.XLOOKUP(Cleaned_data[[#This Row],[Customer_ID]],Customers[S],Customers[Loyalty_Tier])</f>
        <v>Gold</v>
      </c>
      <c r="Y287" s="9">
        <f>_xlfn.XLOOKUP(Cleaned_data[[#This Row],[Customer_ID]],Customers[S],Customers[Signup_Date])</f>
        <v>45997</v>
      </c>
      <c r="Z287" s="12">
        <f>_xlfn.XLOOKUP(Cleaned_data[[#This Row],[SKU]],Products[SKU],Products[Standard_Cost])</f>
        <v>885</v>
      </c>
      <c r="AA287" s="10">
        <f>Cleaned_data[[#This Row],[Quantity]]*Cleaned_data[[#This Row],[Unit_Price]]</f>
        <v>1441.36</v>
      </c>
      <c r="AB287" s="10">
        <f>Cleaned_data[[#This Row],[Unit_Price]]*Cleaned_data[[#This Row],[Discount_Pct]]</f>
        <v>302.68559999999997</v>
      </c>
      <c r="AC287" s="10">
        <f>Cleaned_data[[#This Row],[Gross Sales]]-Cleaned_data[[#This Row],[Discount amount]]</f>
        <v>1138.6743999999999</v>
      </c>
      <c r="AD287" s="10">
        <f>Cleaned_data[[#This Row],[Product Cost]]*Cleaned_data[[#This Row],[Quantity]]</f>
        <v>885</v>
      </c>
      <c r="AE287" s="10">
        <f>Cleaned_data[[#This Row],[Net Sales]]-Cleaned_data[[#This Row],[COGS]]</f>
        <v>253.67439999999988</v>
      </c>
      <c r="AF287" s="11">
        <f>Cleaned_data[[#This Row],[Gross Profit]]/Cleaned_data[[#This Row],[Net Sales]]</f>
        <v>0.22278045418426892</v>
      </c>
      <c r="AG287">
        <f>Cleaned_data[[#This Row],[Ship_Date]]-Cleaned_data[[#This Row],[Order_Date]]</f>
        <v>3</v>
      </c>
      <c r="AH287" t="str">
        <f>IF(Cleaned_data[[#This Row],[Delivery Days]]&gt;10,"late","on time")</f>
        <v>on time</v>
      </c>
      <c r="AI287" t="str">
        <f>TEXT(Cleaned_data[[#This Row],[Order_Date]],"mmmm")</f>
        <v>November</v>
      </c>
      <c r="AJ287" s="9" t="str">
        <f>"Q"&amp;ROUNDUP(MONTH(Cleaned_data[[#This Row],[Order_Date]])/3,0)</f>
        <v>Q4</v>
      </c>
    </row>
    <row r="288" spans="1:36">
      <c r="A288" t="s">
        <v>743</v>
      </c>
      <c r="B288" s="9">
        <v>45608</v>
      </c>
      <c r="C288" s="9">
        <v>45618</v>
      </c>
      <c r="D288" t="s">
        <v>485</v>
      </c>
      <c r="E288" t="s">
        <v>193</v>
      </c>
      <c r="F288" t="s">
        <v>74</v>
      </c>
      <c r="G288" t="s">
        <v>138</v>
      </c>
      <c r="H288" t="s">
        <v>153</v>
      </c>
      <c r="I288" t="s">
        <v>154</v>
      </c>
      <c r="J288" t="s">
        <v>219</v>
      </c>
      <c r="K288" t="s">
        <v>168</v>
      </c>
      <c r="L288" t="s">
        <v>301</v>
      </c>
      <c r="M288" t="s">
        <v>302</v>
      </c>
      <c r="N288" t="s">
        <v>120</v>
      </c>
      <c r="O288" t="s">
        <v>190</v>
      </c>
      <c r="P288" s="8">
        <v>0</v>
      </c>
      <c r="Q288" s="10">
        <v>147.16</v>
      </c>
      <c r="R288" s="11">
        <v>0.08</v>
      </c>
      <c r="S288" s="10">
        <v>14.17</v>
      </c>
      <c r="T288" t="s">
        <v>105</v>
      </c>
      <c r="U288" t="s">
        <v>85</v>
      </c>
      <c r="V288" s="8">
        <v>2</v>
      </c>
      <c r="W288" t="s">
        <v>1273</v>
      </c>
      <c r="X288" t="str">
        <f>_xlfn.XLOOKUP(Cleaned_data[[#This Row],[Customer_ID]],Customers[S],Customers[Loyalty_Tier])</f>
        <v>Gold</v>
      </c>
      <c r="Y288" s="9">
        <f>_xlfn.XLOOKUP(Cleaned_data[[#This Row],[Customer_ID]],Customers[S],Customers[Signup_Date])</f>
        <v>46010</v>
      </c>
      <c r="Z288" s="12">
        <f>_xlfn.XLOOKUP(Cleaned_data[[#This Row],[SKU]],Products[SKU],Products[Standard_Cost])</f>
        <v>72</v>
      </c>
      <c r="AA288" s="10">
        <f>Cleaned_data[[#This Row],[Quantity]]*Cleaned_data[[#This Row],[Unit_Price]]</f>
        <v>0</v>
      </c>
      <c r="AB288" s="10">
        <f>Cleaned_data[[#This Row],[Unit_Price]]*Cleaned_data[[#This Row],[Discount_Pct]]</f>
        <v>11.7728</v>
      </c>
      <c r="AC288" s="10">
        <f>Cleaned_data[[#This Row],[Gross Sales]]-Cleaned_data[[#This Row],[Discount amount]]</f>
        <v>-11.7728</v>
      </c>
      <c r="AD288" s="10">
        <f>Cleaned_data[[#This Row],[Product Cost]]*Cleaned_data[[#This Row],[Quantity]]</f>
        <v>0</v>
      </c>
      <c r="AE288" s="10">
        <f>Cleaned_data[[#This Row],[Net Sales]]-Cleaned_data[[#This Row],[COGS]]</f>
        <v>-11.7728</v>
      </c>
      <c r="AF288" s="11">
        <f>Cleaned_data[[#This Row],[Gross Profit]]/Cleaned_data[[#This Row],[Net Sales]]</f>
        <v>1</v>
      </c>
      <c r="AG288">
        <f>Cleaned_data[[#This Row],[Ship_Date]]-Cleaned_data[[#This Row],[Order_Date]]</f>
        <v>10</v>
      </c>
      <c r="AH288" t="str">
        <f>IF(Cleaned_data[[#This Row],[Delivery Days]]&gt;10,"late","on time")</f>
        <v>on time</v>
      </c>
      <c r="AI288" t="str">
        <f>TEXT(Cleaned_data[[#This Row],[Order_Date]],"mmmm")</f>
        <v>November</v>
      </c>
      <c r="AJ288" s="9" t="str">
        <f>"Q"&amp;ROUNDUP(MONTH(Cleaned_data[[#This Row],[Order_Date]])/3,0)</f>
        <v>Q4</v>
      </c>
    </row>
    <row r="289" spans="1:36">
      <c r="A289" t="s">
        <v>744</v>
      </c>
      <c r="B289" s="9">
        <v>45608</v>
      </c>
      <c r="C289" s="9">
        <v>45618</v>
      </c>
      <c r="D289" t="s">
        <v>353</v>
      </c>
      <c r="E289" t="s">
        <v>354</v>
      </c>
      <c r="F289" t="s">
        <v>74</v>
      </c>
      <c r="G289" t="s">
        <v>126</v>
      </c>
      <c r="H289" t="s">
        <v>160</v>
      </c>
      <c r="I289" t="s">
        <v>182</v>
      </c>
      <c r="J289" t="s">
        <v>78</v>
      </c>
      <c r="K289" t="s">
        <v>168</v>
      </c>
      <c r="L289" t="s">
        <v>207</v>
      </c>
      <c r="M289" t="s">
        <v>208</v>
      </c>
      <c r="N289" t="s">
        <v>120</v>
      </c>
      <c r="O289" t="s">
        <v>164</v>
      </c>
      <c r="P289" s="8">
        <v>4</v>
      </c>
      <c r="Q289" s="10">
        <v>1342.12</v>
      </c>
      <c r="R289" s="11">
        <v>0.06</v>
      </c>
      <c r="S289" s="10">
        <v>6.21</v>
      </c>
      <c r="T289" t="s">
        <v>105</v>
      </c>
      <c r="U289" t="s">
        <v>85</v>
      </c>
      <c r="V289" s="8">
        <v>5</v>
      </c>
      <c r="W289" t="s">
        <v>1270</v>
      </c>
      <c r="X289" t="str">
        <f>_xlfn.XLOOKUP(Cleaned_data[[#This Row],[Customer_ID]],Customers[S],Customers[Loyalty_Tier])</f>
        <v>Bronze</v>
      </c>
      <c r="Y289" s="9">
        <f>_xlfn.XLOOKUP(Cleaned_data[[#This Row],[Customer_ID]],Customers[S],Customers[Signup_Date])</f>
        <v>44241</v>
      </c>
      <c r="Z289" s="12">
        <f>_xlfn.XLOOKUP(Cleaned_data[[#This Row],[SKU]],Products[SKU],Products[Standard_Cost])</f>
        <v>885</v>
      </c>
      <c r="AA289" s="10">
        <f>Cleaned_data[[#This Row],[Quantity]]*Cleaned_data[[#This Row],[Unit_Price]]</f>
        <v>5368.48</v>
      </c>
      <c r="AB289" s="10">
        <f>Cleaned_data[[#This Row],[Unit_Price]]*Cleaned_data[[#This Row],[Discount_Pct]]</f>
        <v>80.527199999999993</v>
      </c>
      <c r="AC289" s="10">
        <f>Cleaned_data[[#This Row],[Gross Sales]]-Cleaned_data[[#This Row],[Discount amount]]</f>
        <v>5287.9527999999991</v>
      </c>
      <c r="AD289" s="10">
        <f>Cleaned_data[[#This Row],[Product Cost]]*Cleaned_data[[#This Row],[Quantity]]</f>
        <v>3540</v>
      </c>
      <c r="AE289" s="10">
        <f>Cleaned_data[[#This Row],[Net Sales]]-Cleaned_data[[#This Row],[COGS]]</f>
        <v>1747.9527999999991</v>
      </c>
      <c r="AF289" s="11">
        <f>Cleaned_data[[#This Row],[Gross Profit]]/Cleaned_data[[#This Row],[Net Sales]]</f>
        <v>0.3305537825526732</v>
      </c>
      <c r="AG289">
        <f>Cleaned_data[[#This Row],[Ship_Date]]-Cleaned_data[[#This Row],[Order_Date]]</f>
        <v>10</v>
      </c>
      <c r="AH289" t="str">
        <f>IF(Cleaned_data[[#This Row],[Delivery Days]]&gt;10,"late","on time")</f>
        <v>on time</v>
      </c>
      <c r="AI289" t="str">
        <f>TEXT(Cleaned_data[[#This Row],[Order_Date]],"mmmm")</f>
        <v>November</v>
      </c>
      <c r="AJ289" s="9" t="str">
        <f>"Q"&amp;ROUNDUP(MONTH(Cleaned_data[[#This Row],[Order_Date]])/3,0)</f>
        <v>Q4</v>
      </c>
    </row>
    <row r="290" spans="1:36">
      <c r="A290" t="s">
        <v>745</v>
      </c>
      <c r="B290" s="9">
        <v>45609</v>
      </c>
      <c r="C290" s="9">
        <v>45617</v>
      </c>
      <c r="D290" t="s">
        <v>315</v>
      </c>
      <c r="E290" t="s">
        <v>316</v>
      </c>
      <c r="F290" t="s">
        <v>89</v>
      </c>
      <c r="G290" t="s">
        <v>75</v>
      </c>
      <c r="H290" t="s">
        <v>273</v>
      </c>
      <c r="I290" t="s">
        <v>274</v>
      </c>
      <c r="J290" t="s">
        <v>78</v>
      </c>
      <c r="K290" t="s">
        <v>79</v>
      </c>
      <c r="L290" t="s">
        <v>431</v>
      </c>
      <c r="M290" t="s">
        <v>432</v>
      </c>
      <c r="N290" t="s">
        <v>103</v>
      </c>
      <c r="O290" t="s">
        <v>251</v>
      </c>
      <c r="P290" s="8">
        <v>9</v>
      </c>
      <c r="Q290" s="10">
        <v>38.89</v>
      </c>
      <c r="R290" s="11">
        <v>0.01</v>
      </c>
      <c r="S290" s="10">
        <v>14.62</v>
      </c>
      <c r="T290" t="s">
        <v>105</v>
      </c>
      <c r="U290" t="s">
        <v>85</v>
      </c>
      <c r="V290" s="8">
        <v>3</v>
      </c>
      <c r="W290" t="s">
        <v>1270</v>
      </c>
      <c r="X290" t="str">
        <f>_xlfn.XLOOKUP(Cleaned_data[[#This Row],[Customer_ID]],Customers[S],Customers[Loyalty_Tier])</f>
        <v>Bronze</v>
      </c>
      <c r="Y290" s="9">
        <f>_xlfn.XLOOKUP(Cleaned_data[[#This Row],[Customer_ID]],Customers[S],Customers[Signup_Date])</f>
        <v>45787</v>
      </c>
      <c r="Z290" s="12">
        <f>_xlfn.XLOOKUP(Cleaned_data[[#This Row],[SKU]],Products[SKU],Products[Standard_Cost])</f>
        <v>20</v>
      </c>
      <c r="AA290" s="10">
        <f>Cleaned_data[[#This Row],[Quantity]]*Cleaned_data[[#This Row],[Unit_Price]]</f>
        <v>350.01</v>
      </c>
      <c r="AB290" s="10">
        <f>Cleaned_data[[#This Row],[Unit_Price]]*Cleaned_data[[#This Row],[Discount_Pct]]</f>
        <v>0.38890000000000002</v>
      </c>
      <c r="AC290" s="10">
        <f>Cleaned_data[[#This Row],[Gross Sales]]-Cleaned_data[[#This Row],[Discount amount]]</f>
        <v>349.62110000000001</v>
      </c>
      <c r="AD290" s="10">
        <f>Cleaned_data[[#This Row],[Product Cost]]*Cleaned_data[[#This Row],[Quantity]]</f>
        <v>180</v>
      </c>
      <c r="AE290" s="10">
        <f>Cleaned_data[[#This Row],[Net Sales]]-Cleaned_data[[#This Row],[COGS]]</f>
        <v>169.62110000000001</v>
      </c>
      <c r="AF290" s="11">
        <f>Cleaned_data[[#This Row],[Gross Profit]]/Cleaned_data[[#This Row],[Net Sales]]</f>
        <v>0.48515693131793247</v>
      </c>
      <c r="AG290">
        <f>Cleaned_data[[#This Row],[Ship_Date]]-Cleaned_data[[#This Row],[Order_Date]]</f>
        <v>8</v>
      </c>
      <c r="AH290" t="str">
        <f>IF(Cleaned_data[[#This Row],[Delivery Days]]&gt;10,"late","on time")</f>
        <v>on time</v>
      </c>
      <c r="AI290" t="str">
        <f>TEXT(Cleaned_data[[#This Row],[Order_Date]],"mmmm")</f>
        <v>November</v>
      </c>
      <c r="AJ290" s="9" t="str">
        <f>"Q"&amp;ROUNDUP(MONTH(Cleaned_data[[#This Row],[Order_Date]])/3,0)</f>
        <v>Q4</v>
      </c>
    </row>
    <row r="291" spans="1:36">
      <c r="A291" t="s">
        <v>746</v>
      </c>
      <c r="B291" s="9">
        <v>45609</v>
      </c>
      <c r="C291" s="9">
        <v>45614</v>
      </c>
      <c r="D291" t="s">
        <v>601</v>
      </c>
      <c r="E291" t="s">
        <v>351</v>
      </c>
      <c r="F291" t="s">
        <v>74</v>
      </c>
      <c r="G291" t="s">
        <v>194</v>
      </c>
      <c r="H291" t="s">
        <v>240</v>
      </c>
      <c r="I291" t="s">
        <v>241</v>
      </c>
      <c r="J291" t="s">
        <v>129</v>
      </c>
      <c r="K291" t="s">
        <v>100</v>
      </c>
      <c r="L291" t="s">
        <v>249</v>
      </c>
      <c r="M291" t="s">
        <v>250</v>
      </c>
      <c r="N291" t="s">
        <v>103</v>
      </c>
      <c r="O291" t="s">
        <v>251</v>
      </c>
      <c r="P291" s="8">
        <v>2</v>
      </c>
      <c r="Q291" s="10">
        <v>23.08</v>
      </c>
      <c r="R291" s="11">
        <v>0.08</v>
      </c>
      <c r="S291" s="10">
        <v>14.25</v>
      </c>
      <c r="T291" t="s">
        <v>84</v>
      </c>
      <c r="U291" t="s">
        <v>85</v>
      </c>
      <c r="V291" s="8">
        <v>3</v>
      </c>
      <c r="W291" t="s">
        <v>1270</v>
      </c>
      <c r="X291" t="str">
        <f>_xlfn.XLOOKUP(Cleaned_data[[#This Row],[Customer_ID]],Customers[S],Customers[Loyalty_Tier])</f>
        <v>Platinum</v>
      </c>
      <c r="Y291" s="9">
        <f>_xlfn.XLOOKUP(Cleaned_data[[#This Row],[Customer_ID]],Customers[S],Customers[Signup_Date])</f>
        <v>45567</v>
      </c>
      <c r="Z291" s="12">
        <f>_xlfn.XLOOKUP(Cleaned_data[[#This Row],[SKU]],Products[SKU],Products[Standard_Cost])</f>
        <v>10</v>
      </c>
      <c r="AA291" s="10">
        <f>Cleaned_data[[#This Row],[Quantity]]*Cleaned_data[[#This Row],[Unit_Price]]</f>
        <v>46.16</v>
      </c>
      <c r="AB291" s="10">
        <f>Cleaned_data[[#This Row],[Unit_Price]]*Cleaned_data[[#This Row],[Discount_Pct]]</f>
        <v>1.8463999999999998</v>
      </c>
      <c r="AC291" s="10">
        <f>Cleaned_data[[#This Row],[Gross Sales]]-Cleaned_data[[#This Row],[Discount amount]]</f>
        <v>44.313599999999994</v>
      </c>
      <c r="AD291" s="10">
        <f>Cleaned_data[[#This Row],[Product Cost]]*Cleaned_data[[#This Row],[Quantity]]</f>
        <v>20</v>
      </c>
      <c r="AE291" s="10">
        <f>Cleaned_data[[#This Row],[Net Sales]]-Cleaned_data[[#This Row],[COGS]]</f>
        <v>24.313599999999994</v>
      </c>
      <c r="AF291" s="11">
        <f>Cleaned_data[[#This Row],[Gross Profit]]/Cleaned_data[[#This Row],[Net Sales]]</f>
        <v>0.54867128827267464</v>
      </c>
      <c r="AG291">
        <f>Cleaned_data[[#This Row],[Ship_Date]]-Cleaned_data[[#This Row],[Order_Date]]</f>
        <v>5</v>
      </c>
      <c r="AH291" t="str">
        <f>IF(Cleaned_data[[#This Row],[Delivery Days]]&gt;10,"late","on time")</f>
        <v>on time</v>
      </c>
      <c r="AI291" t="str">
        <f>TEXT(Cleaned_data[[#This Row],[Order_Date]],"mmmm")</f>
        <v>November</v>
      </c>
      <c r="AJ291" s="9" t="str">
        <f>"Q"&amp;ROUNDUP(MONTH(Cleaned_data[[#This Row],[Order_Date]])/3,0)</f>
        <v>Q4</v>
      </c>
    </row>
    <row r="292" spans="1:36">
      <c r="A292" t="s">
        <v>747</v>
      </c>
      <c r="B292" s="9">
        <v>45611</v>
      </c>
      <c r="C292" s="9">
        <v>45620</v>
      </c>
      <c r="D292" t="s">
        <v>748</v>
      </c>
      <c r="E292" t="s">
        <v>749</v>
      </c>
      <c r="F292" t="s">
        <v>152</v>
      </c>
      <c r="G292" t="s">
        <v>138</v>
      </c>
      <c r="H292" t="s">
        <v>153</v>
      </c>
      <c r="I292" t="s">
        <v>154</v>
      </c>
      <c r="J292" t="s">
        <v>219</v>
      </c>
      <c r="K292" t="s">
        <v>147</v>
      </c>
      <c r="L292" t="s">
        <v>110</v>
      </c>
      <c r="M292" t="s">
        <v>111</v>
      </c>
      <c r="N292" t="s">
        <v>82</v>
      </c>
      <c r="O292" t="s">
        <v>112</v>
      </c>
      <c r="P292" s="8">
        <v>6</v>
      </c>
      <c r="Q292" s="10">
        <v>310.42</v>
      </c>
      <c r="R292" s="11">
        <v>0.27</v>
      </c>
      <c r="S292" s="10">
        <v>7.41</v>
      </c>
      <c r="T292" t="s">
        <v>134</v>
      </c>
      <c r="U292" t="s">
        <v>85</v>
      </c>
      <c r="V292" s="8">
        <v>3</v>
      </c>
      <c r="W292" t="s">
        <v>1270</v>
      </c>
      <c r="X292" t="str">
        <f>_xlfn.XLOOKUP(Cleaned_data[[#This Row],[Customer_ID]],Customers[S],Customers[Loyalty_Tier])</f>
        <v>Platinum</v>
      </c>
      <c r="Y292" s="9">
        <f>_xlfn.XLOOKUP(Cleaned_data[[#This Row],[Customer_ID]],Customers[S],Customers[Signup_Date])</f>
        <v>45599</v>
      </c>
      <c r="Z292" s="12">
        <f>_xlfn.XLOOKUP(Cleaned_data[[#This Row],[SKU]],Products[SKU],Products[Standard_Cost])</f>
        <v>165</v>
      </c>
      <c r="AA292" s="10">
        <f>Cleaned_data[[#This Row],[Quantity]]*Cleaned_data[[#This Row],[Unit_Price]]</f>
        <v>1862.52</v>
      </c>
      <c r="AB292" s="10">
        <f>Cleaned_data[[#This Row],[Unit_Price]]*Cleaned_data[[#This Row],[Discount_Pct]]</f>
        <v>83.813400000000016</v>
      </c>
      <c r="AC292" s="10">
        <f>Cleaned_data[[#This Row],[Gross Sales]]-Cleaned_data[[#This Row],[Discount amount]]</f>
        <v>1778.7066</v>
      </c>
      <c r="AD292" s="10">
        <f>Cleaned_data[[#This Row],[Product Cost]]*Cleaned_data[[#This Row],[Quantity]]</f>
        <v>990</v>
      </c>
      <c r="AE292" s="10">
        <f>Cleaned_data[[#This Row],[Net Sales]]-Cleaned_data[[#This Row],[COGS]]</f>
        <v>788.70659999999998</v>
      </c>
      <c r="AF292" s="11">
        <f>Cleaned_data[[#This Row],[Gross Profit]]/Cleaned_data[[#This Row],[Net Sales]]</f>
        <v>0.44341579437553108</v>
      </c>
      <c r="AG292">
        <f>Cleaned_data[[#This Row],[Ship_Date]]-Cleaned_data[[#This Row],[Order_Date]]</f>
        <v>9</v>
      </c>
      <c r="AH292" t="str">
        <f>IF(Cleaned_data[[#This Row],[Delivery Days]]&gt;10,"late","on time")</f>
        <v>on time</v>
      </c>
      <c r="AI292" t="str">
        <f>TEXT(Cleaned_data[[#This Row],[Order_Date]],"mmmm")</f>
        <v>November</v>
      </c>
      <c r="AJ292" s="9" t="str">
        <f>"Q"&amp;ROUNDUP(MONTH(Cleaned_data[[#This Row],[Order_Date]])/3,0)</f>
        <v>Q4</v>
      </c>
    </row>
    <row r="293" spans="1:36">
      <c r="A293" t="s">
        <v>750</v>
      </c>
      <c r="B293" s="9">
        <v>45613</v>
      </c>
      <c r="C293" s="9">
        <v>45614</v>
      </c>
      <c r="D293" t="s">
        <v>751</v>
      </c>
      <c r="E293" t="s">
        <v>752</v>
      </c>
      <c r="F293" t="s">
        <v>152</v>
      </c>
      <c r="G293" t="s">
        <v>138</v>
      </c>
      <c r="H293" t="s">
        <v>139</v>
      </c>
      <c r="I293" t="s">
        <v>140</v>
      </c>
      <c r="J293" t="s">
        <v>78</v>
      </c>
      <c r="K293" t="s">
        <v>100</v>
      </c>
      <c r="L293" t="s">
        <v>359</v>
      </c>
      <c r="M293" t="s">
        <v>360</v>
      </c>
      <c r="N293" t="s">
        <v>93</v>
      </c>
      <c r="O293" t="s">
        <v>94</v>
      </c>
      <c r="P293" s="8">
        <v>2</v>
      </c>
      <c r="Q293" s="10">
        <v>469.81</v>
      </c>
      <c r="R293" s="11">
        <v>0.05</v>
      </c>
      <c r="S293" s="10">
        <v>27.63</v>
      </c>
      <c r="T293" t="s">
        <v>134</v>
      </c>
      <c r="U293" t="s">
        <v>85</v>
      </c>
      <c r="V293" s="8">
        <v>3</v>
      </c>
      <c r="W293" t="s">
        <v>1270</v>
      </c>
      <c r="X293" t="str">
        <f>_xlfn.XLOOKUP(Cleaned_data[[#This Row],[Customer_ID]],Customers[S],Customers[Loyalty_Tier])</f>
        <v>Silver</v>
      </c>
      <c r="Y293" s="9">
        <f>_xlfn.XLOOKUP(Cleaned_data[[#This Row],[Customer_ID]],Customers[S],Customers[Signup_Date])</f>
        <v>44640</v>
      </c>
      <c r="Z293" s="12">
        <f>_xlfn.XLOOKUP(Cleaned_data[[#This Row],[SKU]],Products[SKU],Products[Standard_Cost])</f>
        <v>265</v>
      </c>
      <c r="AA293" s="10">
        <f>Cleaned_data[[#This Row],[Quantity]]*Cleaned_data[[#This Row],[Unit_Price]]</f>
        <v>939.62</v>
      </c>
      <c r="AB293" s="10">
        <f>Cleaned_data[[#This Row],[Unit_Price]]*Cleaned_data[[#This Row],[Discount_Pct]]</f>
        <v>23.490500000000001</v>
      </c>
      <c r="AC293" s="10">
        <f>Cleaned_data[[#This Row],[Gross Sales]]-Cleaned_data[[#This Row],[Discount amount]]</f>
        <v>916.12950000000001</v>
      </c>
      <c r="AD293" s="10">
        <f>Cleaned_data[[#This Row],[Product Cost]]*Cleaned_data[[#This Row],[Quantity]]</f>
        <v>530</v>
      </c>
      <c r="AE293" s="10">
        <f>Cleaned_data[[#This Row],[Net Sales]]-Cleaned_data[[#This Row],[COGS]]</f>
        <v>386.12950000000001</v>
      </c>
      <c r="AF293" s="11">
        <f>Cleaned_data[[#This Row],[Gross Profit]]/Cleaned_data[[#This Row],[Net Sales]]</f>
        <v>0.42147916861098789</v>
      </c>
      <c r="AG293">
        <f>Cleaned_data[[#This Row],[Ship_Date]]-Cleaned_data[[#This Row],[Order_Date]]</f>
        <v>1</v>
      </c>
      <c r="AH293" t="str">
        <f>IF(Cleaned_data[[#This Row],[Delivery Days]]&gt;10,"late","on time")</f>
        <v>on time</v>
      </c>
      <c r="AI293" t="str">
        <f>TEXT(Cleaned_data[[#This Row],[Order_Date]],"mmmm")</f>
        <v>November</v>
      </c>
      <c r="AJ293" s="9" t="str">
        <f>"Q"&amp;ROUNDUP(MONTH(Cleaned_data[[#This Row],[Order_Date]])/3,0)</f>
        <v>Q4</v>
      </c>
    </row>
    <row r="294" spans="1:36">
      <c r="A294" t="s">
        <v>753</v>
      </c>
      <c r="B294" s="9">
        <v>45613</v>
      </c>
      <c r="C294" s="9">
        <v>45619</v>
      </c>
      <c r="D294" t="s">
        <v>594</v>
      </c>
      <c r="E294" t="s">
        <v>595</v>
      </c>
      <c r="F294" t="s">
        <v>74</v>
      </c>
      <c r="G294" t="s">
        <v>75</v>
      </c>
      <c r="H294" t="s">
        <v>76</v>
      </c>
      <c r="I294" t="s">
        <v>77</v>
      </c>
      <c r="J294" t="s">
        <v>129</v>
      </c>
      <c r="K294" t="s">
        <v>130</v>
      </c>
      <c r="L294" t="s">
        <v>242</v>
      </c>
      <c r="M294" t="s">
        <v>243</v>
      </c>
      <c r="N294" t="s">
        <v>120</v>
      </c>
      <c r="O294" t="s">
        <v>133</v>
      </c>
      <c r="P294" s="8">
        <v>3</v>
      </c>
      <c r="Q294" s="10">
        <v>197.75</v>
      </c>
      <c r="R294" s="11">
        <v>0.05</v>
      </c>
      <c r="S294" s="10">
        <v>15.62</v>
      </c>
      <c r="T294" t="s">
        <v>122</v>
      </c>
      <c r="U294" t="s">
        <v>85</v>
      </c>
      <c r="V294" s="8">
        <v>2</v>
      </c>
      <c r="W294" t="s">
        <v>1270</v>
      </c>
      <c r="X294" t="str">
        <f>_xlfn.XLOOKUP(Cleaned_data[[#This Row],[Customer_ID]],Customers[S],Customers[Loyalty_Tier])</f>
        <v>Gold</v>
      </c>
      <c r="Y294" s="9">
        <f>_xlfn.XLOOKUP(Cleaned_data[[#This Row],[Customer_ID]],Customers[S],Customers[Signup_Date])</f>
        <v>44818</v>
      </c>
      <c r="Z294" s="12">
        <f>_xlfn.XLOOKUP(Cleaned_data[[#This Row],[SKU]],Products[SKU],Products[Standard_Cost])</f>
        <v>96</v>
      </c>
      <c r="AA294" s="10">
        <f>Cleaned_data[[#This Row],[Quantity]]*Cleaned_data[[#This Row],[Unit_Price]]</f>
        <v>593.25</v>
      </c>
      <c r="AB294" s="10">
        <f>Cleaned_data[[#This Row],[Unit_Price]]*Cleaned_data[[#This Row],[Discount_Pct]]</f>
        <v>9.8875000000000011</v>
      </c>
      <c r="AC294" s="10">
        <f>Cleaned_data[[#This Row],[Gross Sales]]-Cleaned_data[[#This Row],[Discount amount]]</f>
        <v>583.36249999999995</v>
      </c>
      <c r="AD294" s="10">
        <f>Cleaned_data[[#This Row],[Product Cost]]*Cleaned_data[[#This Row],[Quantity]]</f>
        <v>288</v>
      </c>
      <c r="AE294" s="10">
        <f>Cleaned_data[[#This Row],[Net Sales]]-Cleaned_data[[#This Row],[COGS]]</f>
        <v>295.36249999999995</v>
      </c>
      <c r="AF294" s="11">
        <f>Cleaned_data[[#This Row],[Gross Profit]]/Cleaned_data[[#This Row],[Net Sales]]</f>
        <v>0.50631039876577599</v>
      </c>
      <c r="AG294">
        <f>Cleaned_data[[#This Row],[Ship_Date]]-Cleaned_data[[#This Row],[Order_Date]]</f>
        <v>6</v>
      </c>
      <c r="AH294" t="str">
        <f>IF(Cleaned_data[[#This Row],[Delivery Days]]&gt;10,"late","on time")</f>
        <v>on time</v>
      </c>
      <c r="AI294" t="str">
        <f>TEXT(Cleaned_data[[#This Row],[Order_Date]],"mmmm")</f>
        <v>November</v>
      </c>
      <c r="AJ294" s="9" t="str">
        <f>"Q"&amp;ROUNDUP(MONTH(Cleaned_data[[#This Row],[Order_Date]])/3,0)</f>
        <v>Q4</v>
      </c>
    </row>
    <row r="295" spans="1:36">
      <c r="A295" t="s">
        <v>754</v>
      </c>
      <c r="B295" s="9">
        <v>45615</v>
      </c>
      <c r="C295" s="9">
        <v>45624</v>
      </c>
      <c r="D295" t="s">
        <v>627</v>
      </c>
      <c r="E295" t="s">
        <v>542</v>
      </c>
      <c r="F295" t="s">
        <v>152</v>
      </c>
      <c r="G295" t="s">
        <v>194</v>
      </c>
      <c r="H295" t="s">
        <v>240</v>
      </c>
      <c r="I295" t="s">
        <v>241</v>
      </c>
      <c r="J295" t="s">
        <v>219</v>
      </c>
      <c r="K295" t="s">
        <v>100</v>
      </c>
      <c r="L295" t="s">
        <v>118</v>
      </c>
      <c r="M295" t="s">
        <v>119</v>
      </c>
      <c r="N295" t="s">
        <v>120</v>
      </c>
      <c r="O295" t="s">
        <v>121</v>
      </c>
      <c r="P295" s="8">
        <v>2</v>
      </c>
      <c r="Q295" s="10">
        <v>271.86</v>
      </c>
      <c r="R295" s="11">
        <v>0.21</v>
      </c>
      <c r="S295" s="10">
        <v>21.42</v>
      </c>
      <c r="T295" t="s">
        <v>134</v>
      </c>
      <c r="U295" t="s">
        <v>85</v>
      </c>
      <c r="V295" s="8">
        <v>2</v>
      </c>
      <c r="W295" t="s">
        <v>1270</v>
      </c>
      <c r="X295" t="str">
        <f>_xlfn.XLOOKUP(Cleaned_data[[#This Row],[Customer_ID]],Customers[S],Customers[Loyalty_Tier])</f>
        <v>Gold</v>
      </c>
      <c r="Y295" s="9">
        <f>_xlfn.XLOOKUP(Cleaned_data[[#This Row],[Customer_ID]],Customers[S],Customers[Signup_Date])</f>
        <v>44610</v>
      </c>
      <c r="Z295" s="12">
        <f>_xlfn.XLOOKUP(Cleaned_data[[#This Row],[SKU]],Products[SKU],Products[Standard_Cost])</f>
        <v>168</v>
      </c>
      <c r="AA295" s="10">
        <f>Cleaned_data[[#This Row],[Quantity]]*Cleaned_data[[#This Row],[Unit_Price]]</f>
        <v>543.72</v>
      </c>
      <c r="AB295" s="10">
        <f>Cleaned_data[[#This Row],[Unit_Price]]*Cleaned_data[[#This Row],[Discount_Pct]]</f>
        <v>57.090600000000002</v>
      </c>
      <c r="AC295" s="10">
        <f>Cleaned_data[[#This Row],[Gross Sales]]-Cleaned_data[[#This Row],[Discount amount]]</f>
        <v>486.62940000000003</v>
      </c>
      <c r="AD295" s="10">
        <f>Cleaned_data[[#This Row],[Product Cost]]*Cleaned_data[[#This Row],[Quantity]]</f>
        <v>336</v>
      </c>
      <c r="AE295" s="10">
        <f>Cleaned_data[[#This Row],[Net Sales]]-Cleaned_data[[#This Row],[COGS]]</f>
        <v>150.62940000000003</v>
      </c>
      <c r="AF295" s="11">
        <f>Cleaned_data[[#This Row],[Gross Profit]]/Cleaned_data[[#This Row],[Net Sales]]</f>
        <v>0.30953616859154015</v>
      </c>
      <c r="AG295">
        <f>Cleaned_data[[#This Row],[Ship_Date]]-Cleaned_data[[#This Row],[Order_Date]]</f>
        <v>9</v>
      </c>
      <c r="AH295" t="str">
        <f>IF(Cleaned_data[[#This Row],[Delivery Days]]&gt;10,"late","on time")</f>
        <v>on time</v>
      </c>
      <c r="AI295" t="str">
        <f>TEXT(Cleaned_data[[#This Row],[Order_Date]],"mmmm")</f>
        <v>November</v>
      </c>
      <c r="AJ295" s="9" t="str">
        <f>"Q"&amp;ROUNDUP(MONTH(Cleaned_data[[#This Row],[Order_Date]])/3,0)</f>
        <v>Q4</v>
      </c>
    </row>
    <row r="296" spans="1:36">
      <c r="A296" t="s">
        <v>755</v>
      </c>
      <c r="B296" s="9">
        <v>45616</v>
      </c>
      <c r="C296" s="9">
        <v>45626</v>
      </c>
      <c r="D296" t="s">
        <v>621</v>
      </c>
      <c r="E296" t="s">
        <v>622</v>
      </c>
      <c r="F296" t="s">
        <v>74</v>
      </c>
      <c r="G296" t="s">
        <v>194</v>
      </c>
      <c r="H296" t="s">
        <v>230</v>
      </c>
      <c r="I296" t="s">
        <v>231</v>
      </c>
      <c r="J296" t="s">
        <v>109</v>
      </c>
      <c r="K296" t="s">
        <v>90</v>
      </c>
      <c r="L296" t="s">
        <v>175</v>
      </c>
      <c r="M296" t="s">
        <v>176</v>
      </c>
      <c r="N296" t="s">
        <v>93</v>
      </c>
      <c r="O296" t="s">
        <v>177</v>
      </c>
      <c r="P296" s="8">
        <v>1</v>
      </c>
      <c r="Q296" s="10">
        <v>159.24</v>
      </c>
      <c r="R296" s="11">
        <v>0.09</v>
      </c>
      <c r="S296" s="10">
        <v>28.25</v>
      </c>
      <c r="T296" t="s">
        <v>105</v>
      </c>
      <c r="U296" t="s">
        <v>85</v>
      </c>
      <c r="W296" t="s">
        <v>1270</v>
      </c>
      <c r="X296" t="str">
        <f>_xlfn.XLOOKUP(Cleaned_data[[#This Row],[Customer_ID]],Customers[S],Customers[Loyalty_Tier])</f>
        <v>Gold</v>
      </c>
      <c r="Y296" s="9">
        <f>_xlfn.XLOOKUP(Cleaned_data[[#This Row],[Customer_ID]],Customers[S],Customers[Signup_Date])</f>
        <v>44796</v>
      </c>
      <c r="Z296" s="12">
        <f>_xlfn.XLOOKUP(Cleaned_data[[#This Row],[SKU]],Products[SKU],Products[Standard_Cost])</f>
        <v>88</v>
      </c>
      <c r="AA296" s="10">
        <f>Cleaned_data[[#This Row],[Quantity]]*Cleaned_data[[#This Row],[Unit_Price]]</f>
        <v>159.24</v>
      </c>
      <c r="AB296" s="10">
        <f>Cleaned_data[[#This Row],[Unit_Price]]*Cleaned_data[[#This Row],[Discount_Pct]]</f>
        <v>14.3316</v>
      </c>
      <c r="AC296" s="10">
        <f>Cleaned_data[[#This Row],[Gross Sales]]-Cleaned_data[[#This Row],[Discount amount]]</f>
        <v>144.9084</v>
      </c>
      <c r="AD296" s="10">
        <f>Cleaned_data[[#This Row],[Product Cost]]*Cleaned_data[[#This Row],[Quantity]]</f>
        <v>88</v>
      </c>
      <c r="AE296" s="10">
        <f>Cleaned_data[[#This Row],[Net Sales]]-Cleaned_data[[#This Row],[COGS]]</f>
        <v>56.9084</v>
      </c>
      <c r="AF296" s="11">
        <f>Cleaned_data[[#This Row],[Gross Profit]]/Cleaned_data[[#This Row],[Net Sales]]</f>
        <v>0.3927198147243362</v>
      </c>
      <c r="AG296">
        <f>Cleaned_data[[#This Row],[Ship_Date]]-Cleaned_data[[#This Row],[Order_Date]]</f>
        <v>10</v>
      </c>
      <c r="AH296" t="str">
        <f>IF(Cleaned_data[[#This Row],[Delivery Days]]&gt;10,"late","on time")</f>
        <v>on time</v>
      </c>
      <c r="AI296" t="str">
        <f>TEXT(Cleaned_data[[#This Row],[Order_Date]],"mmmm")</f>
        <v>November</v>
      </c>
      <c r="AJ296" s="9" t="str">
        <f>"Q"&amp;ROUNDUP(MONTH(Cleaned_data[[#This Row],[Order_Date]])/3,0)</f>
        <v>Q4</v>
      </c>
    </row>
    <row r="297" spans="1:36">
      <c r="A297" t="s">
        <v>756</v>
      </c>
      <c r="B297" s="9">
        <v>45616</v>
      </c>
      <c r="C297" s="9">
        <v>45617</v>
      </c>
      <c r="D297" t="s">
        <v>757</v>
      </c>
      <c r="E297" t="s">
        <v>218</v>
      </c>
      <c r="F297" t="s">
        <v>74</v>
      </c>
      <c r="G297" t="s">
        <v>138</v>
      </c>
      <c r="H297" t="s">
        <v>457</v>
      </c>
      <c r="I297" t="s">
        <v>458</v>
      </c>
      <c r="J297" t="s">
        <v>78</v>
      </c>
      <c r="K297" t="s">
        <v>147</v>
      </c>
      <c r="L297" t="s">
        <v>110</v>
      </c>
      <c r="M297" t="s">
        <v>111</v>
      </c>
      <c r="N297" t="s">
        <v>82</v>
      </c>
      <c r="O297" t="s">
        <v>112</v>
      </c>
      <c r="P297" s="8">
        <v>2</v>
      </c>
      <c r="Q297" s="10">
        <v>333.9</v>
      </c>
      <c r="R297" s="11">
        <v>0.05</v>
      </c>
      <c r="S297" s="10">
        <v>9.31</v>
      </c>
      <c r="T297" t="s">
        <v>122</v>
      </c>
      <c r="U297" t="s">
        <v>85</v>
      </c>
      <c r="V297" s="8">
        <v>4</v>
      </c>
      <c r="W297" t="s">
        <v>1270</v>
      </c>
      <c r="X297" t="str">
        <f>_xlfn.XLOOKUP(Cleaned_data[[#This Row],[Customer_ID]],Customers[S],Customers[Loyalty_Tier])</f>
        <v>Gold</v>
      </c>
      <c r="Y297" s="9">
        <f>_xlfn.XLOOKUP(Cleaned_data[[#This Row],[Customer_ID]],Customers[S],Customers[Signup_Date])</f>
        <v>45630</v>
      </c>
      <c r="Z297" s="12">
        <f>_xlfn.XLOOKUP(Cleaned_data[[#This Row],[SKU]],Products[SKU],Products[Standard_Cost])</f>
        <v>165</v>
      </c>
      <c r="AA297" s="10">
        <f>Cleaned_data[[#This Row],[Quantity]]*Cleaned_data[[#This Row],[Unit_Price]]</f>
        <v>667.8</v>
      </c>
      <c r="AB297" s="10">
        <f>Cleaned_data[[#This Row],[Unit_Price]]*Cleaned_data[[#This Row],[Discount_Pct]]</f>
        <v>16.695</v>
      </c>
      <c r="AC297" s="10">
        <f>Cleaned_data[[#This Row],[Gross Sales]]-Cleaned_data[[#This Row],[Discount amount]]</f>
        <v>651.1049999999999</v>
      </c>
      <c r="AD297" s="10">
        <f>Cleaned_data[[#This Row],[Product Cost]]*Cleaned_data[[#This Row],[Quantity]]</f>
        <v>330</v>
      </c>
      <c r="AE297" s="10">
        <f>Cleaned_data[[#This Row],[Net Sales]]-Cleaned_data[[#This Row],[COGS]]</f>
        <v>321.1049999999999</v>
      </c>
      <c r="AF297" s="11">
        <f>Cleaned_data[[#This Row],[Gross Profit]]/Cleaned_data[[#This Row],[Net Sales]]</f>
        <v>0.49316930449005913</v>
      </c>
      <c r="AG297">
        <f>Cleaned_data[[#This Row],[Ship_Date]]-Cleaned_data[[#This Row],[Order_Date]]</f>
        <v>1</v>
      </c>
      <c r="AH297" t="str">
        <f>IF(Cleaned_data[[#This Row],[Delivery Days]]&gt;10,"late","on time")</f>
        <v>on time</v>
      </c>
      <c r="AI297" t="str">
        <f>TEXT(Cleaned_data[[#This Row],[Order_Date]],"mmmm")</f>
        <v>November</v>
      </c>
      <c r="AJ297" s="9" t="str">
        <f>"Q"&amp;ROUNDUP(MONTH(Cleaned_data[[#This Row],[Order_Date]])/3,0)</f>
        <v>Q4</v>
      </c>
    </row>
    <row r="298" spans="1:36">
      <c r="A298" t="s">
        <v>758</v>
      </c>
      <c r="B298" s="9">
        <v>45617</v>
      </c>
      <c r="C298" s="9">
        <v>45619</v>
      </c>
      <c r="D298" t="s">
        <v>537</v>
      </c>
      <c r="E298" t="s">
        <v>538</v>
      </c>
      <c r="F298" t="s">
        <v>74</v>
      </c>
      <c r="G298" t="s">
        <v>138</v>
      </c>
      <c r="H298" t="s">
        <v>139</v>
      </c>
      <c r="I298" t="s">
        <v>140</v>
      </c>
      <c r="J298" t="s">
        <v>129</v>
      </c>
      <c r="K298" t="s">
        <v>147</v>
      </c>
      <c r="L298" t="s">
        <v>101</v>
      </c>
      <c r="M298" t="s">
        <v>102</v>
      </c>
      <c r="N298" t="s">
        <v>103</v>
      </c>
      <c r="O298" t="s">
        <v>104</v>
      </c>
      <c r="P298" s="8">
        <v>5</v>
      </c>
      <c r="Q298" s="10">
        <v>73.86</v>
      </c>
      <c r="R298" s="11">
        <v>0.04</v>
      </c>
      <c r="S298" s="10">
        <v>8.2200000000000006</v>
      </c>
      <c r="T298" t="s">
        <v>122</v>
      </c>
      <c r="U298" t="s">
        <v>148</v>
      </c>
      <c r="V298" s="8">
        <v>3</v>
      </c>
      <c r="W298" t="s">
        <v>1270</v>
      </c>
      <c r="X298" t="str">
        <f>_xlfn.XLOOKUP(Cleaned_data[[#This Row],[Customer_ID]],Customers[S],Customers[Loyalty_Tier])</f>
        <v>Gold</v>
      </c>
      <c r="Y298" s="9">
        <f>_xlfn.XLOOKUP(Cleaned_data[[#This Row],[Customer_ID]],Customers[S],Customers[Signup_Date])</f>
        <v>45902</v>
      </c>
      <c r="Z298" s="12">
        <f>_xlfn.XLOOKUP(Cleaned_data[[#This Row],[SKU]],Products[SKU],Products[Standard_Cost])</f>
        <v>36</v>
      </c>
      <c r="AA298" s="10">
        <f>Cleaned_data[[#This Row],[Quantity]]*Cleaned_data[[#This Row],[Unit_Price]]</f>
        <v>369.3</v>
      </c>
      <c r="AB298" s="10">
        <f>Cleaned_data[[#This Row],[Unit_Price]]*Cleaned_data[[#This Row],[Discount_Pct]]</f>
        <v>2.9544000000000001</v>
      </c>
      <c r="AC298" s="10">
        <f>Cleaned_data[[#This Row],[Gross Sales]]-Cleaned_data[[#This Row],[Discount amount]]</f>
        <v>366.34559999999999</v>
      </c>
      <c r="AD298" s="10">
        <f>Cleaned_data[[#This Row],[Product Cost]]*Cleaned_data[[#This Row],[Quantity]]</f>
        <v>180</v>
      </c>
      <c r="AE298" s="10">
        <f>Cleaned_data[[#This Row],[Net Sales]]-Cleaned_data[[#This Row],[COGS]]</f>
        <v>186.34559999999999</v>
      </c>
      <c r="AF298" s="11">
        <f>Cleaned_data[[#This Row],[Gross Profit]]/Cleaned_data[[#This Row],[Net Sales]]</f>
        <v>0.50866067451062602</v>
      </c>
      <c r="AG298">
        <f>Cleaned_data[[#This Row],[Ship_Date]]-Cleaned_data[[#This Row],[Order_Date]]</f>
        <v>2</v>
      </c>
      <c r="AH298" t="str">
        <f>IF(Cleaned_data[[#This Row],[Delivery Days]]&gt;10,"late","on time")</f>
        <v>on time</v>
      </c>
      <c r="AI298" t="str">
        <f>TEXT(Cleaned_data[[#This Row],[Order_Date]],"mmmm")</f>
        <v>November</v>
      </c>
      <c r="AJ298" s="9" t="str">
        <f>"Q"&amp;ROUNDUP(MONTH(Cleaned_data[[#This Row],[Order_Date]])/3,0)</f>
        <v>Q4</v>
      </c>
    </row>
    <row r="299" spans="1:36">
      <c r="A299" t="s">
        <v>759</v>
      </c>
      <c r="B299" s="9">
        <v>45618</v>
      </c>
      <c r="C299" s="9">
        <v>45620</v>
      </c>
      <c r="D299" t="s">
        <v>760</v>
      </c>
      <c r="E299" t="s">
        <v>761</v>
      </c>
      <c r="F299" t="s">
        <v>89</v>
      </c>
      <c r="G299" t="s">
        <v>194</v>
      </c>
      <c r="H299" t="s">
        <v>230</v>
      </c>
      <c r="I299" t="s">
        <v>231</v>
      </c>
      <c r="J299" t="s">
        <v>78</v>
      </c>
      <c r="K299" t="s">
        <v>168</v>
      </c>
      <c r="L299" t="s">
        <v>80</v>
      </c>
      <c r="M299" t="s">
        <v>81</v>
      </c>
      <c r="N299" t="s">
        <v>82</v>
      </c>
      <c r="O299" t="s">
        <v>83</v>
      </c>
      <c r="P299" s="8">
        <v>3</v>
      </c>
      <c r="Q299" s="10">
        <v>250.6</v>
      </c>
      <c r="R299" s="11">
        <v>0</v>
      </c>
      <c r="S299" s="10">
        <v>14.47</v>
      </c>
      <c r="T299" t="s">
        <v>122</v>
      </c>
      <c r="U299" t="s">
        <v>85</v>
      </c>
      <c r="W299" t="s">
        <v>1270</v>
      </c>
      <c r="X299" t="str">
        <f>_xlfn.XLOOKUP(Cleaned_data[[#This Row],[Customer_ID]],Customers[S],Customers[Loyalty_Tier])</f>
        <v>Platinum</v>
      </c>
      <c r="Y299" s="9">
        <f>_xlfn.XLOOKUP(Cleaned_data[[#This Row],[Customer_ID]],Customers[S],Customers[Signup_Date])</f>
        <v>45555</v>
      </c>
      <c r="Z299" s="12">
        <f>_xlfn.XLOOKUP(Cleaned_data[[#This Row],[SKU]],Products[SKU],Products[Standard_Cost])</f>
        <v>125</v>
      </c>
      <c r="AA299" s="10">
        <f>Cleaned_data[[#This Row],[Quantity]]*Cleaned_data[[#This Row],[Unit_Price]]</f>
        <v>751.8</v>
      </c>
      <c r="AB299" s="10">
        <f>Cleaned_data[[#This Row],[Unit_Price]]*Cleaned_data[[#This Row],[Discount_Pct]]</f>
        <v>0</v>
      </c>
      <c r="AC299" s="10">
        <f>Cleaned_data[[#This Row],[Gross Sales]]-Cleaned_data[[#This Row],[Discount amount]]</f>
        <v>751.8</v>
      </c>
      <c r="AD299" s="10">
        <f>Cleaned_data[[#This Row],[Product Cost]]*Cleaned_data[[#This Row],[Quantity]]</f>
        <v>375</v>
      </c>
      <c r="AE299" s="10">
        <f>Cleaned_data[[#This Row],[Net Sales]]-Cleaned_data[[#This Row],[COGS]]</f>
        <v>376.79999999999995</v>
      </c>
      <c r="AF299" s="11">
        <f>Cleaned_data[[#This Row],[Gross Profit]]/Cleaned_data[[#This Row],[Net Sales]]</f>
        <v>0.50119712689545093</v>
      </c>
      <c r="AG299">
        <f>Cleaned_data[[#This Row],[Ship_Date]]-Cleaned_data[[#This Row],[Order_Date]]</f>
        <v>2</v>
      </c>
      <c r="AH299" t="str">
        <f>IF(Cleaned_data[[#This Row],[Delivery Days]]&gt;10,"late","on time")</f>
        <v>on time</v>
      </c>
      <c r="AI299" t="str">
        <f>TEXT(Cleaned_data[[#This Row],[Order_Date]],"mmmm")</f>
        <v>November</v>
      </c>
      <c r="AJ299" s="9" t="str">
        <f>"Q"&amp;ROUNDUP(MONTH(Cleaned_data[[#This Row],[Order_Date]])/3,0)</f>
        <v>Q4</v>
      </c>
    </row>
    <row r="300" spans="1:36">
      <c r="A300" t="s">
        <v>762</v>
      </c>
      <c r="B300" s="9">
        <v>45619</v>
      </c>
      <c r="C300" s="9">
        <v>45625</v>
      </c>
      <c r="D300" t="s">
        <v>238</v>
      </c>
      <c r="E300" t="s">
        <v>239</v>
      </c>
      <c r="F300" t="s">
        <v>89</v>
      </c>
      <c r="G300" t="s">
        <v>194</v>
      </c>
      <c r="H300" t="s">
        <v>240</v>
      </c>
      <c r="I300" t="s">
        <v>241</v>
      </c>
      <c r="J300" t="s">
        <v>219</v>
      </c>
      <c r="K300" t="s">
        <v>130</v>
      </c>
      <c r="L300" t="s">
        <v>118</v>
      </c>
      <c r="M300" t="s">
        <v>119</v>
      </c>
      <c r="N300" t="s">
        <v>120</v>
      </c>
      <c r="O300" t="s">
        <v>121</v>
      </c>
      <c r="P300" s="8">
        <v>3</v>
      </c>
      <c r="Q300" s="10">
        <v>292.51</v>
      </c>
      <c r="R300" s="11">
        <v>0.24</v>
      </c>
      <c r="S300" s="10">
        <v>13.08</v>
      </c>
      <c r="T300" t="s">
        <v>84</v>
      </c>
      <c r="U300" t="s">
        <v>85</v>
      </c>
      <c r="V300" s="8">
        <v>4</v>
      </c>
      <c r="W300" t="s">
        <v>1270</v>
      </c>
      <c r="X300" t="str">
        <f>_xlfn.XLOOKUP(Cleaned_data[[#This Row],[Customer_ID]],Customers[S],Customers[Loyalty_Tier])</f>
        <v>Bronze</v>
      </c>
      <c r="Y300" s="9">
        <f>_xlfn.XLOOKUP(Cleaned_data[[#This Row],[Customer_ID]],Customers[S],Customers[Signup_Date])</f>
        <v>45751</v>
      </c>
      <c r="Z300" s="12">
        <f>_xlfn.XLOOKUP(Cleaned_data[[#This Row],[SKU]],Products[SKU],Products[Standard_Cost])</f>
        <v>168</v>
      </c>
      <c r="AA300" s="10">
        <f>Cleaned_data[[#This Row],[Quantity]]*Cleaned_data[[#This Row],[Unit_Price]]</f>
        <v>877.53</v>
      </c>
      <c r="AB300" s="10">
        <f>Cleaned_data[[#This Row],[Unit_Price]]*Cleaned_data[[#This Row],[Discount_Pct]]</f>
        <v>70.202399999999997</v>
      </c>
      <c r="AC300" s="10">
        <f>Cleaned_data[[#This Row],[Gross Sales]]-Cleaned_data[[#This Row],[Discount amount]]</f>
        <v>807.32759999999996</v>
      </c>
      <c r="AD300" s="10">
        <f>Cleaned_data[[#This Row],[Product Cost]]*Cleaned_data[[#This Row],[Quantity]]</f>
        <v>504</v>
      </c>
      <c r="AE300" s="10">
        <f>Cleaned_data[[#This Row],[Net Sales]]-Cleaned_data[[#This Row],[COGS]]</f>
        <v>303.32759999999996</v>
      </c>
      <c r="AF300" s="11">
        <f>Cleaned_data[[#This Row],[Gross Profit]]/Cleaned_data[[#This Row],[Net Sales]]</f>
        <v>0.37571810997171406</v>
      </c>
      <c r="AG300">
        <f>Cleaned_data[[#This Row],[Ship_Date]]-Cleaned_data[[#This Row],[Order_Date]]</f>
        <v>6</v>
      </c>
      <c r="AH300" t="str">
        <f>IF(Cleaned_data[[#This Row],[Delivery Days]]&gt;10,"late","on time")</f>
        <v>on time</v>
      </c>
      <c r="AI300" t="str">
        <f>TEXT(Cleaned_data[[#This Row],[Order_Date]],"mmmm")</f>
        <v>November</v>
      </c>
      <c r="AJ300" s="9" t="str">
        <f>"Q"&amp;ROUNDUP(MONTH(Cleaned_data[[#This Row],[Order_Date]])/3,0)</f>
        <v>Q4</v>
      </c>
    </row>
    <row r="301" spans="1:36">
      <c r="A301" t="s">
        <v>763</v>
      </c>
      <c r="B301" s="9">
        <v>45619</v>
      </c>
      <c r="C301" s="9">
        <v>45623</v>
      </c>
      <c r="D301" t="s">
        <v>238</v>
      </c>
      <c r="E301" t="s">
        <v>239</v>
      </c>
      <c r="F301" t="s">
        <v>89</v>
      </c>
      <c r="G301" t="s">
        <v>194</v>
      </c>
      <c r="H301" t="s">
        <v>240</v>
      </c>
      <c r="I301" t="s">
        <v>241</v>
      </c>
      <c r="J301" t="s">
        <v>129</v>
      </c>
      <c r="K301" t="s">
        <v>147</v>
      </c>
      <c r="L301" t="s">
        <v>261</v>
      </c>
      <c r="M301" t="s">
        <v>262</v>
      </c>
      <c r="N301" t="s">
        <v>103</v>
      </c>
      <c r="O301" t="s">
        <v>104</v>
      </c>
      <c r="P301" s="8">
        <v>7</v>
      </c>
      <c r="Q301" s="10">
        <v>27.83</v>
      </c>
      <c r="R301" s="11">
        <v>0.08</v>
      </c>
      <c r="S301" s="10">
        <v>7.65</v>
      </c>
      <c r="T301" t="s">
        <v>134</v>
      </c>
      <c r="U301" t="s">
        <v>85</v>
      </c>
      <c r="W301" t="s">
        <v>1270</v>
      </c>
      <c r="X301" t="str">
        <f>_xlfn.XLOOKUP(Cleaned_data[[#This Row],[Customer_ID]],Customers[S],Customers[Loyalty_Tier])</f>
        <v>Bronze</v>
      </c>
      <c r="Y301" s="9">
        <f>_xlfn.XLOOKUP(Cleaned_data[[#This Row],[Customer_ID]],Customers[S],Customers[Signup_Date])</f>
        <v>45751</v>
      </c>
      <c r="Z301" s="12">
        <f>_xlfn.XLOOKUP(Cleaned_data[[#This Row],[SKU]],Products[SKU],Products[Standard_Cost])</f>
        <v>12</v>
      </c>
      <c r="AA301" s="10">
        <f>Cleaned_data[[#This Row],[Quantity]]*Cleaned_data[[#This Row],[Unit_Price]]</f>
        <v>194.81</v>
      </c>
      <c r="AB301" s="10">
        <f>Cleaned_data[[#This Row],[Unit_Price]]*Cleaned_data[[#This Row],[Discount_Pct]]</f>
        <v>2.2263999999999999</v>
      </c>
      <c r="AC301" s="10">
        <f>Cleaned_data[[#This Row],[Gross Sales]]-Cleaned_data[[#This Row],[Discount amount]]</f>
        <v>192.58359999999999</v>
      </c>
      <c r="AD301" s="10">
        <f>Cleaned_data[[#This Row],[Product Cost]]*Cleaned_data[[#This Row],[Quantity]]</f>
        <v>84</v>
      </c>
      <c r="AE301" s="10">
        <f>Cleaned_data[[#This Row],[Net Sales]]-Cleaned_data[[#This Row],[COGS]]</f>
        <v>108.58359999999999</v>
      </c>
      <c r="AF301" s="11">
        <f>Cleaned_data[[#This Row],[Gross Profit]]/Cleaned_data[[#This Row],[Net Sales]]</f>
        <v>0.56382578786563342</v>
      </c>
      <c r="AG301">
        <f>Cleaned_data[[#This Row],[Ship_Date]]-Cleaned_data[[#This Row],[Order_Date]]</f>
        <v>4</v>
      </c>
      <c r="AH301" t="str">
        <f>IF(Cleaned_data[[#This Row],[Delivery Days]]&gt;10,"late","on time")</f>
        <v>on time</v>
      </c>
      <c r="AI301" t="str">
        <f>TEXT(Cleaned_data[[#This Row],[Order_Date]],"mmmm")</f>
        <v>November</v>
      </c>
      <c r="AJ301" s="9" t="str">
        <f>"Q"&amp;ROUNDUP(MONTH(Cleaned_data[[#This Row],[Order_Date]])/3,0)</f>
        <v>Q4</v>
      </c>
    </row>
    <row r="302" spans="1:36">
      <c r="A302" t="s">
        <v>764</v>
      </c>
      <c r="B302" s="9">
        <v>45619</v>
      </c>
      <c r="C302" s="9">
        <v>45628</v>
      </c>
      <c r="D302" t="s">
        <v>276</v>
      </c>
      <c r="E302" t="s">
        <v>277</v>
      </c>
      <c r="F302" t="s">
        <v>152</v>
      </c>
      <c r="G302" t="s">
        <v>75</v>
      </c>
      <c r="H302" t="s">
        <v>212</v>
      </c>
      <c r="I302" t="s">
        <v>213</v>
      </c>
      <c r="J302" t="s">
        <v>219</v>
      </c>
      <c r="K302" t="s">
        <v>130</v>
      </c>
      <c r="L302" t="s">
        <v>220</v>
      </c>
      <c r="M302" t="s">
        <v>221</v>
      </c>
      <c r="N302" t="s">
        <v>93</v>
      </c>
      <c r="O302" t="s">
        <v>177</v>
      </c>
      <c r="P302" s="8">
        <v>4</v>
      </c>
      <c r="Q302" s="10">
        <v>239.24</v>
      </c>
      <c r="R302" s="11">
        <v>0.02</v>
      </c>
      <c r="S302" s="10">
        <v>24.88</v>
      </c>
      <c r="T302" t="s">
        <v>105</v>
      </c>
      <c r="U302" t="s">
        <v>85</v>
      </c>
      <c r="V302" s="8">
        <v>4</v>
      </c>
      <c r="W302" t="s">
        <v>1270</v>
      </c>
      <c r="X302" t="str">
        <f>_xlfn.XLOOKUP(Cleaned_data[[#This Row],[Customer_ID]],Customers[S],Customers[Loyalty_Tier])</f>
        <v>Silver</v>
      </c>
      <c r="Y302" s="9">
        <f>_xlfn.XLOOKUP(Cleaned_data[[#This Row],[Customer_ID]],Customers[S],Customers[Signup_Date])</f>
        <v>44291</v>
      </c>
      <c r="Z302" s="12">
        <f>_xlfn.XLOOKUP(Cleaned_data[[#This Row],[SKU]],Products[SKU],Products[Standard_Cost])</f>
        <v>118</v>
      </c>
      <c r="AA302" s="10">
        <f>Cleaned_data[[#This Row],[Quantity]]*Cleaned_data[[#This Row],[Unit_Price]]</f>
        <v>956.96</v>
      </c>
      <c r="AB302" s="10">
        <f>Cleaned_data[[#This Row],[Unit_Price]]*Cleaned_data[[#This Row],[Discount_Pct]]</f>
        <v>4.7848000000000006</v>
      </c>
      <c r="AC302" s="10">
        <f>Cleaned_data[[#This Row],[Gross Sales]]-Cleaned_data[[#This Row],[Discount amount]]</f>
        <v>952.17520000000002</v>
      </c>
      <c r="AD302" s="10">
        <f>Cleaned_data[[#This Row],[Product Cost]]*Cleaned_data[[#This Row],[Quantity]]</f>
        <v>472</v>
      </c>
      <c r="AE302" s="10">
        <f>Cleaned_data[[#This Row],[Net Sales]]-Cleaned_data[[#This Row],[COGS]]</f>
        <v>480.17520000000002</v>
      </c>
      <c r="AF302" s="11">
        <f>Cleaned_data[[#This Row],[Gross Profit]]/Cleaned_data[[#This Row],[Net Sales]]</f>
        <v>0.50429290743972333</v>
      </c>
      <c r="AG302">
        <f>Cleaned_data[[#This Row],[Ship_Date]]-Cleaned_data[[#This Row],[Order_Date]]</f>
        <v>9</v>
      </c>
      <c r="AH302" t="str">
        <f>IF(Cleaned_data[[#This Row],[Delivery Days]]&gt;10,"late","on time")</f>
        <v>on time</v>
      </c>
      <c r="AI302" t="str">
        <f>TEXT(Cleaned_data[[#This Row],[Order_Date]],"mmmm")</f>
        <v>November</v>
      </c>
      <c r="AJ302" s="9" t="str">
        <f>"Q"&amp;ROUNDUP(MONTH(Cleaned_data[[#This Row],[Order_Date]])/3,0)</f>
        <v>Q4</v>
      </c>
    </row>
    <row r="303" spans="1:36">
      <c r="A303" t="s">
        <v>765</v>
      </c>
      <c r="B303" s="9">
        <v>45619</v>
      </c>
      <c r="C303" s="9">
        <v>45629</v>
      </c>
      <c r="D303" t="s">
        <v>698</v>
      </c>
      <c r="E303" t="s">
        <v>699</v>
      </c>
      <c r="F303" t="s">
        <v>74</v>
      </c>
      <c r="G303" t="s">
        <v>138</v>
      </c>
      <c r="H303" t="s">
        <v>457</v>
      </c>
      <c r="I303" t="s">
        <v>458</v>
      </c>
      <c r="J303" t="s">
        <v>129</v>
      </c>
      <c r="K303" t="s">
        <v>100</v>
      </c>
      <c r="L303" t="s">
        <v>110</v>
      </c>
      <c r="M303" t="s">
        <v>111</v>
      </c>
      <c r="N303" t="s">
        <v>82</v>
      </c>
      <c r="O303" t="s">
        <v>112</v>
      </c>
      <c r="P303" s="8">
        <v>2</v>
      </c>
      <c r="Q303" s="10">
        <v>316.24</v>
      </c>
      <c r="R303" s="11">
        <v>0.01</v>
      </c>
      <c r="S303" s="10">
        <v>7.34</v>
      </c>
      <c r="T303" t="s">
        <v>84</v>
      </c>
      <c r="U303" t="s">
        <v>85</v>
      </c>
      <c r="V303" s="8">
        <v>4</v>
      </c>
      <c r="W303" t="s">
        <v>1270</v>
      </c>
      <c r="X303" t="str">
        <f>_xlfn.XLOOKUP(Cleaned_data[[#This Row],[Customer_ID]],Customers[S],Customers[Loyalty_Tier])</f>
        <v>Bronze</v>
      </c>
      <c r="Y303" s="9">
        <f>_xlfn.XLOOKUP(Cleaned_data[[#This Row],[Customer_ID]],Customers[S],Customers[Signup_Date])</f>
        <v>45631</v>
      </c>
      <c r="Z303" s="12">
        <f>_xlfn.XLOOKUP(Cleaned_data[[#This Row],[SKU]],Products[SKU],Products[Standard_Cost])</f>
        <v>165</v>
      </c>
      <c r="AA303" s="10">
        <f>Cleaned_data[[#This Row],[Quantity]]*Cleaned_data[[#This Row],[Unit_Price]]</f>
        <v>632.48</v>
      </c>
      <c r="AB303" s="10">
        <f>Cleaned_data[[#This Row],[Unit_Price]]*Cleaned_data[[#This Row],[Discount_Pct]]</f>
        <v>3.1624000000000003</v>
      </c>
      <c r="AC303" s="10">
        <f>Cleaned_data[[#This Row],[Gross Sales]]-Cleaned_data[[#This Row],[Discount amount]]</f>
        <v>629.31759999999997</v>
      </c>
      <c r="AD303" s="10">
        <f>Cleaned_data[[#This Row],[Product Cost]]*Cleaned_data[[#This Row],[Quantity]]</f>
        <v>330</v>
      </c>
      <c r="AE303" s="10">
        <f>Cleaned_data[[#This Row],[Net Sales]]-Cleaned_data[[#This Row],[COGS]]</f>
        <v>299.31759999999997</v>
      </c>
      <c r="AF303" s="11">
        <f>Cleaned_data[[#This Row],[Gross Profit]]/Cleaned_data[[#This Row],[Net Sales]]</f>
        <v>0.47562248378243349</v>
      </c>
      <c r="AG303">
        <f>Cleaned_data[[#This Row],[Ship_Date]]-Cleaned_data[[#This Row],[Order_Date]]</f>
        <v>10</v>
      </c>
      <c r="AH303" t="str">
        <f>IF(Cleaned_data[[#This Row],[Delivery Days]]&gt;10,"late","on time")</f>
        <v>on time</v>
      </c>
      <c r="AI303" t="str">
        <f>TEXT(Cleaned_data[[#This Row],[Order_Date]],"mmmm")</f>
        <v>November</v>
      </c>
      <c r="AJ303" s="9" t="str">
        <f>"Q"&amp;ROUNDUP(MONTH(Cleaned_data[[#This Row],[Order_Date]])/3,0)</f>
        <v>Q4</v>
      </c>
    </row>
    <row r="304" spans="1:36">
      <c r="A304" t="s">
        <v>766</v>
      </c>
      <c r="B304" s="9">
        <v>45620</v>
      </c>
      <c r="C304" s="9">
        <v>45627</v>
      </c>
      <c r="D304" t="s">
        <v>767</v>
      </c>
      <c r="E304" t="s">
        <v>617</v>
      </c>
      <c r="F304" t="s">
        <v>74</v>
      </c>
      <c r="G304" t="s">
        <v>138</v>
      </c>
      <c r="H304" t="s">
        <v>457</v>
      </c>
      <c r="I304" t="s">
        <v>458</v>
      </c>
      <c r="J304" t="s">
        <v>129</v>
      </c>
      <c r="K304" t="s">
        <v>147</v>
      </c>
      <c r="L304" t="s">
        <v>337</v>
      </c>
      <c r="M304" t="s">
        <v>338</v>
      </c>
      <c r="N304" t="s">
        <v>93</v>
      </c>
      <c r="O304" t="s">
        <v>236</v>
      </c>
      <c r="P304" s="8">
        <v>1</v>
      </c>
      <c r="Q304" s="10">
        <v>260.77999999999997</v>
      </c>
      <c r="R304" s="11">
        <v>0.03</v>
      </c>
      <c r="S304" s="10">
        <v>23.95</v>
      </c>
      <c r="T304" t="s">
        <v>105</v>
      </c>
      <c r="U304" t="s">
        <v>85</v>
      </c>
      <c r="V304" s="8">
        <v>2</v>
      </c>
      <c r="W304" t="s">
        <v>1270</v>
      </c>
      <c r="X304" t="str">
        <f>_xlfn.XLOOKUP(Cleaned_data[[#This Row],[Customer_ID]],Customers[S],Customers[Loyalty_Tier])</f>
        <v>Platinum</v>
      </c>
      <c r="Y304" s="9">
        <f>_xlfn.XLOOKUP(Cleaned_data[[#This Row],[Customer_ID]],Customers[S],Customers[Signup_Date])</f>
        <v>45269</v>
      </c>
      <c r="Z304" s="12">
        <f>_xlfn.XLOOKUP(Cleaned_data[[#This Row],[SKU]],Products[SKU],Products[Standard_Cost])</f>
        <v>146</v>
      </c>
      <c r="AA304" s="10">
        <f>Cleaned_data[[#This Row],[Quantity]]*Cleaned_data[[#This Row],[Unit_Price]]</f>
        <v>260.77999999999997</v>
      </c>
      <c r="AB304" s="10">
        <f>Cleaned_data[[#This Row],[Unit_Price]]*Cleaned_data[[#This Row],[Discount_Pct]]</f>
        <v>7.8233999999999986</v>
      </c>
      <c r="AC304" s="10">
        <f>Cleaned_data[[#This Row],[Gross Sales]]-Cleaned_data[[#This Row],[Discount amount]]</f>
        <v>252.95659999999998</v>
      </c>
      <c r="AD304" s="10">
        <f>Cleaned_data[[#This Row],[Product Cost]]*Cleaned_data[[#This Row],[Quantity]]</f>
        <v>146</v>
      </c>
      <c r="AE304" s="10">
        <f>Cleaned_data[[#This Row],[Net Sales]]-Cleaned_data[[#This Row],[COGS]]</f>
        <v>106.95659999999998</v>
      </c>
      <c r="AF304" s="11">
        <f>Cleaned_data[[#This Row],[Gross Profit]]/Cleaned_data[[#This Row],[Net Sales]]</f>
        <v>0.42282589187236069</v>
      </c>
      <c r="AG304">
        <f>Cleaned_data[[#This Row],[Ship_Date]]-Cleaned_data[[#This Row],[Order_Date]]</f>
        <v>7</v>
      </c>
      <c r="AH304" t="str">
        <f>IF(Cleaned_data[[#This Row],[Delivery Days]]&gt;10,"late","on time")</f>
        <v>on time</v>
      </c>
      <c r="AI304" t="str">
        <f>TEXT(Cleaned_data[[#This Row],[Order_Date]],"mmmm")</f>
        <v>November</v>
      </c>
      <c r="AJ304" s="9" t="str">
        <f>"Q"&amp;ROUNDUP(MONTH(Cleaned_data[[#This Row],[Order_Date]])/3,0)</f>
        <v>Q4</v>
      </c>
    </row>
    <row r="305" spans="1:36">
      <c r="A305" t="s">
        <v>768</v>
      </c>
      <c r="B305" s="9">
        <v>45622</v>
      </c>
      <c r="C305" s="9">
        <v>45627</v>
      </c>
      <c r="D305" t="s">
        <v>485</v>
      </c>
      <c r="E305" t="s">
        <v>193</v>
      </c>
      <c r="F305" t="s">
        <v>74</v>
      </c>
      <c r="G305" t="s">
        <v>138</v>
      </c>
      <c r="H305" t="s">
        <v>153</v>
      </c>
      <c r="I305" t="s">
        <v>154</v>
      </c>
      <c r="J305" t="s">
        <v>219</v>
      </c>
      <c r="K305" t="s">
        <v>168</v>
      </c>
      <c r="L305" t="s">
        <v>110</v>
      </c>
      <c r="M305" t="s">
        <v>111</v>
      </c>
      <c r="N305" t="s">
        <v>82</v>
      </c>
      <c r="O305" t="s">
        <v>112</v>
      </c>
      <c r="P305" s="8">
        <v>9</v>
      </c>
      <c r="Q305" s="10">
        <v>326.73</v>
      </c>
      <c r="R305" s="11">
        <v>0.09</v>
      </c>
      <c r="S305" s="10">
        <v>15.66</v>
      </c>
      <c r="T305" t="s">
        <v>134</v>
      </c>
      <c r="U305" t="s">
        <v>85</v>
      </c>
      <c r="V305" s="8">
        <v>2</v>
      </c>
      <c r="W305" t="s">
        <v>1270</v>
      </c>
      <c r="X305" t="str">
        <f>_xlfn.XLOOKUP(Cleaned_data[[#This Row],[Customer_ID]],Customers[S],Customers[Loyalty_Tier])</f>
        <v>Gold</v>
      </c>
      <c r="Y305" s="9">
        <f>_xlfn.XLOOKUP(Cleaned_data[[#This Row],[Customer_ID]],Customers[S],Customers[Signup_Date])</f>
        <v>46010</v>
      </c>
      <c r="Z305" s="12">
        <f>_xlfn.XLOOKUP(Cleaned_data[[#This Row],[SKU]],Products[SKU],Products[Standard_Cost])</f>
        <v>165</v>
      </c>
      <c r="AA305" s="10">
        <f>Cleaned_data[[#This Row],[Quantity]]*Cleaned_data[[#This Row],[Unit_Price]]</f>
        <v>2940.57</v>
      </c>
      <c r="AB305" s="10">
        <f>Cleaned_data[[#This Row],[Unit_Price]]*Cleaned_data[[#This Row],[Discount_Pct]]</f>
        <v>29.4057</v>
      </c>
      <c r="AC305" s="10">
        <f>Cleaned_data[[#This Row],[Gross Sales]]-Cleaned_data[[#This Row],[Discount amount]]</f>
        <v>2911.1643000000004</v>
      </c>
      <c r="AD305" s="10">
        <f>Cleaned_data[[#This Row],[Product Cost]]*Cleaned_data[[#This Row],[Quantity]]</f>
        <v>1485</v>
      </c>
      <c r="AE305" s="10">
        <f>Cleaned_data[[#This Row],[Net Sales]]-Cleaned_data[[#This Row],[COGS]]</f>
        <v>1426.1643000000004</v>
      </c>
      <c r="AF305" s="11">
        <f>Cleaned_data[[#This Row],[Gross Profit]]/Cleaned_data[[#This Row],[Net Sales]]</f>
        <v>0.48989481631112342</v>
      </c>
      <c r="AG305">
        <f>Cleaned_data[[#This Row],[Ship_Date]]-Cleaned_data[[#This Row],[Order_Date]]</f>
        <v>5</v>
      </c>
      <c r="AH305" t="str">
        <f>IF(Cleaned_data[[#This Row],[Delivery Days]]&gt;10,"late","on time")</f>
        <v>on time</v>
      </c>
      <c r="AI305" t="str">
        <f>TEXT(Cleaned_data[[#This Row],[Order_Date]],"mmmm")</f>
        <v>November</v>
      </c>
      <c r="AJ305" s="9" t="str">
        <f>"Q"&amp;ROUNDUP(MONTH(Cleaned_data[[#This Row],[Order_Date]])/3,0)</f>
        <v>Q4</v>
      </c>
    </row>
    <row r="306" spans="1:36">
      <c r="A306" t="s">
        <v>769</v>
      </c>
      <c r="B306" s="9">
        <v>45622</v>
      </c>
      <c r="C306" s="9">
        <v>45628</v>
      </c>
      <c r="D306" t="s">
        <v>522</v>
      </c>
      <c r="E306" t="s">
        <v>512</v>
      </c>
      <c r="F306" t="s">
        <v>74</v>
      </c>
      <c r="G306" t="s">
        <v>194</v>
      </c>
      <c r="H306" t="s">
        <v>230</v>
      </c>
      <c r="I306" t="s">
        <v>231</v>
      </c>
      <c r="J306" t="s">
        <v>219</v>
      </c>
      <c r="K306" t="s">
        <v>90</v>
      </c>
      <c r="L306" t="s">
        <v>118</v>
      </c>
      <c r="M306" t="s">
        <v>119</v>
      </c>
      <c r="N306" t="s">
        <v>120</v>
      </c>
      <c r="O306" t="s">
        <v>121</v>
      </c>
      <c r="P306" s="8">
        <v>2</v>
      </c>
      <c r="Q306" s="10">
        <v>290.73</v>
      </c>
      <c r="R306" s="11">
        <v>0.02</v>
      </c>
      <c r="S306" s="10">
        <v>6.56</v>
      </c>
      <c r="T306" t="s">
        <v>84</v>
      </c>
      <c r="U306" t="s">
        <v>85</v>
      </c>
      <c r="V306" s="8">
        <v>3</v>
      </c>
      <c r="W306" t="s">
        <v>1270</v>
      </c>
      <c r="X306" t="str">
        <f>_xlfn.XLOOKUP(Cleaned_data[[#This Row],[Customer_ID]],Customers[S],Customers[Loyalty_Tier])</f>
        <v>Silver</v>
      </c>
      <c r="Y306" s="9">
        <f>_xlfn.XLOOKUP(Cleaned_data[[#This Row],[Customer_ID]],Customers[S],Customers[Signup_Date])</f>
        <v>44653</v>
      </c>
      <c r="Z306" s="12">
        <f>_xlfn.XLOOKUP(Cleaned_data[[#This Row],[SKU]],Products[SKU],Products[Standard_Cost])</f>
        <v>168</v>
      </c>
      <c r="AA306" s="10">
        <f>Cleaned_data[[#This Row],[Quantity]]*Cleaned_data[[#This Row],[Unit_Price]]</f>
        <v>581.46</v>
      </c>
      <c r="AB306" s="10">
        <f>Cleaned_data[[#This Row],[Unit_Price]]*Cleaned_data[[#This Row],[Discount_Pct]]</f>
        <v>5.8146000000000004</v>
      </c>
      <c r="AC306" s="10">
        <f>Cleaned_data[[#This Row],[Gross Sales]]-Cleaned_data[[#This Row],[Discount amount]]</f>
        <v>575.6454</v>
      </c>
      <c r="AD306" s="10">
        <f>Cleaned_data[[#This Row],[Product Cost]]*Cleaned_data[[#This Row],[Quantity]]</f>
        <v>336</v>
      </c>
      <c r="AE306" s="10">
        <f>Cleaned_data[[#This Row],[Net Sales]]-Cleaned_data[[#This Row],[COGS]]</f>
        <v>239.6454</v>
      </c>
      <c r="AF306" s="11">
        <f>Cleaned_data[[#This Row],[Gross Profit]]/Cleaned_data[[#This Row],[Net Sales]]</f>
        <v>0.41630733086723182</v>
      </c>
      <c r="AG306">
        <f>Cleaned_data[[#This Row],[Ship_Date]]-Cleaned_data[[#This Row],[Order_Date]]</f>
        <v>6</v>
      </c>
      <c r="AH306" t="str">
        <f>IF(Cleaned_data[[#This Row],[Delivery Days]]&gt;10,"late","on time")</f>
        <v>on time</v>
      </c>
      <c r="AI306" t="str">
        <f>TEXT(Cleaned_data[[#This Row],[Order_Date]],"mmmm")</f>
        <v>November</v>
      </c>
      <c r="AJ306" s="9" t="str">
        <f>"Q"&amp;ROUNDUP(MONTH(Cleaned_data[[#This Row],[Order_Date]])/3,0)</f>
        <v>Q4</v>
      </c>
    </row>
    <row r="307" spans="1:36">
      <c r="A307" t="s">
        <v>770</v>
      </c>
      <c r="B307" s="9">
        <v>45623</v>
      </c>
      <c r="C307" s="9">
        <v>45632</v>
      </c>
      <c r="D307" t="s">
        <v>771</v>
      </c>
      <c r="E307" t="s">
        <v>772</v>
      </c>
      <c r="F307" t="s">
        <v>74</v>
      </c>
      <c r="G307" t="s">
        <v>126</v>
      </c>
      <c r="H307" t="s">
        <v>127</v>
      </c>
      <c r="I307" t="s">
        <v>128</v>
      </c>
      <c r="J307" t="s">
        <v>78</v>
      </c>
      <c r="K307" t="s">
        <v>130</v>
      </c>
      <c r="L307" t="s">
        <v>141</v>
      </c>
      <c r="M307" t="s">
        <v>142</v>
      </c>
      <c r="N307" t="s">
        <v>103</v>
      </c>
      <c r="O307" t="s">
        <v>143</v>
      </c>
      <c r="P307" s="8">
        <v>2</v>
      </c>
      <c r="Q307" s="10">
        <v>38.049999999999997</v>
      </c>
      <c r="R307" s="11">
        <v>0.11</v>
      </c>
      <c r="S307" s="10">
        <v>14.11</v>
      </c>
      <c r="T307" t="s">
        <v>105</v>
      </c>
      <c r="U307" t="s">
        <v>85</v>
      </c>
      <c r="V307" s="8">
        <v>4</v>
      </c>
      <c r="W307" t="s">
        <v>1270</v>
      </c>
      <c r="X307" t="str">
        <f>_xlfn.XLOOKUP(Cleaned_data[[#This Row],[Customer_ID]],Customers[S],Customers[Loyalty_Tier])</f>
        <v>Bronze</v>
      </c>
      <c r="Y307" s="9">
        <f>_xlfn.XLOOKUP(Cleaned_data[[#This Row],[Customer_ID]],Customers[S],Customers[Signup_Date])</f>
        <v>45891</v>
      </c>
      <c r="Z307" s="12">
        <f>_xlfn.XLOOKUP(Cleaned_data[[#This Row],[SKU]],Products[SKU],Products[Standard_Cost])</f>
        <v>18</v>
      </c>
      <c r="AA307" s="10">
        <f>Cleaned_data[[#This Row],[Quantity]]*Cleaned_data[[#This Row],[Unit_Price]]</f>
        <v>76.099999999999994</v>
      </c>
      <c r="AB307" s="10">
        <f>Cleaned_data[[#This Row],[Unit_Price]]*Cleaned_data[[#This Row],[Discount_Pct]]</f>
        <v>4.1854999999999993</v>
      </c>
      <c r="AC307" s="10">
        <f>Cleaned_data[[#This Row],[Gross Sales]]-Cleaned_data[[#This Row],[Discount amount]]</f>
        <v>71.91449999999999</v>
      </c>
      <c r="AD307" s="10">
        <f>Cleaned_data[[#This Row],[Product Cost]]*Cleaned_data[[#This Row],[Quantity]]</f>
        <v>36</v>
      </c>
      <c r="AE307" s="10">
        <f>Cleaned_data[[#This Row],[Net Sales]]-Cleaned_data[[#This Row],[COGS]]</f>
        <v>35.91449999999999</v>
      </c>
      <c r="AF307" s="11">
        <f>Cleaned_data[[#This Row],[Gross Profit]]/Cleaned_data[[#This Row],[Net Sales]]</f>
        <v>0.49940554408359922</v>
      </c>
      <c r="AG307">
        <f>Cleaned_data[[#This Row],[Ship_Date]]-Cleaned_data[[#This Row],[Order_Date]]</f>
        <v>9</v>
      </c>
      <c r="AH307" t="str">
        <f>IF(Cleaned_data[[#This Row],[Delivery Days]]&gt;10,"late","on time")</f>
        <v>on time</v>
      </c>
      <c r="AI307" t="str">
        <f>TEXT(Cleaned_data[[#This Row],[Order_Date]],"mmmm")</f>
        <v>November</v>
      </c>
      <c r="AJ307" s="9" t="str">
        <f>"Q"&amp;ROUNDUP(MONTH(Cleaned_data[[#This Row],[Order_Date]])/3,0)</f>
        <v>Q4</v>
      </c>
    </row>
    <row r="308" spans="1:36">
      <c r="A308" t="s">
        <v>773</v>
      </c>
      <c r="B308" s="9">
        <v>45624</v>
      </c>
      <c r="C308" s="9">
        <v>45632</v>
      </c>
      <c r="D308" t="s">
        <v>264</v>
      </c>
      <c r="E308" t="s">
        <v>265</v>
      </c>
      <c r="F308" t="s">
        <v>74</v>
      </c>
      <c r="G308" t="s">
        <v>194</v>
      </c>
      <c r="H308" t="s">
        <v>230</v>
      </c>
      <c r="I308" t="s">
        <v>231</v>
      </c>
      <c r="J308" t="s">
        <v>109</v>
      </c>
      <c r="K308" t="s">
        <v>90</v>
      </c>
      <c r="L308" t="s">
        <v>188</v>
      </c>
      <c r="M308" t="s">
        <v>189</v>
      </c>
      <c r="N308" t="s">
        <v>120</v>
      </c>
      <c r="O308" t="s">
        <v>190</v>
      </c>
      <c r="P308" s="8">
        <v>4</v>
      </c>
      <c r="Q308" s="10">
        <v>55.54</v>
      </c>
      <c r="R308" s="11">
        <v>0.11</v>
      </c>
      <c r="S308" s="10">
        <v>7</v>
      </c>
      <c r="T308" t="s">
        <v>105</v>
      </c>
      <c r="U308" t="s">
        <v>85</v>
      </c>
      <c r="V308" s="8">
        <v>4</v>
      </c>
      <c r="W308" t="s">
        <v>1270</v>
      </c>
      <c r="X308" t="str">
        <f>_xlfn.XLOOKUP(Cleaned_data[[#This Row],[Customer_ID]],Customers[S],Customers[Loyalty_Tier])</f>
        <v>Silver</v>
      </c>
      <c r="Y308" s="9">
        <f>_xlfn.XLOOKUP(Cleaned_data[[#This Row],[Customer_ID]],Customers[S],Customers[Signup_Date])</f>
        <v>45913</v>
      </c>
      <c r="Z308" s="12">
        <f>_xlfn.XLOOKUP(Cleaned_data[[#This Row],[SKU]],Products[SKU],Products[Standard_Cost])</f>
        <v>28</v>
      </c>
      <c r="AA308" s="10">
        <f>Cleaned_data[[#This Row],[Quantity]]*Cleaned_data[[#This Row],[Unit_Price]]</f>
        <v>222.16</v>
      </c>
      <c r="AB308" s="10">
        <f>Cleaned_data[[#This Row],[Unit_Price]]*Cleaned_data[[#This Row],[Discount_Pct]]</f>
        <v>6.1093999999999999</v>
      </c>
      <c r="AC308" s="10">
        <f>Cleaned_data[[#This Row],[Gross Sales]]-Cleaned_data[[#This Row],[Discount amount]]</f>
        <v>216.0506</v>
      </c>
      <c r="AD308" s="10">
        <f>Cleaned_data[[#This Row],[Product Cost]]*Cleaned_data[[#This Row],[Quantity]]</f>
        <v>112</v>
      </c>
      <c r="AE308" s="10">
        <f>Cleaned_data[[#This Row],[Net Sales]]-Cleaned_data[[#This Row],[COGS]]</f>
        <v>104.0506</v>
      </c>
      <c r="AF308" s="11">
        <f>Cleaned_data[[#This Row],[Gross Profit]]/Cleaned_data[[#This Row],[Net Sales]]</f>
        <v>0.48160292079725769</v>
      </c>
      <c r="AG308">
        <f>Cleaned_data[[#This Row],[Ship_Date]]-Cleaned_data[[#This Row],[Order_Date]]</f>
        <v>8</v>
      </c>
      <c r="AH308" t="str">
        <f>IF(Cleaned_data[[#This Row],[Delivery Days]]&gt;10,"late","on time")</f>
        <v>on time</v>
      </c>
      <c r="AI308" t="str">
        <f>TEXT(Cleaned_data[[#This Row],[Order_Date]],"mmmm")</f>
        <v>November</v>
      </c>
      <c r="AJ308" s="9" t="str">
        <f>"Q"&amp;ROUNDUP(MONTH(Cleaned_data[[#This Row],[Order_Date]])/3,0)</f>
        <v>Q4</v>
      </c>
    </row>
    <row r="309" spans="1:36">
      <c r="A309" t="s">
        <v>774</v>
      </c>
      <c r="B309" s="9">
        <v>45626</v>
      </c>
      <c r="C309" s="9">
        <v>45630</v>
      </c>
      <c r="D309" t="s">
        <v>145</v>
      </c>
      <c r="E309" t="s">
        <v>146</v>
      </c>
      <c r="F309" t="s">
        <v>74</v>
      </c>
      <c r="G309" t="s">
        <v>75</v>
      </c>
      <c r="H309" t="s">
        <v>116</v>
      </c>
      <c r="I309" t="s">
        <v>117</v>
      </c>
      <c r="J309" t="s">
        <v>78</v>
      </c>
      <c r="K309" t="s">
        <v>147</v>
      </c>
      <c r="L309" t="s">
        <v>220</v>
      </c>
      <c r="M309" t="s">
        <v>221</v>
      </c>
      <c r="N309" t="s">
        <v>93</v>
      </c>
      <c r="O309" t="s">
        <v>177</v>
      </c>
      <c r="P309" s="8">
        <v>2</v>
      </c>
      <c r="Q309" s="10">
        <v>224.8</v>
      </c>
      <c r="R309" s="11">
        <v>0.31</v>
      </c>
      <c r="S309" s="10">
        <v>27.58</v>
      </c>
      <c r="T309" t="s">
        <v>122</v>
      </c>
      <c r="U309" t="s">
        <v>85</v>
      </c>
      <c r="V309" s="8">
        <v>3</v>
      </c>
      <c r="W309" t="s">
        <v>1270</v>
      </c>
      <c r="X309" t="str">
        <f>_xlfn.XLOOKUP(Cleaned_data[[#This Row],[Customer_ID]],Customers[S],Customers[Loyalty_Tier])</f>
        <v>Platinum</v>
      </c>
      <c r="Y309" s="9">
        <f>_xlfn.XLOOKUP(Cleaned_data[[#This Row],[Customer_ID]],Customers[S],Customers[Signup_Date])</f>
        <v>44668</v>
      </c>
      <c r="Z309" s="12">
        <f>_xlfn.XLOOKUP(Cleaned_data[[#This Row],[SKU]],Products[SKU],Products[Standard_Cost])</f>
        <v>118</v>
      </c>
      <c r="AA309" s="10">
        <f>Cleaned_data[[#This Row],[Quantity]]*Cleaned_data[[#This Row],[Unit_Price]]</f>
        <v>449.6</v>
      </c>
      <c r="AB309" s="10">
        <f>Cleaned_data[[#This Row],[Unit_Price]]*Cleaned_data[[#This Row],[Discount_Pct]]</f>
        <v>69.688000000000002</v>
      </c>
      <c r="AC309" s="10">
        <f>Cleaned_data[[#This Row],[Gross Sales]]-Cleaned_data[[#This Row],[Discount amount]]</f>
        <v>379.91200000000003</v>
      </c>
      <c r="AD309" s="10">
        <f>Cleaned_data[[#This Row],[Product Cost]]*Cleaned_data[[#This Row],[Quantity]]</f>
        <v>236</v>
      </c>
      <c r="AE309" s="10">
        <f>Cleaned_data[[#This Row],[Net Sales]]-Cleaned_data[[#This Row],[COGS]]</f>
        <v>143.91200000000003</v>
      </c>
      <c r="AF309" s="11">
        <f>Cleaned_data[[#This Row],[Gross Profit]]/Cleaned_data[[#This Row],[Net Sales]]</f>
        <v>0.37880351239234356</v>
      </c>
      <c r="AG309">
        <f>Cleaned_data[[#This Row],[Ship_Date]]-Cleaned_data[[#This Row],[Order_Date]]</f>
        <v>4</v>
      </c>
      <c r="AH309" t="str">
        <f>IF(Cleaned_data[[#This Row],[Delivery Days]]&gt;10,"late","on time")</f>
        <v>on time</v>
      </c>
      <c r="AI309" t="str">
        <f>TEXT(Cleaned_data[[#This Row],[Order_Date]],"mmmm")</f>
        <v>November</v>
      </c>
      <c r="AJ309" s="9" t="str">
        <f>"Q"&amp;ROUNDUP(MONTH(Cleaned_data[[#This Row],[Order_Date]])/3,0)</f>
        <v>Q4</v>
      </c>
    </row>
    <row r="310" spans="1:36">
      <c r="A310" t="s">
        <v>775</v>
      </c>
      <c r="B310" s="9">
        <v>45626</v>
      </c>
      <c r="C310" s="9">
        <v>45630</v>
      </c>
      <c r="D310" t="s">
        <v>384</v>
      </c>
      <c r="E310" t="s">
        <v>385</v>
      </c>
      <c r="F310" t="s">
        <v>74</v>
      </c>
      <c r="G310" t="s">
        <v>126</v>
      </c>
      <c r="H310" t="s">
        <v>291</v>
      </c>
      <c r="I310" t="s">
        <v>292</v>
      </c>
      <c r="J310" t="s">
        <v>129</v>
      </c>
      <c r="K310" t="s">
        <v>130</v>
      </c>
      <c r="L310" t="s">
        <v>301</v>
      </c>
      <c r="M310" t="s">
        <v>302</v>
      </c>
      <c r="N310" t="s">
        <v>120</v>
      </c>
      <c r="O310" t="s">
        <v>190</v>
      </c>
      <c r="P310" s="8">
        <v>3</v>
      </c>
      <c r="Q310" s="10">
        <v>141.13999999999999</v>
      </c>
      <c r="R310" s="11">
        <v>0.09</v>
      </c>
      <c r="S310" s="10">
        <v>14.68</v>
      </c>
      <c r="T310" t="s">
        <v>84</v>
      </c>
      <c r="U310" t="s">
        <v>85</v>
      </c>
      <c r="V310" s="8">
        <v>3</v>
      </c>
      <c r="W310" t="s">
        <v>1270</v>
      </c>
      <c r="X310" t="str">
        <f>_xlfn.XLOOKUP(Cleaned_data[[#This Row],[Customer_ID]],Customers[S],Customers[Loyalty_Tier])</f>
        <v>Silver</v>
      </c>
      <c r="Y310" s="9">
        <f>_xlfn.XLOOKUP(Cleaned_data[[#This Row],[Customer_ID]],Customers[S],Customers[Signup_Date])</f>
        <v>45870</v>
      </c>
      <c r="Z310" s="12">
        <f>_xlfn.XLOOKUP(Cleaned_data[[#This Row],[SKU]],Products[SKU],Products[Standard_Cost])</f>
        <v>72</v>
      </c>
      <c r="AA310" s="10">
        <f>Cleaned_data[[#This Row],[Quantity]]*Cleaned_data[[#This Row],[Unit_Price]]</f>
        <v>423.41999999999996</v>
      </c>
      <c r="AB310" s="10">
        <f>Cleaned_data[[#This Row],[Unit_Price]]*Cleaned_data[[#This Row],[Discount_Pct]]</f>
        <v>12.702599999999999</v>
      </c>
      <c r="AC310" s="10">
        <f>Cleaned_data[[#This Row],[Gross Sales]]-Cleaned_data[[#This Row],[Discount amount]]</f>
        <v>410.71739999999994</v>
      </c>
      <c r="AD310" s="10">
        <f>Cleaned_data[[#This Row],[Product Cost]]*Cleaned_data[[#This Row],[Quantity]]</f>
        <v>216</v>
      </c>
      <c r="AE310" s="10">
        <f>Cleaned_data[[#This Row],[Net Sales]]-Cleaned_data[[#This Row],[COGS]]</f>
        <v>194.71739999999994</v>
      </c>
      <c r="AF310" s="11">
        <f>Cleaned_data[[#This Row],[Gross Profit]]/Cleaned_data[[#This Row],[Net Sales]]</f>
        <v>0.47409094428431803</v>
      </c>
      <c r="AG310">
        <f>Cleaned_data[[#This Row],[Ship_Date]]-Cleaned_data[[#This Row],[Order_Date]]</f>
        <v>4</v>
      </c>
      <c r="AH310" t="str">
        <f>IF(Cleaned_data[[#This Row],[Delivery Days]]&gt;10,"late","on time")</f>
        <v>on time</v>
      </c>
      <c r="AI310" t="str">
        <f>TEXT(Cleaned_data[[#This Row],[Order_Date]],"mmmm")</f>
        <v>November</v>
      </c>
      <c r="AJ310" s="9" t="str">
        <f>"Q"&amp;ROUNDUP(MONTH(Cleaned_data[[#This Row],[Order_Date]])/3,0)</f>
        <v>Q4</v>
      </c>
    </row>
    <row r="311" spans="1:36">
      <c r="A311" t="s">
        <v>776</v>
      </c>
      <c r="B311" s="9">
        <v>45627</v>
      </c>
      <c r="C311" s="9">
        <v>45630</v>
      </c>
      <c r="D311" t="s">
        <v>613</v>
      </c>
      <c r="E311" t="s">
        <v>614</v>
      </c>
      <c r="F311" t="s">
        <v>74</v>
      </c>
      <c r="G311" t="s">
        <v>194</v>
      </c>
      <c r="H311" t="s">
        <v>195</v>
      </c>
      <c r="I311" t="s">
        <v>196</v>
      </c>
      <c r="J311" t="s">
        <v>219</v>
      </c>
      <c r="K311" t="s">
        <v>168</v>
      </c>
      <c r="L311" t="s">
        <v>207</v>
      </c>
      <c r="M311" t="s">
        <v>208</v>
      </c>
      <c r="N311" t="s">
        <v>120</v>
      </c>
      <c r="O311" t="s">
        <v>164</v>
      </c>
      <c r="P311" s="8">
        <v>2</v>
      </c>
      <c r="Q311" s="10">
        <v>1465.16</v>
      </c>
      <c r="R311" s="11">
        <v>0.08</v>
      </c>
      <c r="S311" s="10">
        <v>17.84</v>
      </c>
      <c r="T311" t="s">
        <v>134</v>
      </c>
      <c r="U311" t="s">
        <v>85</v>
      </c>
      <c r="V311" s="8">
        <v>2</v>
      </c>
      <c r="W311" t="s">
        <v>1270</v>
      </c>
      <c r="X311" t="str">
        <f>_xlfn.XLOOKUP(Cleaned_data[[#This Row],[Customer_ID]],Customers[S],Customers[Loyalty_Tier])</f>
        <v>Platinum</v>
      </c>
      <c r="Y311" s="9">
        <f>_xlfn.XLOOKUP(Cleaned_data[[#This Row],[Customer_ID]],Customers[S],Customers[Signup_Date])</f>
        <v>44454</v>
      </c>
      <c r="Z311" s="12">
        <f>_xlfn.XLOOKUP(Cleaned_data[[#This Row],[SKU]],Products[SKU],Products[Standard_Cost])</f>
        <v>885</v>
      </c>
      <c r="AA311" s="10">
        <f>Cleaned_data[[#This Row],[Quantity]]*Cleaned_data[[#This Row],[Unit_Price]]</f>
        <v>2930.32</v>
      </c>
      <c r="AB311" s="10">
        <f>Cleaned_data[[#This Row],[Unit_Price]]*Cleaned_data[[#This Row],[Discount_Pct]]</f>
        <v>117.21280000000002</v>
      </c>
      <c r="AC311" s="10">
        <f>Cleaned_data[[#This Row],[Gross Sales]]-Cleaned_data[[#This Row],[Discount amount]]</f>
        <v>2813.1072000000004</v>
      </c>
      <c r="AD311" s="10">
        <f>Cleaned_data[[#This Row],[Product Cost]]*Cleaned_data[[#This Row],[Quantity]]</f>
        <v>1770</v>
      </c>
      <c r="AE311" s="10">
        <f>Cleaned_data[[#This Row],[Net Sales]]-Cleaned_data[[#This Row],[COGS]]</f>
        <v>1043.1072000000004</v>
      </c>
      <c r="AF311" s="11">
        <f>Cleaned_data[[#This Row],[Gross Profit]]/Cleaned_data[[#This Row],[Net Sales]]</f>
        <v>0.37080250621092586</v>
      </c>
      <c r="AG311">
        <f>Cleaned_data[[#This Row],[Ship_Date]]-Cleaned_data[[#This Row],[Order_Date]]</f>
        <v>3</v>
      </c>
      <c r="AH311" t="str">
        <f>IF(Cleaned_data[[#This Row],[Delivery Days]]&gt;10,"late","on time")</f>
        <v>on time</v>
      </c>
      <c r="AI311" t="str">
        <f>TEXT(Cleaned_data[[#This Row],[Order_Date]],"mmmm")</f>
        <v>December</v>
      </c>
      <c r="AJ311" s="9" t="str">
        <f>"Q"&amp;ROUNDUP(MONTH(Cleaned_data[[#This Row],[Order_Date]])/3,0)</f>
        <v>Q4</v>
      </c>
    </row>
    <row r="312" spans="1:36">
      <c r="A312" t="s">
        <v>777</v>
      </c>
      <c r="B312" s="9">
        <v>45629</v>
      </c>
      <c r="C312" s="9">
        <v>45641</v>
      </c>
      <c r="D312" t="s">
        <v>698</v>
      </c>
      <c r="E312" t="s">
        <v>699</v>
      </c>
      <c r="F312" t="s">
        <v>74</v>
      </c>
      <c r="G312" t="s">
        <v>138</v>
      </c>
      <c r="H312" t="s">
        <v>457</v>
      </c>
      <c r="I312" t="s">
        <v>458</v>
      </c>
      <c r="J312" t="s">
        <v>219</v>
      </c>
      <c r="K312" t="s">
        <v>100</v>
      </c>
      <c r="L312" t="s">
        <v>131</v>
      </c>
      <c r="M312" t="s">
        <v>132</v>
      </c>
      <c r="N312" t="s">
        <v>120</v>
      </c>
      <c r="O312" t="s">
        <v>133</v>
      </c>
      <c r="P312" s="8">
        <v>2</v>
      </c>
      <c r="Q312" s="10">
        <v>94.2</v>
      </c>
      <c r="R312" s="11">
        <v>0.06</v>
      </c>
      <c r="S312" s="10">
        <v>18.440000000000001</v>
      </c>
      <c r="T312" t="s">
        <v>105</v>
      </c>
      <c r="U312" t="s">
        <v>85</v>
      </c>
      <c r="V312" s="8">
        <v>4</v>
      </c>
      <c r="W312" t="s">
        <v>1270</v>
      </c>
      <c r="X312" t="str">
        <f>_xlfn.XLOOKUP(Cleaned_data[[#This Row],[Customer_ID]],Customers[S],Customers[Loyalty_Tier])</f>
        <v>Bronze</v>
      </c>
      <c r="Y312" s="9">
        <f>_xlfn.XLOOKUP(Cleaned_data[[#This Row],[Customer_ID]],Customers[S],Customers[Signup_Date])</f>
        <v>45631</v>
      </c>
      <c r="Z312" s="12">
        <f>_xlfn.XLOOKUP(Cleaned_data[[#This Row],[SKU]],Products[SKU],Products[Standard_Cost])</f>
        <v>44</v>
      </c>
      <c r="AA312" s="10">
        <f>Cleaned_data[[#This Row],[Quantity]]*Cleaned_data[[#This Row],[Unit_Price]]</f>
        <v>188.4</v>
      </c>
      <c r="AB312" s="10">
        <f>Cleaned_data[[#This Row],[Unit_Price]]*Cleaned_data[[#This Row],[Discount_Pct]]</f>
        <v>5.6520000000000001</v>
      </c>
      <c r="AC312" s="10">
        <f>Cleaned_data[[#This Row],[Gross Sales]]-Cleaned_data[[#This Row],[Discount amount]]</f>
        <v>182.74800000000002</v>
      </c>
      <c r="AD312" s="10">
        <f>Cleaned_data[[#This Row],[Product Cost]]*Cleaned_data[[#This Row],[Quantity]]</f>
        <v>88</v>
      </c>
      <c r="AE312" s="10">
        <f>Cleaned_data[[#This Row],[Net Sales]]-Cleaned_data[[#This Row],[COGS]]</f>
        <v>94.748000000000019</v>
      </c>
      <c r="AF312" s="11">
        <f>Cleaned_data[[#This Row],[Gross Profit]]/Cleaned_data[[#This Row],[Net Sales]]</f>
        <v>0.51846258235384246</v>
      </c>
      <c r="AG312">
        <f>Cleaned_data[[#This Row],[Ship_Date]]-Cleaned_data[[#This Row],[Order_Date]]</f>
        <v>12</v>
      </c>
      <c r="AH312" t="str">
        <f>IF(Cleaned_data[[#This Row],[Delivery Days]]&gt;10,"late","on time")</f>
        <v>late</v>
      </c>
      <c r="AI312" t="str">
        <f>TEXT(Cleaned_data[[#This Row],[Order_Date]],"mmmm")</f>
        <v>December</v>
      </c>
      <c r="AJ312" s="9" t="str">
        <f>"Q"&amp;ROUNDUP(MONTH(Cleaned_data[[#This Row],[Order_Date]])/3,0)</f>
        <v>Q4</v>
      </c>
    </row>
    <row r="313" spans="1:36">
      <c r="A313" t="s">
        <v>778</v>
      </c>
      <c r="B313" s="9">
        <v>45629</v>
      </c>
      <c r="C313" s="9">
        <v>45632</v>
      </c>
      <c r="D313" t="s">
        <v>238</v>
      </c>
      <c r="E313" t="s">
        <v>239</v>
      </c>
      <c r="F313" t="s">
        <v>89</v>
      </c>
      <c r="G313" t="s">
        <v>194</v>
      </c>
      <c r="H313" t="s">
        <v>240</v>
      </c>
      <c r="I313" t="s">
        <v>241</v>
      </c>
      <c r="J313" t="s">
        <v>78</v>
      </c>
      <c r="K313" t="s">
        <v>100</v>
      </c>
      <c r="L313" t="s">
        <v>214</v>
      </c>
      <c r="M313" t="s">
        <v>215</v>
      </c>
      <c r="N313" t="s">
        <v>103</v>
      </c>
      <c r="O313" t="s">
        <v>171</v>
      </c>
      <c r="P313" s="8">
        <v>8</v>
      </c>
      <c r="Q313" s="10">
        <v>12.52</v>
      </c>
      <c r="R313" s="11">
        <v>7.0000000000000007E-2</v>
      </c>
      <c r="S313" s="10">
        <v>7.77</v>
      </c>
      <c r="T313" t="s">
        <v>122</v>
      </c>
      <c r="U313" t="s">
        <v>85</v>
      </c>
      <c r="V313" s="8">
        <v>2</v>
      </c>
      <c r="W313" t="s">
        <v>1270</v>
      </c>
      <c r="X313" t="str">
        <f>_xlfn.XLOOKUP(Cleaned_data[[#This Row],[Customer_ID]],Customers[S],Customers[Loyalty_Tier])</f>
        <v>Bronze</v>
      </c>
      <c r="Y313" s="9">
        <f>_xlfn.XLOOKUP(Cleaned_data[[#This Row],[Customer_ID]],Customers[S],Customers[Signup_Date])</f>
        <v>45751</v>
      </c>
      <c r="Z313" s="12">
        <f>_xlfn.XLOOKUP(Cleaned_data[[#This Row],[SKU]],Products[SKU],Products[Standard_Cost])</f>
        <v>5</v>
      </c>
      <c r="AA313" s="10">
        <f>Cleaned_data[[#This Row],[Quantity]]*Cleaned_data[[#This Row],[Unit_Price]]</f>
        <v>100.16</v>
      </c>
      <c r="AB313" s="10">
        <f>Cleaned_data[[#This Row],[Unit_Price]]*Cleaned_data[[#This Row],[Discount_Pct]]</f>
        <v>0.87640000000000007</v>
      </c>
      <c r="AC313" s="10">
        <f>Cleaned_data[[#This Row],[Gross Sales]]-Cleaned_data[[#This Row],[Discount amount]]</f>
        <v>99.283599999999993</v>
      </c>
      <c r="AD313" s="10">
        <f>Cleaned_data[[#This Row],[Product Cost]]*Cleaned_data[[#This Row],[Quantity]]</f>
        <v>40</v>
      </c>
      <c r="AE313" s="10">
        <f>Cleaned_data[[#This Row],[Net Sales]]-Cleaned_data[[#This Row],[COGS]]</f>
        <v>59.283599999999993</v>
      </c>
      <c r="AF313" s="11">
        <f>Cleaned_data[[#This Row],[Gross Profit]]/Cleaned_data[[#This Row],[Net Sales]]</f>
        <v>0.59711372270949081</v>
      </c>
      <c r="AG313">
        <f>Cleaned_data[[#This Row],[Ship_Date]]-Cleaned_data[[#This Row],[Order_Date]]</f>
        <v>3</v>
      </c>
      <c r="AH313" t="str">
        <f>IF(Cleaned_data[[#This Row],[Delivery Days]]&gt;10,"late","on time")</f>
        <v>on time</v>
      </c>
      <c r="AI313" t="str">
        <f>TEXT(Cleaned_data[[#This Row],[Order_Date]],"mmmm")</f>
        <v>December</v>
      </c>
      <c r="AJ313" s="9" t="str">
        <f>"Q"&amp;ROUNDUP(MONTH(Cleaned_data[[#This Row],[Order_Date]])/3,0)</f>
        <v>Q4</v>
      </c>
    </row>
    <row r="314" spans="1:36">
      <c r="A314" t="s">
        <v>779</v>
      </c>
      <c r="B314" s="9">
        <v>45630</v>
      </c>
      <c r="C314" s="9">
        <v>45640</v>
      </c>
      <c r="D314" t="s">
        <v>541</v>
      </c>
      <c r="E314" t="s">
        <v>542</v>
      </c>
      <c r="F314" t="s">
        <v>89</v>
      </c>
      <c r="G314" t="s">
        <v>138</v>
      </c>
      <c r="H314" t="s">
        <v>139</v>
      </c>
      <c r="I314" t="s">
        <v>140</v>
      </c>
      <c r="J314" t="s">
        <v>78</v>
      </c>
      <c r="K314" t="s">
        <v>168</v>
      </c>
      <c r="L314" t="s">
        <v>337</v>
      </c>
      <c r="M314" t="s">
        <v>338</v>
      </c>
      <c r="N314" t="s">
        <v>93</v>
      </c>
      <c r="O314" t="s">
        <v>236</v>
      </c>
      <c r="P314" s="8">
        <v>4</v>
      </c>
      <c r="Q314" s="10">
        <v>262.02999999999997</v>
      </c>
      <c r="R314" s="11">
        <v>7.0000000000000007E-2</v>
      </c>
      <c r="S314" s="10">
        <v>22.36</v>
      </c>
      <c r="T314" t="s">
        <v>134</v>
      </c>
      <c r="U314" t="s">
        <v>85</v>
      </c>
      <c r="W314" t="s">
        <v>1270</v>
      </c>
      <c r="X314" t="str">
        <f>_xlfn.XLOOKUP(Cleaned_data[[#This Row],[Customer_ID]],Customers[S],Customers[Loyalty_Tier])</f>
        <v>Silver</v>
      </c>
      <c r="Y314" s="9">
        <f>_xlfn.XLOOKUP(Cleaned_data[[#This Row],[Customer_ID]],Customers[S],Customers[Signup_Date])</f>
        <v>45674</v>
      </c>
      <c r="Z314" s="12">
        <f>_xlfn.XLOOKUP(Cleaned_data[[#This Row],[SKU]],Products[SKU],Products[Standard_Cost])</f>
        <v>146</v>
      </c>
      <c r="AA314" s="10">
        <f>Cleaned_data[[#This Row],[Quantity]]*Cleaned_data[[#This Row],[Unit_Price]]</f>
        <v>1048.1199999999999</v>
      </c>
      <c r="AB314" s="10">
        <f>Cleaned_data[[#This Row],[Unit_Price]]*Cleaned_data[[#This Row],[Discount_Pct]]</f>
        <v>18.342099999999999</v>
      </c>
      <c r="AC314" s="10">
        <f>Cleaned_data[[#This Row],[Gross Sales]]-Cleaned_data[[#This Row],[Discount amount]]</f>
        <v>1029.7778999999998</v>
      </c>
      <c r="AD314" s="10">
        <f>Cleaned_data[[#This Row],[Product Cost]]*Cleaned_data[[#This Row],[Quantity]]</f>
        <v>584</v>
      </c>
      <c r="AE314" s="10">
        <f>Cleaned_data[[#This Row],[Net Sales]]-Cleaned_data[[#This Row],[COGS]]</f>
        <v>445.77789999999982</v>
      </c>
      <c r="AF314" s="11">
        <f>Cleaned_data[[#This Row],[Gross Profit]]/Cleaned_data[[#This Row],[Net Sales]]</f>
        <v>0.4328874216469395</v>
      </c>
      <c r="AG314">
        <f>Cleaned_data[[#This Row],[Ship_Date]]-Cleaned_data[[#This Row],[Order_Date]]</f>
        <v>10</v>
      </c>
      <c r="AH314" t="str">
        <f>IF(Cleaned_data[[#This Row],[Delivery Days]]&gt;10,"late","on time")</f>
        <v>on time</v>
      </c>
      <c r="AI314" t="str">
        <f>TEXT(Cleaned_data[[#This Row],[Order_Date]],"mmmm")</f>
        <v>December</v>
      </c>
      <c r="AJ314" s="9" t="str">
        <f>"Q"&amp;ROUNDUP(MONTH(Cleaned_data[[#This Row],[Order_Date]])/3,0)</f>
        <v>Q4</v>
      </c>
    </row>
    <row r="315" spans="1:36">
      <c r="A315" t="s">
        <v>780</v>
      </c>
      <c r="B315" s="9">
        <v>45632</v>
      </c>
      <c r="C315" s="9">
        <v>45635</v>
      </c>
      <c r="D315" t="s">
        <v>728</v>
      </c>
      <c r="E315" t="s">
        <v>333</v>
      </c>
      <c r="F315" t="s">
        <v>89</v>
      </c>
      <c r="G315" t="s">
        <v>194</v>
      </c>
      <c r="H315" t="s">
        <v>195</v>
      </c>
      <c r="I315" t="s">
        <v>196</v>
      </c>
      <c r="J315" t="s">
        <v>129</v>
      </c>
      <c r="K315" t="s">
        <v>100</v>
      </c>
      <c r="L315" t="s">
        <v>261</v>
      </c>
      <c r="M315" t="s">
        <v>262</v>
      </c>
      <c r="N315" t="s">
        <v>103</v>
      </c>
      <c r="O315" t="s">
        <v>104</v>
      </c>
      <c r="P315" s="8">
        <v>8</v>
      </c>
      <c r="Q315" s="10">
        <v>28.15</v>
      </c>
      <c r="R315" s="11">
        <v>7.0000000000000007E-2</v>
      </c>
      <c r="S315" s="10">
        <v>15.96</v>
      </c>
      <c r="T315" t="s">
        <v>84</v>
      </c>
      <c r="U315" t="s">
        <v>85</v>
      </c>
      <c r="V315" s="8">
        <v>3</v>
      </c>
      <c r="W315" t="s">
        <v>1270</v>
      </c>
      <c r="X315" t="str">
        <f>_xlfn.XLOOKUP(Cleaned_data[[#This Row],[Customer_ID]],Customers[S],Customers[Loyalty_Tier])</f>
        <v>Platinum</v>
      </c>
      <c r="Y315" s="9">
        <f>_xlfn.XLOOKUP(Cleaned_data[[#This Row],[Customer_ID]],Customers[S],Customers[Signup_Date])</f>
        <v>45616</v>
      </c>
      <c r="Z315" s="12">
        <f>_xlfn.XLOOKUP(Cleaned_data[[#This Row],[SKU]],Products[SKU],Products[Standard_Cost])</f>
        <v>12</v>
      </c>
      <c r="AA315" s="10">
        <f>Cleaned_data[[#This Row],[Quantity]]*Cleaned_data[[#This Row],[Unit_Price]]</f>
        <v>225.2</v>
      </c>
      <c r="AB315" s="10">
        <f>Cleaned_data[[#This Row],[Unit_Price]]*Cleaned_data[[#This Row],[Discount_Pct]]</f>
        <v>1.9705000000000001</v>
      </c>
      <c r="AC315" s="10">
        <f>Cleaned_data[[#This Row],[Gross Sales]]-Cleaned_data[[#This Row],[Discount amount]]</f>
        <v>223.2295</v>
      </c>
      <c r="AD315" s="10">
        <f>Cleaned_data[[#This Row],[Product Cost]]*Cleaned_data[[#This Row],[Quantity]]</f>
        <v>96</v>
      </c>
      <c r="AE315" s="10">
        <f>Cleaned_data[[#This Row],[Net Sales]]-Cleaned_data[[#This Row],[COGS]]</f>
        <v>127.2295</v>
      </c>
      <c r="AF315" s="11">
        <f>Cleaned_data[[#This Row],[Gross Profit]]/Cleaned_data[[#This Row],[Net Sales]]</f>
        <v>0.56994931225487666</v>
      </c>
      <c r="AG315">
        <f>Cleaned_data[[#This Row],[Ship_Date]]-Cleaned_data[[#This Row],[Order_Date]]</f>
        <v>3</v>
      </c>
      <c r="AH315" t="str">
        <f>IF(Cleaned_data[[#This Row],[Delivery Days]]&gt;10,"late","on time")</f>
        <v>on time</v>
      </c>
      <c r="AI315" t="str">
        <f>TEXT(Cleaned_data[[#This Row],[Order_Date]],"mmmm")</f>
        <v>December</v>
      </c>
      <c r="AJ315" s="9" t="str">
        <f>"Q"&amp;ROUNDUP(MONTH(Cleaned_data[[#This Row],[Order_Date]])/3,0)</f>
        <v>Q4</v>
      </c>
    </row>
    <row r="316" spans="1:36">
      <c r="A316" t="s">
        <v>781</v>
      </c>
      <c r="B316" s="9">
        <v>45636</v>
      </c>
      <c r="C316" s="9">
        <v>45643</v>
      </c>
      <c r="D316" t="s">
        <v>782</v>
      </c>
      <c r="E316" t="s">
        <v>783</v>
      </c>
      <c r="F316" t="s">
        <v>152</v>
      </c>
      <c r="G316" t="s">
        <v>126</v>
      </c>
      <c r="H316" t="s">
        <v>784</v>
      </c>
      <c r="I316" t="s">
        <v>785</v>
      </c>
      <c r="J316" t="s">
        <v>109</v>
      </c>
      <c r="K316" t="s">
        <v>147</v>
      </c>
      <c r="L316" t="s">
        <v>220</v>
      </c>
      <c r="M316" t="s">
        <v>221</v>
      </c>
      <c r="N316" t="s">
        <v>93</v>
      </c>
      <c r="O316" t="s">
        <v>177</v>
      </c>
      <c r="P316" s="8">
        <v>4</v>
      </c>
      <c r="Q316" s="10">
        <v>229.46</v>
      </c>
      <c r="R316" s="11">
        <v>0.1</v>
      </c>
      <c r="S316" s="10">
        <v>19.02</v>
      </c>
      <c r="T316" t="s">
        <v>134</v>
      </c>
      <c r="U316" t="s">
        <v>85</v>
      </c>
      <c r="V316" s="8">
        <v>5</v>
      </c>
      <c r="W316" t="s">
        <v>1270</v>
      </c>
      <c r="X316" t="str">
        <f>_xlfn.XLOOKUP(Cleaned_data[[#This Row],[Customer_ID]],Customers[S],Customers[Loyalty_Tier])</f>
        <v>Platinum</v>
      </c>
      <c r="Y316" s="9">
        <f>_xlfn.XLOOKUP(Cleaned_data[[#This Row],[Customer_ID]],Customers[S],Customers[Signup_Date])</f>
        <v>45549</v>
      </c>
      <c r="Z316" s="12">
        <f>_xlfn.XLOOKUP(Cleaned_data[[#This Row],[SKU]],Products[SKU],Products[Standard_Cost])</f>
        <v>118</v>
      </c>
      <c r="AA316" s="10">
        <f>Cleaned_data[[#This Row],[Quantity]]*Cleaned_data[[#This Row],[Unit_Price]]</f>
        <v>917.84</v>
      </c>
      <c r="AB316" s="10">
        <f>Cleaned_data[[#This Row],[Unit_Price]]*Cleaned_data[[#This Row],[Discount_Pct]]</f>
        <v>22.946000000000002</v>
      </c>
      <c r="AC316" s="10">
        <f>Cleaned_data[[#This Row],[Gross Sales]]-Cleaned_data[[#This Row],[Discount amount]]</f>
        <v>894.89400000000001</v>
      </c>
      <c r="AD316" s="10">
        <f>Cleaned_data[[#This Row],[Product Cost]]*Cleaned_data[[#This Row],[Quantity]]</f>
        <v>472</v>
      </c>
      <c r="AE316" s="10">
        <f>Cleaned_data[[#This Row],[Net Sales]]-Cleaned_data[[#This Row],[COGS]]</f>
        <v>422.89400000000001</v>
      </c>
      <c r="AF316" s="11">
        <f>Cleaned_data[[#This Row],[Gross Profit]]/Cleaned_data[[#This Row],[Net Sales]]</f>
        <v>0.4725632309524927</v>
      </c>
      <c r="AG316">
        <f>Cleaned_data[[#This Row],[Ship_Date]]-Cleaned_data[[#This Row],[Order_Date]]</f>
        <v>7</v>
      </c>
      <c r="AH316" t="str">
        <f>IF(Cleaned_data[[#This Row],[Delivery Days]]&gt;10,"late","on time")</f>
        <v>on time</v>
      </c>
      <c r="AI316" t="str">
        <f>TEXT(Cleaned_data[[#This Row],[Order_Date]],"mmmm")</f>
        <v>December</v>
      </c>
      <c r="AJ316" s="9" t="str">
        <f>"Q"&amp;ROUNDUP(MONTH(Cleaned_data[[#This Row],[Order_Date]])/3,0)</f>
        <v>Q4</v>
      </c>
    </row>
    <row r="317" spans="1:36">
      <c r="A317" t="s">
        <v>786</v>
      </c>
      <c r="B317" s="9">
        <v>45636</v>
      </c>
      <c r="C317" s="9">
        <v>45645</v>
      </c>
      <c r="D317" t="s">
        <v>787</v>
      </c>
      <c r="E317" t="s">
        <v>660</v>
      </c>
      <c r="F317" t="s">
        <v>152</v>
      </c>
      <c r="G317" t="s">
        <v>194</v>
      </c>
      <c r="H317" t="s">
        <v>202</v>
      </c>
      <c r="I317" t="s">
        <v>203</v>
      </c>
      <c r="J317" t="s">
        <v>129</v>
      </c>
      <c r="K317" t="s">
        <v>130</v>
      </c>
      <c r="L317" t="s">
        <v>359</v>
      </c>
      <c r="M317" t="s">
        <v>360</v>
      </c>
      <c r="N317" t="s">
        <v>93</v>
      </c>
      <c r="O317" t="s">
        <v>94</v>
      </c>
      <c r="P317" s="8">
        <v>1</v>
      </c>
      <c r="Q317" s="10">
        <v>468.37</v>
      </c>
      <c r="R317" s="11">
        <v>0.28999999999999998</v>
      </c>
      <c r="S317" s="10">
        <v>20.079999999999998</v>
      </c>
      <c r="T317" t="s">
        <v>134</v>
      </c>
      <c r="U317" t="s">
        <v>85</v>
      </c>
      <c r="V317" s="8">
        <v>3</v>
      </c>
      <c r="W317" t="s">
        <v>1270</v>
      </c>
      <c r="X317" t="str">
        <f>_xlfn.XLOOKUP(Cleaned_data[[#This Row],[Customer_ID]],Customers[S],Customers[Loyalty_Tier])</f>
        <v>Gold</v>
      </c>
      <c r="Y317" s="9">
        <f>_xlfn.XLOOKUP(Cleaned_data[[#This Row],[Customer_ID]],Customers[S],Customers[Signup_Date])</f>
        <v>44524</v>
      </c>
      <c r="Z317" s="12">
        <f>_xlfn.XLOOKUP(Cleaned_data[[#This Row],[SKU]],Products[SKU],Products[Standard_Cost])</f>
        <v>265</v>
      </c>
      <c r="AA317" s="10">
        <f>Cleaned_data[[#This Row],[Quantity]]*Cleaned_data[[#This Row],[Unit_Price]]</f>
        <v>468.37</v>
      </c>
      <c r="AB317" s="10">
        <f>Cleaned_data[[#This Row],[Unit_Price]]*Cleaned_data[[#This Row],[Discount_Pct]]</f>
        <v>135.82729999999998</v>
      </c>
      <c r="AC317" s="10">
        <f>Cleaned_data[[#This Row],[Gross Sales]]-Cleaned_data[[#This Row],[Discount amount]]</f>
        <v>332.54270000000002</v>
      </c>
      <c r="AD317" s="10">
        <f>Cleaned_data[[#This Row],[Product Cost]]*Cleaned_data[[#This Row],[Quantity]]</f>
        <v>265</v>
      </c>
      <c r="AE317" s="10">
        <f>Cleaned_data[[#This Row],[Net Sales]]-Cleaned_data[[#This Row],[COGS]]</f>
        <v>67.542700000000025</v>
      </c>
      <c r="AF317" s="11">
        <f>Cleaned_data[[#This Row],[Gross Profit]]/Cleaned_data[[#This Row],[Net Sales]]</f>
        <v>0.20310985626808231</v>
      </c>
      <c r="AG317">
        <f>Cleaned_data[[#This Row],[Ship_Date]]-Cleaned_data[[#This Row],[Order_Date]]</f>
        <v>9</v>
      </c>
      <c r="AH317" t="str">
        <f>IF(Cleaned_data[[#This Row],[Delivery Days]]&gt;10,"late","on time")</f>
        <v>on time</v>
      </c>
      <c r="AI317" t="str">
        <f>TEXT(Cleaned_data[[#This Row],[Order_Date]],"mmmm")</f>
        <v>December</v>
      </c>
      <c r="AJ317" s="9" t="str">
        <f>"Q"&amp;ROUNDUP(MONTH(Cleaned_data[[#This Row],[Order_Date]])/3,0)</f>
        <v>Q4</v>
      </c>
    </row>
    <row r="318" spans="1:36">
      <c r="A318" t="s">
        <v>788</v>
      </c>
      <c r="B318" s="9">
        <v>45639</v>
      </c>
      <c r="C318" s="9">
        <v>45642</v>
      </c>
      <c r="D318" t="s">
        <v>245</v>
      </c>
      <c r="E318" t="s">
        <v>246</v>
      </c>
      <c r="F318" t="s">
        <v>74</v>
      </c>
      <c r="G318" t="s">
        <v>138</v>
      </c>
      <c r="H318" t="s">
        <v>139</v>
      </c>
      <c r="I318" t="s">
        <v>140</v>
      </c>
      <c r="J318" t="s">
        <v>109</v>
      </c>
      <c r="K318" t="s">
        <v>168</v>
      </c>
      <c r="L318" t="s">
        <v>80</v>
      </c>
      <c r="M318" t="s">
        <v>81</v>
      </c>
      <c r="N318" t="s">
        <v>82</v>
      </c>
      <c r="O318" t="s">
        <v>83</v>
      </c>
      <c r="P318" s="8">
        <v>7</v>
      </c>
      <c r="Q318" s="10">
        <v>235.96</v>
      </c>
      <c r="R318" s="11">
        <v>0.11</v>
      </c>
      <c r="S318" s="10">
        <v>15.43</v>
      </c>
      <c r="T318" t="s">
        <v>122</v>
      </c>
      <c r="U318" t="s">
        <v>85</v>
      </c>
      <c r="V318" s="8">
        <v>3</v>
      </c>
      <c r="W318" t="s">
        <v>1270</v>
      </c>
      <c r="X318" t="str">
        <f>_xlfn.XLOOKUP(Cleaned_data[[#This Row],[Customer_ID]],Customers[S],Customers[Loyalty_Tier])</f>
        <v>Bronze</v>
      </c>
      <c r="Y318" s="9">
        <f>_xlfn.XLOOKUP(Cleaned_data[[#This Row],[Customer_ID]],Customers[S],Customers[Signup_Date])</f>
        <v>45447</v>
      </c>
      <c r="Z318" s="12">
        <f>_xlfn.XLOOKUP(Cleaned_data[[#This Row],[SKU]],Products[SKU],Products[Standard_Cost])</f>
        <v>125</v>
      </c>
      <c r="AA318" s="10">
        <f>Cleaned_data[[#This Row],[Quantity]]*Cleaned_data[[#This Row],[Unit_Price]]</f>
        <v>1651.72</v>
      </c>
      <c r="AB318" s="10">
        <f>Cleaned_data[[#This Row],[Unit_Price]]*Cleaned_data[[#This Row],[Discount_Pct]]</f>
        <v>25.9556</v>
      </c>
      <c r="AC318" s="10">
        <f>Cleaned_data[[#This Row],[Gross Sales]]-Cleaned_data[[#This Row],[Discount amount]]</f>
        <v>1625.7644</v>
      </c>
      <c r="AD318" s="10">
        <f>Cleaned_data[[#This Row],[Product Cost]]*Cleaned_data[[#This Row],[Quantity]]</f>
        <v>875</v>
      </c>
      <c r="AE318" s="10">
        <f>Cleaned_data[[#This Row],[Net Sales]]-Cleaned_data[[#This Row],[COGS]]</f>
        <v>750.76440000000002</v>
      </c>
      <c r="AF318" s="11">
        <f>Cleaned_data[[#This Row],[Gross Profit]]/Cleaned_data[[#This Row],[Net Sales]]</f>
        <v>0.46179163475347351</v>
      </c>
      <c r="AG318">
        <f>Cleaned_data[[#This Row],[Ship_Date]]-Cleaned_data[[#This Row],[Order_Date]]</f>
        <v>3</v>
      </c>
      <c r="AH318" t="str">
        <f>IF(Cleaned_data[[#This Row],[Delivery Days]]&gt;10,"late","on time")</f>
        <v>on time</v>
      </c>
      <c r="AI318" t="str">
        <f>TEXT(Cleaned_data[[#This Row],[Order_Date]],"mmmm")</f>
        <v>December</v>
      </c>
      <c r="AJ318" s="9" t="str">
        <f>"Q"&amp;ROUNDUP(MONTH(Cleaned_data[[#This Row],[Order_Date]])/3,0)</f>
        <v>Q4</v>
      </c>
    </row>
    <row r="319" spans="1:36">
      <c r="A319" t="s">
        <v>789</v>
      </c>
      <c r="B319" s="9">
        <v>45640</v>
      </c>
      <c r="C319" s="9">
        <v>45642</v>
      </c>
      <c r="D319" t="s">
        <v>550</v>
      </c>
      <c r="E319" t="s">
        <v>218</v>
      </c>
      <c r="F319" t="s">
        <v>152</v>
      </c>
      <c r="G319" t="s">
        <v>126</v>
      </c>
      <c r="H319" t="s">
        <v>127</v>
      </c>
      <c r="I319" t="s">
        <v>128</v>
      </c>
      <c r="J319" t="s">
        <v>219</v>
      </c>
      <c r="K319" t="s">
        <v>147</v>
      </c>
      <c r="L319" t="s">
        <v>110</v>
      </c>
      <c r="M319" t="s">
        <v>111</v>
      </c>
      <c r="N319" t="s">
        <v>82</v>
      </c>
      <c r="O319" t="s">
        <v>112</v>
      </c>
      <c r="P319" s="8">
        <v>4</v>
      </c>
      <c r="Q319" s="10">
        <v>300.8</v>
      </c>
      <c r="R319" s="11">
        <v>0.08</v>
      </c>
      <c r="S319" s="10">
        <v>6.75</v>
      </c>
      <c r="T319" t="s">
        <v>105</v>
      </c>
      <c r="U319" t="s">
        <v>85</v>
      </c>
      <c r="V319" s="8">
        <v>5</v>
      </c>
      <c r="W319" t="s">
        <v>1270</v>
      </c>
      <c r="X319" t="str">
        <f>_xlfn.XLOOKUP(Cleaned_data[[#This Row],[Customer_ID]],Customers[S],Customers[Loyalty_Tier])</f>
        <v>Platinum</v>
      </c>
      <c r="Y319" s="9">
        <f>_xlfn.XLOOKUP(Cleaned_data[[#This Row],[Customer_ID]],Customers[S],Customers[Signup_Date])</f>
        <v>44903</v>
      </c>
      <c r="Z319" s="12">
        <f>_xlfn.XLOOKUP(Cleaned_data[[#This Row],[SKU]],Products[SKU],Products[Standard_Cost])</f>
        <v>165</v>
      </c>
      <c r="AA319" s="10">
        <f>Cleaned_data[[#This Row],[Quantity]]*Cleaned_data[[#This Row],[Unit_Price]]</f>
        <v>1203.2</v>
      </c>
      <c r="AB319" s="10">
        <f>Cleaned_data[[#This Row],[Unit_Price]]*Cleaned_data[[#This Row],[Discount_Pct]]</f>
        <v>24.064</v>
      </c>
      <c r="AC319" s="10">
        <f>Cleaned_data[[#This Row],[Gross Sales]]-Cleaned_data[[#This Row],[Discount amount]]</f>
        <v>1179.136</v>
      </c>
      <c r="AD319" s="10">
        <f>Cleaned_data[[#This Row],[Product Cost]]*Cleaned_data[[#This Row],[Quantity]]</f>
        <v>660</v>
      </c>
      <c r="AE319" s="10">
        <f>Cleaned_data[[#This Row],[Net Sales]]-Cleaned_data[[#This Row],[COGS]]</f>
        <v>519.13599999999997</v>
      </c>
      <c r="AF319" s="11">
        <f>Cleaned_data[[#This Row],[Gross Profit]]/Cleaned_data[[#This Row],[Net Sales]]</f>
        <v>0.44026812852800695</v>
      </c>
      <c r="AG319">
        <f>Cleaned_data[[#This Row],[Ship_Date]]-Cleaned_data[[#This Row],[Order_Date]]</f>
        <v>2</v>
      </c>
      <c r="AH319" t="str">
        <f>IF(Cleaned_data[[#This Row],[Delivery Days]]&gt;10,"late","on time")</f>
        <v>on time</v>
      </c>
      <c r="AI319" t="str">
        <f>TEXT(Cleaned_data[[#This Row],[Order_Date]],"mmmm")</f>
        <v>December</v>
      </c>
      <c r="AJ319" s="9" t="str">
        <f>"Q"&amp;ROUNDUP(MONTH(Cleaned_data[[#This Row],[Order_Date]])/3,0)</f>
        <v>Q4</v>
      </c>
    </row>
    <row r="320" spans="1:36">
      <c r="A320" t="s">
        <v>790</v>
      </c>
      <c r="B320" s="9">
        <v>45640</v>
      </c>
      <c r="C320" s="9">
        <v>45648</v>
      </c>
      <c r="D320" t="s">
        <v>287</v>
      </c>
      <c r="E320" t="s">
        <v>146</v>
      </c>
      <c r="F320" t="s">
        <v>89</v>
      </c>
      <c r="G320" t="s">
        <v>194</v>
      </c>
      <c r="H320" t="s">
        <v>195</v>
      </c>
      <c r="I320" t="s">
        <v>196</v>
      </c>
      <c r="J320" t="s">
        <v>78</v>
      </c>
      <c r="K320" t="s">
        <v>130</v>
      </c>
      <c r="L320" t="s">
        <v>162</v>
      </c>
      <c r="M320" t="s">
        <v>163</v>
      </c>
      <c r="N320" t="s">
        <v>103</v>
      </c>
      <c r="O320" t="s">
        <v>164</v>
      </c>
      <c r="P320" s="8">
        <v>4</v>
      </c>
      <c r="Q320" s="10">
        <v>934.93</v>
      </c>
      <c r="R320" s="11">
        <v>0.03</v>
      </c>
      <c r="S320" s="10">
        <v>15.64</v>
      </c>
      <c r="T320" t="s">
        <v>122</v>
      </c>
      <c r="U320" t="s">
        <v>148</v>
      </c>
      <c r="W320" t="s">
        <v>1270</v>
      </c>
      <c r="X320" t="str">
        <f>_xlfn.XLOOKUP(Cleaned_data[[#This Row],[Customer_ID]],Customers[S],Customers[Loyalty_Tier])</f>
        <v>Gold</v>
      </c>
      <c r="Y320" s="9">
        <f>_xlfn.XLOOKUP(Cleaned_data[[#This Row],[Customer_ID]],Customers[S],Customers[Signup_Date])</f>
        <v>45848</v>
      </c>
      <c r="Z320" s="12">
        <f>_xlfn.XLOOKUP(Cleaned_data[[#This Row],[SKU]],Products[SKU],Products[Standard_Cost])</f>
        <v>585</v>
      </c>
      <c r="AA320" s="10">
        <f>Cleaned_data[[#This Row],[Quantity]]*Cleaned_data[[#This Row],[Unit_Price]]</f>
        <v>3739.72</v>
      </c>
      <c r="AB320" s="10">
        <f>Cleaned_data[[#This Row],[Unit_Price]]*Cleaned_data[[#This Row],[Discount_Pct]]</f>
        <v>28.047899999999998</v>
      </c>
      <c r="AC320" s="10">
        <f>Cleaned_data[[#This Row],[Gross Sales]]-Cleaned_data[[#This Row],[Discount amount]]</f>
        <v>3711.6720999999998</v>
      </c>
      <c r="AD320" s="10">
        <f>Cleaned_data[[#This Row],[Product Cost]]*Cleaned_data[[#This Row],[Quantity]]</f>
        <v>2340</v>
      </c>
      <c r="AE320" s="10">
        <f>Cleaned_data[[#This Row],[Net Sales]]-Cleaned_data[[#This Row],[COGS]]</f>
        <v>1371.6720999999998</v>
      </c>
      <c r="AF320" s="11">
        <f>Cleaned_data[[#This Row],[Gross Profit]]/Cleaned_data[[#This Row],[Net Sales]]</f>
        <v>0.3695563786467021</v>
      </c>
      <c r="AG320">
        <f>Cleaned_data[[#This Row],[Ship_Date]]-Cleaned_data[[#This Row],[Order_Date]]</f>
        <v>8</v>
      </c>
      <c r="AH320" t="str">
        <f>IF(Cleaned_data[[#This Row],[Delivery Days]]&gt;10,"late","on time")</f>
        <v>on time</v>
      </c>
      <c r="AI320" t="str">
        <f>TEXT(Cleaned_data[[#This Row],[Order_Date]],"mmmm")</f>
        <v>December</v>
      </c>
      <c r="AJ320" s="9" t="str">
        <f>"Q"&amp;ROUNDUP(MONTH(Cleaned_data[[#This Row],[Order_Date]])/3,0)</f>
        <v>Q4</v>
      </c>
    </row>
    <row r="321" spans="1:36">
      <c r="A321" t="s">
        <v>792</v>
      </c>
      <c r="B321" s="9">
        <v>45640</v>
      </c>
      <c r="C321" s="9">
        <v>45645</v>
      </c>
      <c r="D321" t="s">
        <v>782</v>
      </c>
      <c r="E321" t="s">
        <v>783</v>
      </c>
      <c r="F321" t="s">
        <v>152</v>
      </c>
      <c r="G321" t="s">
        <v>126</v>
      </c>
      <c r="H321" t="s">
        <v>784</v>
      </c>
      <c r="I321" t="s">
        <v>785</v>
      </c>
      <c r="J321" t="s">
        <v>219</v>
      </c>
      <c r="K321" t="s">
        <v>100</v>
      </c>
      <c r="L321" t="s">
        <v>91</v>
      </c>
      <c r="M321" t="s">
        <v>92</v>
      </c>
      <c r="N321" t="s">
        <v>93</v>
      </c>
      <c r="O321" t="s">
        <v>94</v>
      </c>
      <c r="P321" s="8">
        <v>2</v>
      </c>
      <c r="Q321" s="10">
        <v>327.8</v>
      </c>
      <c r="R321" s="11">
        <v>0.08</v>
      </c>
      <c r="S321" s="10">
        <v>26.91</v>
      </c>
      <c r="T321" t="s">
        <v>122</v>
      </c>
      <c r="U321" t="s">
        <v>85</v>
      </c>
      <c r="W321" t="s">
        <v>1270</v>
      </c>
      <c r="X321" t="str">
        <f>_xlfn.XLOOKUP(Cleaned_data[[#This Row],[Customer_ID]],Customers[S],Customers[Loyalty_Tier])</f>
        <v>Platinum</v>
      </c>
      <c r="Y321" s="9">
        <f>_xlfn.XLOOKUP(Cleaned_data[[#This Row],[Customer_ID]],Customers[S],Customers[Signup_Date])</f>
        <v>45549</v>
      </c>
      <c r="Z321" s="12">
        <f>_xlfn.XLOOKUP(Cleaned_data[[#This Row],[SKU]],Products[SKU],Products[Standard_Cost])</f>
        <v>184</v>
      </c>
      <c r="AA321" s="10">
        <f>Cleaned_data[[#This Row],[Quantity]]*Cleaned_data[[#This Row],[Unit_Price]]</f>
        <v>655.6</v>
      </c>
      <c r="AB321" s="10">
        <f>Cleaned_data[[#This Row],[Unit_Price]]*Cleaned_data[[#This Row],[Discount_Pct]]</f>
        <v>26.224</v>
      </c>
      <c r="AC321" s="10">
        <f>Cleaned_data[[#This Row],[Gross Sales]]-Cleaned_data[[#This Row],[Discount amount]]</f>
        <v>629.37599999999998</v>
      </c>
      <c r="AD321" s="10">
        <f>Cleaned_data[[#This Row],[Product Cost]]*Cleaned_data[[#This Row],[Quantity]]</f>
        <v>368</v>
      </c>
      <c r="AE321" s="10">
        <f>Cleaned_data[[#This Row],[Net Sales]]-Cleaned_data[[#This Row],[COGS]]</f>
        <v>261.37599999999998</v>
      </c>
      <c r="AF321" s="11">
        <f>Cleaned_data[[#This Row],[Gross Profit]]/Cleaned_data[[#This Row],[Net Sales]]</f>
        <v>0.41529387838112669</v>
      </c>
      <c r="AG321">
        <f>Cleaned_data[[#This Row],[Ship_Date]]-Cleaned_data[[#This Row],[Order_Date]]</f>
        <v>5</v>
      </c>
      <c r="AH321" t="str">
        <f>IF(Cleaned_data[[#This Row],[Delivery Days]]&gt;10,"late","on time")</f>
        <v>on time</v>
      </c>
      <c r="AI321" t="str">
        <f>TEXT(Cleaned_data[[#This Row],[Order_Date]],"mmmm")</f>
        <v>December</v>
      </c>
      <c r="AJ321" s="9" t="str">
        <f>"Q"&amp;ROUNDUP(MONTH(Cleaned_data[[#This Row],[Order_Date]])/3,0)</f>
        <v>Q4</v>
      </c>
    </row>
    <row r="322" spans="1:36">
      <c r="A322" t="s">
        <v>793</v>
      </c>
      <c r="B322" s="9">
        <v>45642</v>
      </c>
      <c r="C322" s="9">
        <v>45650</v>
      </c>
      <c r="D322" t="s">
        <v>591</v>
      </c>
      <c r="E322" t="s">
        <v>592</v>
      </c>
      <c r="F322" t="s">
        <v>74</v>
      </c>
      <c r="G322" t="s">
        <v>126</v>
      </c>
      <c r="H322" t="s">
        <v>160</v>
      </c>
      <c r="I322" t="s">
        <v>161</v>
      </c>
      <c r="J322" t="s">
        <v>129</v>
      </c>
      <c r="K322" t="s">
        <v>79</v>
      </c>
      <c r="L322" t="s">
        <v>337</v>
      </c>
      <c r="M322" t="s">
        <v>338</v>
      </c>
      <c r="N322" t="s">
        <v>93</v>
      </c>
      <c r="O322" t="s">
        <v>236</v>
      </c>
      <c r="P322" s="8">
        <v>4</v>
      </c>
      <c r="Q322" s="10">
        <v>262.62</v>
      </c>
      <c r="R322" s="11">
        <v>0.03</v>
      </c>
      <c r="S322" s="10">
        <v>23.03</v>
      </c>
      <c r="T322" t="s">
        <v>134</v>
      </c>
      <c r="U322" t="s">
        <v>85</v>
      </c>
      <c r="V322" s="8">
        <v>5</v>
      </c>
      <c r="W322" t="s">
        <v>1270</v>
      </c>
      <c r="X322" t="str">
        <f>_xlfn.XLOOKUP(Cleaned_data[[#This Row],[Customer_ID]],Customers[S],Customers[Loyalty_Tier])</f>
        <v>Bronze</v>
      </c>
      <c r="Y322" s="9">
        <f>_xlfn.XLOOKUP(Cleaned_data[[#This Row],[Customer_ID]],Customers[S],Customers[Signup_Date])</f>
        <v>44938</v>
      </c>
      <c r="Z322" s="12">
        <f>_xlfn.XLOOKUP(Cleaned_data[[#This Row],[SKU]],Products[SKU],Products[Standard_Cost])</f>
        <v>146</v>
      </c>
      <c r="AA322" s="10">
        <f>Cleaned_data[[#This Row],[Quantity]]*Cleaned_data[[#This Row],[Unit_Price]]</f>
        <v>1050.48</v>
      </c>
      <c r="AB322" s="10">
        <f>Cleaned_data[[#This Row],[Unit_Price]]*Cleaned_data[[#This Row],[Discount_Pct]]</f>
        <v>7.8785999999999996</v>
      </c>
      <c r="AC322" s="10">
        <f>Cleaned_data[[#This Row],[Gross Sales]]-Cleaned_data[[#This Row],[Discount amount]]</f>
        <v>1042.6014</v>
      </c>
      <c r="AD322" s="10">
        <f>Cleaned_data[[#This Row],[Product Cost]]*Cleaned_data[[#This Row],[Quantity]]</f>
        <v>584</v>
      </c>
      <c r="AE322" s="10">
        <f>Cleaned_data[[#This Row],[Net Sales]]-Cleaned_data[[#This Row],[COGS]]</f>
        <v>458.60140000000001</v>
      </c>
      <c r="AF322" s="11">
        <f>Cleaned_data[[#This Row],[Gross Profit]]/Cleaned_data[[#This Row],[Net Sales]]</f>
        <v>0.43986263590284841</v>
      </c>
      <c r="AG322">
        <f>Cleaned_data[[#This Row],[Ship_Date]]-Cleaned_data[[#This Row],[Order_Date]]</f>
        <v>8</v>
      </c>
      <c r="AH322" t="str">
        <f>IF(Cleaned_data[[#This Row],[Delivery Days]]&gt;10,"late","on time")</f>
        <v>on time</v>
      </c>
      <c r="AI322" t="str">
        <f>TEXT(Cleaned_data[[#This Row],[Order_Date]],"mmmm")</f>
        <v>December</v>
      </c>
      <c r="AJ322" s="9" t="str">
        <f>"Q"&amp;ROUNDUP(MONTH(Cleaned_data[[#This Row],[Order_Date]])/3,0)</f>
        <v>Q4</v>
      </c>
    </row>
    <row r="323" spans="1:36">
      <c r="A323" t="s">
        <v>794</v>
      </c>
      <c r="B323" s="9">
        <v>45642</v>
      </c>
      <c r="C323" s="9">
        <v>45648</v>
      </c>
      <c r="D323" t="s">
        <v>136</v>
      </c>
      <c r="E323" t="s">
        <v>137</v>
      </c>
      <c r="F323" t="s">
        <v>74</v>
      </c>
      <c r="G323" t="s">
        <v>138</v>
      </c>
      <c r="H323" t="s">
        <v>139</v>
      </c>
      <c r="I323" t="s">
        <v>140</v>
      </c>
      <c r="J323" t="s">
        <v>78</v>
      </c>
      <c r="K323" t="s">
        <v>100</v>
      </c>
      <c r="L323" t="s">
        <v>110</v>
      </c>
      <c r="M323" t="s">
        <v>111</v>
      </c>
      <c r="N323" t="s">
        <v>82</v>
      </c>
      <c r="O323" t="s">
        <v>112</v>
      </c>
      <c r="P323" s="8">
        <v>7</v>
      </c>
      <c r="Q323" s="10">
        <v>309.39</v>
      </c>
      <c r="R323" s="11">
        <v>0</v>
      </c>
      <c r="S323" s="10">
        <v>10</v>
      </c>
      <c r="T323" t="s">
        <v>84</v>
      </c>
      <c r="U323" t="s">
        <v>85</v>
      </c>
      <c r="V323" s="8">
        <v>1</v>
      </c>
      <c r="W323" t="s">
        <v>1270</v>
      </c>
      <c r="X323" t="str">
        <f>_xlfn.XLOOKUP(Cleaned_data[[#This Row],[Customer_ID]],Customers[S],Customers[Loyalty_Tier])</f>
        <v>Silver</v>
      </c>
      <c r="Y323" s="9">
        <f>_xlfn.XLOOKUP(Cleaned_data[[#This Row],[Customer_ID]],Customers[S],Customers[Signup_Date])</f>
        <v>45236</v>
      </c>
      <c r="Z323" s="12">
        <f>_xlfn.XLOOKUP(Cleaned_data[[#This Row],[SKU]],Products[SKU],Products[Standard_Cost])</f>
        <v>165</v>
      </c>
      <c r="AA323" s="10">
        <f>Cleaned_data[[#This Row],[Quantity]]*Cleaned_data[[#This Row],[Unit_Price]]</f>
        <v>2165.73</v>
      </c>
      <c r="AB323" s="10">
        <f>Cleaned_data[[#This Row],[Unit_Price]]*Cleaned_data[[#This Row],[Discount_Pct]]</f>
        <v>0</v>
      </c>
      <c r="AC323" s="10">
        <f>Cleaned_data[[#This Row],[Gross Sales]]-Cleaned_data[[#This Row],[Discount amount]]</f>
        <v>2165.73</v>
      </c>
      <c r="AD323" s="10">
        <f>Cleaned_data[[#This Row],[Product Cost]]*Cleaned_data[[#This Row],[Quantity]]</f>
        <v>1155</v>
      </c>
      <c r="AE323" s="10">
        <f>Cleaned_data[[#This Row],[Net Sales]]-Cleaned_data[[#This Row],[COGS]]</f>
        <v>1010.73</v>
      </c>
      <c r="AF323" s="11">
        <f>Cleaned_data[[#This Row],[Gross Profit]]/Cleaned_data[[#This Row],[Net Sales]]</f>
        <v>0.46669252399883643</v>
      </c>
      <c r="AG323">
        <f>Cleaned_data[[#This Row],[Ship_Date]]-Cleaned_data[[#This Row],[Order_Date]]</f>
        <v>6</v>
      </c>
      <c r="AH323" t="str">
        <f>IF(Cleaned_data[[#This Row],[Delivery Days]]&gt;10,"late","on time")</f>
        <v>on time</v>
      </c>
      <c r="AI323" t="str">
        <f>TEXT(Cleaned_data[[#This Row],[Order_Date]],"mmmm")</f>
        <v>December</v>
      </c>
      <c r="AJ323" s="9" t="str">
        <f>"Q"&amp;ROUNDUP(MONTH(Cleaned_data[[#This Row],[Order_Date]])/3,0)</f>
        <v>Q4</v>
      </c>
    </row>
    <row r="324" spans="1:36">
      <c r="A324" t="s">
        <v>795</v>
      </c>
      <c r="B324" s="9">
        <v>45643</v>
      </c>
      <c r="C324" s="9">
        <v>45646</v>
      </c>
      <c r="D324" t="s">
        <v>396</v>
      </c>
      <c r="E324" t="s">
        <v>397</v>
      </c>
      <c r="F324" t="s">
        <v>152</v>
      </c>
      <c r="G324" t="s">
        <v>138</v>
      </c>
      <c r="H324" t="s">
        <v>186</v>
      </c>
      <c r="I324" t="s">
        <v>187</v>
      </c>
      <c r="J324" t="s">
        <v>109</v>
      </c>
      <c r="K324" t="s">
        <v>79</v>
      </c>
      <c r="L324" t="s">
        <v>118</v>
      </c>
      <c r="M324" t="s">
        <v>119</v>
      </c>
      <c r="N324" t="s">
        <v>120</v>
      </c>
      <c r="O324" t="s">
        <v>121</v>
      </c>
      <c r="P324" s="8">
        <v>4</v>
      </c>
      <c r="Q324" s="10">
        <v>285.79000000000002</v>
      </c>
      <c r="R324" s="11">
        <v>0.06</v>
      </c>
      <c r="S324" s="10">
        <v>5.04</v>
      </c>
      <c r="T324" t="s">
        <v>105</v>
      </c>
      <c r="U324" t="s">
        <v>85</v>
      </c>
      <c r="V324" s="8">
        <v>4</v>
      </c>
      <c r="W324" t="s">
        <v>1270</v>
      </c>
      <c r="X324" t="str">
        <f>_xlfn.XLOOKUP(Cleaned_data[[#This Row],[Customer_ID]],Customers[S],Customers[Loyalty_Tier])</f>
        <v>Gold</v>
      </c>
      <c r="Y324" s="9">
        <f>_xlfn.XLOOKUP(Cleaned_data[[#This Row],[Customer_ID]],Customers[S],Customers[Signup_Date])</f>
        <v>44818</v>
      </c>
      <c r="Z324" s="12">
        <f>_xlfn.XLOOKUP(Cleaned_data[[#This Row],[SKU]],Products[SKU],Products[Standard_Cost])</f>
        <v>168</v>
      </c>
      <c r="AA324" s="10">
        <f>Cleaned_data[[#This Row],[Quantity]]*Cleaned_data[[#This Row],[Unit_Price]]</f>
        <v>1143.1600000000001</v>
      </c>
      <c r="AB324" s="10">
        <f>Cleaned_data[[#This Row],[Unit_Price]]*Cleaned_data[[#This Row],[Discount_Pct]]</f>
        <v>17.147400000000001</v>
      </c>
      <c r="AC324" s="10">
        <f>Cleaned_data[[#This Row],[Gross Sales]]-Cleaned_data[[#This Row],[Discount amount]]</f>
        <v>1126.0126</v>
      </c>
      <c r="AD324" s="10">
        <f>Cleaned_data[[#This Row],[Product Cost]]*Cleaned_data[[#This Row],[Quantity]]</f>
        <v>672</v>
      </c>
      <c r="AE324" s="10">
        <f>Cleaned_data[[#This Row],[Net Sales]]-Cleaned_data[[#This Row],[COGS]]</f>
        <v>454.01260000000002</v>
      </c>
      <c r="AF324" s="11">
        <f>Cleaned_data[[#This Row],[Gross Profit]]/Cleaned_data[[#This Row],[Net Sales]]</f>
        <v>0.40320383626257822</v>
      </c>
      <c r="AG324">
        <f>Cleaned_data[[#This Row],[Ship_Date]]-Cleaned_data[[#This Row],[Order_Date]]</f>
        <v>3</v>
      </c>
      <c r="AH324" t="str">
        <f>IF(Cleaned_data[[#This Row],[Delivery Days]]&gt;10,"late","on time")</f>
        <v>on time</v>
      </c>
      <c r="AI324" t="str">
        <f>TEXT(Cleaned_data[[#This Row],[Order_Date]],"mmmm")</f>
        <v>December</v>
      </c>
      <c r="AJ324" s="9" t="str">
        <f>"Q"&amp;ROUNDUP(MONTH(Cleaned_data[[#This Row],[Order_Date]])/3,0)</f>
        <v>Q4</v>
      </c>
    </row>
    <row r="325" spans="1:36">
      <c r="A325" t="s">
        <v>796</v>
      </c>
      <c r="B325" s="9">
        <v>45644</v>
      </c>
      <c r="C325" s="9">
        <v>45653</v>
      </c>
      <c r="D325" t="s">
        <v>268</v>
      </c>
      <c r="E325" t="s">
        <v>269</v>
      </c>
      <c r="F325" t="s">
        <v>74</v>
      </c>
      <c r="G325" t="s">
        <v>75</v>
      </c>
      <c r="H325" t="s">
        <v>212</v>
      </c>
      <c r="I325" t="s">
        <v>213</v>
      </c>
      <c r="J325" t="s">
        <v>109</v>
      </c>
      <c r="K325" t="s">
        <v>147</v>
      </c>
      <c r="L325" t="s">
        <v>197</v>
      </c>
      <c r="M325" t="s">
        <v>198</v>
      </c>
      <c r="N325" t="s">
        <v>120</v>
      </c>
      <c r="O325" t="s">
        <v>121</v>
      </c>
      <c r="P325" s="8">
        <v>3</v>
      </c>
      <c r="Q325" s="10">
        <v>499.53</v>
      </c>
      <c r="R325" s="11">
        <v>0.01</v>
      </c>
      <c r="S325" s="10">
        <v>16.07</v>
      </c>
      <c r="T325" t="s">
        <v>134</v>
      </c>
      <c r="U325" t="s">
        <v>148</v>
      </c>
      <c r="W325" t="s">
        <v>1270</v>
      </c>
      <c r="X325" t="str">
        <f>_xlfn.XLOOKUP(Cleaned_data[[#This Row],[Customer_ID]],Customers[S],Customers[Loyalty_Tier])</f>
        <v>Bronze</v>
      </c>
      <c r="Y325" s="9">
        <f>_xlfn.XLOOKUP(Cleaned_data[[#This Row],[Customer_ID]],Customers[S],Customers[Signup_Date])</f>
        <v>44480</v>
      </c>
      <c r="Z325" s="12">
        <f>_xlfn.XLOOKUP(Cleaned_data[[#This Row],[SKU]],Products[SKU],Products[Standard_Cost])</f>
        <v>310</v>
      </c>
      <c r="AA325" s="10">
        <f>Cleaned_data[[#This Row],[Quantity]]*Cleaned_data[[#This Row],[Unit_Price]]</f>
        <v>1498.59</v>
      </c>
      <c r="AB325" s="10">
        <f>Cleaned_data[[#This Row],[Unit_Price]]*Cleaned_data[[#This Row],[Discount_Pct]]</f>
        <v>4.9952999999999994</v>
      </c>
      <c r="AC325" s="10">
        <f>Cleaned_data[[#This Row],[Gross Sales]]-Cleaned_data[[#This Row],[Discount amount]]</f>
        <v>1493.5946999999999</v>
      </c>
      <c r="AD325" s="10">
        <f>Cleaned_data[[#This Row],[Product Cost]]*Cleaned_data[[#This Row],[Quantity]]</f>
        <v>930</v>
      </c>
      <c r="AE325" s="10">
        <f>Cleaned_data[[#This Row],[Net Sales]]-Cleaned_data[[#This Row],[COGS]]</f>
        <v>563.59469999999988</v>
      </c>
      <c r="AF325" s="11">
        <f>Cleaned_data[[#This Row],[Gross Profit]]/Cleaned_data[[#This Row],[Net Sales]]</f>
        <v>0.37734112205941805</v>
      </c>
      <c r="AG325">
        <f>Cleaned_data[[#This Row],[Ship_Date]]-Cleaned_data[[#This Row],[Order_Date]]</f>
        <v>9</v>
      </c>
      <c r="AH325" t="str">
        <f>IF(Cleaned_data[[#This Row],[Delivery Days]]&gt;10,"late","on time")</f>
        <v>on time</v>
      </c>
      <c r="AI325" t="str">
        <f>TEXT(Cleaned_data[[#This Row],[Order_Date]],"mmmm")</f>
        <v>December</v>
      </c>
      <c r="AJ325" s="9" t="str">
        <f>"Q"&amp;ROUNDUP(MONTH(Cleaned_data[[#This Row],[Order_Date]])/3,0)</f>
        <v>Q4</v>
      </c>
    </row>
    <row r="326" spans="1:36">
      <c r="A326" t="s">
        <v>797</v>
      </c>
      <c r="B326" s="9">
        <v>45644</v>
      </c>
      <c r="C326" s="9">
        <v>45653</v>
      </c>
      <c r="D326" t="s">
        <v>497</v>
      </c>
      <c r="E326" t="s">
        <v>498</v>
      </c>
      <c r="F326" t="s">
        <v>89</v>
      </c>
      <c r="G326" t="s">
        <v>126</v>
      </c>
      <c r="H326" t="s">
        <v>291</v>
      </c>
      <c r="I326" t="s">
        <v>292</v>
      </c>
      <c r="J326" t="s">
        <v>129</v>
      </c>
      <c r="K326" t="s">
        <v>147</v>
      </c>
      <c r="L326" t="s">
        <v>214</v>
      </c>
      <c r="M326" t="s">
        <v>215</v>
      </c>
      <c r="N326" t="s">
        <v>103</v>
      </c>
      <c r="O326" t="s">
        <v>171</v>
      </c>
      <c r="P326" s="8">
        <v>7</v>
      </c>
      <c r="Q326" s="10">
        <v>12.49</v>
      </c>
      <c r="R326" s="11">
        <v>0.08</v>
      </c>
      <c r="S326" s="10">
        <v>12.65</v>
      </c>
      <c r="T326" t="s">
        <v>84</v>
      </c>
      <c r="U326" t="s">
        <v>85</v>
      </c>
      <c r="W326" t="s">
        <v>1270</v>
      </c>
      <c r="X326" t="str">
        <f>_xlfn.XLOOKUP(Cleaned_data[[#This Row],[Customer_ID]],Customers[S],Customers[Loyalty_Tier])</f>
        <v>Bronze</v>
      </c>
      <c r="Y326" s="9">
        <f>_xlfn.XLOOKUP(Cleaned_data[[#This Row],[Customer_ID]],Customers[S],Customers[Signup_Date])</f>
        <v>45384</v>
      </c>
      <c r="Z326" s="12">
        <f>_xlfn.XLOOKUP(Cleaned_data[[#This Row],[SKU]],Products[SKU],Products[Standard_Cost])</f>
        <v>5</v>
      </c>
      <c r="AA326" s="10">
        <f>Cleaned_data[[#This Row],[Quantity]]*Cleaned_data[[#This Row],[Unit_Price]]</f>
        <v>87.43</v>
      </c>
      <c r="AB326" s="10">
        <f>Cleaned_data[[#This Row],[Unit_Price]]*Cleaned_data[[#This Row],[Discount_Pct]]</f>
        <v>0.99920000000000009</v>
      </c>
      <c r="AC326" s="10">
        <f>Cleaned_data[[#This Row],[Gross Sales]]-Cleaned_data[[#This Row],[Discount amount]]</f>
        <v>86.430800000000005</v>
      </c>
      <c r="AD326" s="10">
        <f>Cleaned_data[[#This Row],[Product Cost]]*Cleaned_data[[#This Row],[Quantity]]</f>
        <v>35</v>
      </c>
      <c r="AE326" s="10">
        <f>Cleaned_data[[#This Row],[Net Sales]]-Cleaned_data[[#This Row],[COGS]]</f>
        <v>51.430800000000005</v>
      </c>
      <c r="AF326" s="11">
        <f>Cleaned_data[[#This Row],[Gross Profit]]/Cleaned_data[[#This Row],[Net Sales]]</f>
        <v>0.5950517639545162</v>
      </c>
      <c r="AG326">
        <f>Cleaned_data[[#This Row],[Ship_Date]]-Cleaned_data[[#This Row],[Order_Date]]</f>
        <v>9</v>
      </c>
      <c r="AH326" t="str">
        <f>IF(Cleaned_data[[#This Row],[Delivery Days]]&gt;10,"late","on time")</f>
        <v>on time</v>
      </c>
      <c r="AI326" t="str">
        <f>TEXT(Cleaned_data[[#This Row],[Order_Date]],"mmmm")</f>
        <v>December</v>
      </c>
      <c r="AJ326" s="9" t="str">
        <f>"Q"&amp;ROUNDUP(MONTH(Cleaned_data[[#This Row],[Order_Date]])/3,0)</f>
        <v>Q4</v>
      </c>
    </row>
    <row r="327" spans="1:36">
      <c r="A327" t="s">
        <v>798</v>
      </c>
      <c r="B327" s="9">
        <v>45647</v>
      </c>
      <c r="C327" s="9">
        <v>45652</v>
      </c>
      <c r="D327" t="s">
        <v>601</v>
      </c>
      <c r="E327" t="s">
        <v>351</v>
      </c>
      <c r="F327" t="s">
        <v>74</v>
      </c>
      <c r="G327" t="s">
        <v>194</v>
      </c>
      <c r="H327" t="s">
        <v>240</v>
      </c>
      <c r="I327" t="s">
        <v>241</v>
      </c>
      <c r="J327" t="s">
        <v>109</v>
      </c>
      <c r="K327" t="s">
        <v>130</v>
      </c>
      <c r="L327" t="s">
        <v>359</v>
      </c>
      <c r="M327" t="s">
        <v>360</v>
      </c>
      <c r="N327" t="s">
        <v>93</v>
      </c>
      <c r="O327" t="s">
        <v>94</v>
      </c>
      <c r="P327" s="8">
        <v>1</v>
      </c>
      <c r="Q327" s="10">
        <v>475.76</v>
      </c>
      <c r="R327" s="11">
        <v>0.01</v>
      </c>
      <c r="S327" s="10">
        <v>25.58</v>
      </c>
      <c r="T327" t="s">
        <v>122</v>
      </c>
      <c r="U327" t="s">
        <v>85</v>
      </c>
      <c r="W327" t="s">
        <v>1270</v>
      </c>
      <c r="X327" t="str">
        <f>_xlfn.XLOOKUP(Cleaned_data[[#This Row],[Customer_ID]],Customers[S],Customers[Loyalty_Tier])</f>
        <v>Platinum</v>
      </c>
      <c r="Y327" s="9">
        <f>_xlfn.XLOOKUP(Cleaned_data[[#This Row],[Customer_ID]],Customers[S],Customers[Signup_Date])</f>
        <v>45567</v>
      </c>
      <c r="Z327" s="12">
        <f>_xlfn.XLOOKUP(Cleaned_data[[#This Row],[SKU]],Products[SKU],Products[Standard_Cost])</f>
        <v>265</v>
      </c>
      <c r="AA327" s="10">
        <f>Cleaned_data[[#This Row],[Quantity]]*Cleaned_data[[#This Row],[Unit_Price]]</f>
        <v>475.76</v>
      </c>
      <c r="AB327" s="10">
        <f>Cleaned_data[[#This Row],[Unit_Price]]*Cleaned_data[[#This Row],[Discount_Pct]]</f>
        <v>4.7576000000000001</v>
      </c>
      <c r="AC327" s="10">
        <f>Cleaned_data[[#This Row],[Gross Sales]]-Cleaned_data[[#This Row],[Discount amount]]</f>
        <v>471.00239999999997</v>
      </c>
      <c r="AD327" s="10">
        <f>Cleaned_data[[#This Row],[Product Cost]]*Cleaned_data[[#This Row],[Quantity]]</f>
        <v>265</v>
      </c>
      <c r="AE327" s="10">
        <f>Cleaned_data[[#This Row],[Net Sales]]-Cleaned_data[[#This Row],[COGS]]</f>
        <v>206.00239999999997</v>
      </c>
      <c r="AF327" s="11">
        <f>Cleaned_data[[#This Row],[Gross Profit]]/Cleaned_data[[#This Row],[Net Sales]]</f>
        <v>0.43737017051293153</v>
      </c>
      <c r="AG327">
        <f>Cleaned_data[[#This Row],[Ship_Date]]-Cleaned_data[[#This Row],[Order_Date]]</f>
        <v>5</v>
      </c>
      <c r="AH327" t="str">
        <f>IF(Cleaned_data[[#This Row],[Delivery Days]]&gt;10,"late","on time")</f>
        <v>on time</v>
      </c>
      <c r="AI327" t="str">
        <f>TEXT(Cleaned_data[[#This Row],[Order_Date]],"mmmm")</f>
        <v>December</v>
      </c>
      <c r="AJ327" s="9" t="str">
        <f>"Q"&amp;ROUNDUP(MONTH(Cleaned_data[[#This Row],[Order_Date]])/3,0)</f>
        <v>Q4</v>
      </c>
    </row>
    <row r="328" spans="1:36">
      <c r="A328" t="s">
        <v>799</v>
      </c>
      <c r="B328" s="9">
        <v>45647</v>
      </c>
      <c r="C328" s="9">
        <v>45651</v>
      </c>
      <c r="D328" t="s">
        <v>384</v>
      </c>
      <c r="E328" t="s">
        <v>385</v>
      </c>
      <c r="F328" t="s">
        <v>74</v>
      </c>
      <c r="G328" t="s">
        <v>126</v>
      </c>
      <c r="H328" t="s">
        <v>291</v>
      </c>
      <c r="I328" t="s">
        <v>292</v>
      </c>
      <c r="J328" t="s">
        <v>109</v>
      </c>
      <c r="K328" t="s">
        <v>90</v>
      </c>
      <c r="L328" t="s">
        <v>254</v>
      </c>
      <c r="M328" t="s">
        <v>255</v>
      </c>
      <c r="N328" t="s">
        <v>82</v>
      </c>
      <c r="O328" t="s">
        <v>83</v>
      </c>
      <c r="P328" s="8">
        <v>8</v>
      </c>
      <c r="Q328" s="10">
        <v>91.52</v>
      </c>
      <c r="R328" s="11">
        <v>0.09</v>
      </c>
      <c r="S328" s="10">
        <v>7.51</v>
      </c>
      <c r="T328" t="s">
        <v>105</v>
      </c>
      <c r="U328" t="s">
        <v>85</v>
      </c>
      <c r="V328" s="8">
        <v>1</v>
      </c>
      <c r="W328" t="s">
        <v>1270</v>
      </c>
      <c r="X328" t="str">
        <f>_xlfn.XLOOKUP(Cleaned_data[[#This Row],[Customer_ID]],Customers[S],Customers[Loyalty_Tier])</f>
        <v>Silver</v>
      </c>
      <c r="Y328" s="9">
        <f>_xlfn.XLOOKUP(Cleaned_data[[#This Row],[Customer_ID]],Customers[S],Customers[Signup_Date])</f>
        <v>45870</v>
      </c>
      <c r="Z328" s="12">
        <f>_xlfn.XLOOKUP(Cleaned_data[[#This Row],[SKU]],Products[SKU],Products[Standard_Cost])</f>
        <v>48</v>
      </c>
      <c r="AA328" s="10">
        <f>Cleaned_data[[#This Row],[Quantity]]*Cleaned_data[[#This Row],[Unit_Price]]</f>
        <v>732.16</v>
      </c>
      <c r="AB328" s="10">
        <f>Cleaned_data[[#This Row],[Unit_Price]]*Cleaned_data[[#This Row],[Discount_Pct]]</f>
        <v>8.2367999999999988</v>
      </c>
      <c r="AC328" s="10">
        <f>Cleaned_data[[#This Row],[Gross Sales]]-Cleaned_data[[#This Row],[Discount amount]]</f>
        <v>723.92319999999995</v>
      </c>
      <c r="AD328" s="10">
        <f>Cleaned_data[[#This Row],[Product Cost]]*Cleaned_data[[#This Row],[Quantity]]</f>
        <v>384</v>
      </c>
      <c r="AE328" s="10">
        <f>Cleaned_data[[#This Row],[Net Sales]]-Cleaned_data[[#This Row],[COGS]]</f>
        <v>339.92319999999995</v>
      </c>
      <c r="AF328" s="11">
        <f>Cleaned_data[[#This Row],[Gross Profit]]/Cleaned_data[[#This Row],[Net Sales]]</f>
        <v>0.46955699168088544</v>
      </c>
      <c r="AG328">
        <f>Cleaned_data[[#This Row],[Ship_Date]]-Cleaned_data[[#This Row],[Order_Date]]</f>
        <v>4</v>
      </c>
      <c r="AH328" t="str">
        <f>IF(Cleaned_data[[#This Row],[Delivery Days]]&gt;10,"late","on time")</f>
        <v>on time</v>
      </c>
      <c r="AI328" t="str">
        <f>TEXT(Cleaned_data[[#This Row],[Order_Date]],"mmmm")</f>
        <v>December</v>
      </c>
      <c r="AJ328" s="9" t="str">
        <f>"Q"&amp;ROUNDUP(MONTH(Cleaned_data[[#This Row],[Order_Date]])/3,0)</f>
        <v>Q4</v>
      </c>
    </row>
    <row r="329" spans="1:36">
      <c r="A329" t="s">
        <v>800</v>
      </c>
      <c r="B329" s="9">
        <v>45647</v>
      </c>
      <c r="C329" s="9">
        <v>45654</v>
      </c>
      <c r="D329" t="s">
        <v>500</v>
      </c>
      <c r="E329" t="s">
        <v>501</v>
      </c>
      <c r="F329" t="s">
        <v>152</v>
      </c>
      <c r="G329" t="s">
        <v>194</v>
      </c>
      <c r="H329" t="s">
        <v>202</v>
      </c>
      <c r="I329" t="s">
        <v>203</v>
      </c>
      <c r="J329" t="s">
        <v>109</v>
      </c>
      <c r="K329" t="s">
        <v>90</v>
      </c>
      <c r="L329" t="s">
        <v>220</v>
      </c>
      <c r="M329" t="s">
        <v>221</v>
      </c>
      <c r="N329" t="s">
        <v>93</v>
      </c>
      <c r="O329" t="s">
        <v>177</v>
      </c>
      <c r="P329" s="8">
        <v>3</v>
      </c>
      <c r="Q329" s="10">
        <v>226.35</v>
      </c>
      <c r="R329" s="11">
        <v>0.02</v>
      </c>
      <c r="S329" s="10">
        <v>23.12</v>
      </c>
      <c r="T329" t="s">
        <v>134</v>
      </c>
      <c r="U329" t="s">
        <v>85</v>
      </c>
      <c r="V329" s="8">
        <v>5</v>
      </c>
      <c r="W329" t="s">
        <v>1270</v>
      </c>
      <c r="X329" t="str">
        <f>_xlfn.XLOOKUP(Cleaned_data[[#This Row],[Customer_ID]],Customers[S],Customers[Loyalty_Tier])</f>
        <v>Gold</v>
      </c>
      <c r="Y329" s="9">
        <f>_xlfn.XLOOKUP(Cleaned_data[[#This Row],[Customer_ID]],Customers[S],Customers[Signup_Date])</f>
        <v>44897</v>
      </c>
      <c r="Z329" s="12">
        <f>_xlfn.XLOOKUP(Cleaned_data[[#This Row],[SKU]],Products[SKU],Products[Standard_Cost])</f>
        <v>118</v>
      </c>
      <c r="AA329" s="10">
        <f>Cleaned_data[[#This Row],[Quantity]]*Cleaned_data[[#This Row],[Unit_Price]]</f>
        <v>679.05</v>
      </c>
      <c r="AB329" s="10">
        <f>Cleaned_data[[#This Row],[Unit_Price]]*Cleaned_data[[#This Row],[Discount_Pct]]</f>
        <v>4.5270000000000001</v>
      </c>
      <c r="AC329" s="10">
        <f>Cleaned_data[[#This Row],[Gross Sales]]-Cleaned_data[[#This Row],[Discount amount]]</f>
        <v>674.52299999999991</v>
      </c>
      <c r="AD329" s="10">
        <f>Cleaned_data[[#This Row],[Product Cost]]*Cleaned_data[[#This Row],[Quantity]]</f>
        <v>354</v>
      </c>
      <c r="AE329" s="10">
        <f>Cleaned_data[[#This Row],[Net Sales]]-Cleaned_data[[#This Row],[COGS]]</f>
        <v>320.52299999999991</v>
      </c>
      <c r="AF329" s="11">
        <f>Cleaned_data[[#This Row],[Gross Profit]]/Cleaned_data[[#This Row],[Net Sales]]</f>
        <v>0.47518468606704284</v>
      </c>
      <c r="AG329">
        <f>Cleaned_data[[#This Row],[Ship_Date]]-Cleaned_data[[#This Row],[Order_Date]]</f>
        <v>7</v>
      </c>
      <c r="AH329" t="str">
        <f>IF(Cleaned_data[[#This Row],[Delivery Days]]&gt;10,"late","on time")</f>
        <v>on time</v>
      </c>
      <c r="AI329" t="str">
        <f>TEXT(Cleaned_data[[#This Row],[Order_Date]],"mmmm")</f>
        <v>December</v>
      </c>
      <c r="AJ329" s="9" t="str">
        <f>"Q"&amp;ROUNDUP(MONTH(Cleaned_data[[#This Row],[Order_Date]])/3,0)</f>
        <v>Q4</v>
      </c>
    </row>
    <row r="330" spans="1:36">
      <c r="A330" t="s">
        <v>801</v>
      </c>
      <c r="B330" s="9">
        <v>45648</v>
      </c>
      <c r="C330" s="9">
        <v>45651</v>
      </c>
      <c r="D330" t="s">
        <v>297</v>
      </c>
      <c r="E330" t="s">
        <v>298</v>
      </c>
      <c r="F330" t="s">
        <v>74</v>
      </c>
      <c r="G330" t="s">
        <v>126</v>
      </c>
      <c r="H330" t="s">
        <v>291</v>
      </c>
      <c r="I330" t="s">
        <v>292</v>
      </c>
      <c r="J330" t="s">
        <v>129</v>
      </c>
      <c r="K330" t="s">
        <v>79</v>
      </c>
      <c r="L330" t="s">
        <v>234</v>
      </c>
      <c r="M330" t="s">
        <v>235</v>
      </c>
      <c r="N330" t="s">
        <v>93</v>
      </c>
      <c r="O330" t="s">
        <v>236</v>
      </c>
      <c r="P330" s="8">
        <v>4</v>
      </c>
      <c r="Q330" s="10">
        <v>153.41999999999999</v>
      </c>
      <c r="R330" s="11">
        <v>7.0000000000000007E-2</v>
      </c>
      <c r="S330" s="10">
        <v>20.34</v>
      </c>
      <c r="T330" t="s">
        <v>105</v>
      </c>
      <c r="U330" t="s">
        <v>85</v>
      </c>
      <c r="W330" t="s">
        <v>1270</v>
      </c>
      <c r="X330" t="str">
        <f>_xlfn.XLOOKUP(Cleaned_data[[#This Row],[Customer_ID]],Customers[S],Customers[Loyalty_Tier])</f>
        <v>Bronze</v>
      </c>
      <c r="Y330" s="9">
        <f>_xlfn.XLOOKUP(Cleaned_data[[#This Row],[Customer_ID]],Customers[S],Customers[Signup_Date])</f>
        <v>44911</v>
      </c>
      <c r="Z330" s="12">
        <f>_xlfn.XLOOKUP(Cleaned_data[[#This Row],[SKU]],Products[SKU],Products[Standard_Cost])</f>
        <v>82</v>
      </c>
      <c r="AA330" s="10">
        <f>Cleaned_data[[#This Row],[Quantity]]*Cleaned_data[[#This Row],[Unit_Price]]</f>
        <v>613.67999999999995</v>
      </c>
      <c r="AB330" s="10">
        <f>Cleaned_data[[#This Row],[Unit_Price]]*Cleaned_data[[#This Row],[Discount_Pct]]</f>
        <v>10.7394</v>
      </c>
      <c r="AC330" s="10">
        <f>Cleaned_data[[#This Row],[Gross Sales]]-Cleaned_data[[#This Row],[Discount amount]]</f>
        <v>602.9405999999999</v>
      </c>
      <c r="AD330" s="10">
        <f>Cleaned_data[[#This Row],[Product Cost]]*Cleaned_data[[#This Row],[Quantity]]</f>
        <v>328</v>
      </c>
      <c r="AE330" s="10">
        <f>Cleaned_data[[#This Row],[Net Sales]]-Cleaned_data[[#This Row],[COGS]]</f>
        <v>274.9405999999999</v>
      </c>
      <c r="AF330" s="11">
        <f>Cleaned_data[[#This Row],[Gross Profit]]/Cleaned_data[[#This Row],[Net Sales]]</f>
        <v>0.45599947988242945</v>
      </c>
      <c r="AG330">
        <f>Cleaned_data[[#This Row],[Ship_Date]]-Cleaned_data[[#This Row],[Order_Date]]</f>
        <v>3</v>
      </c>
      <c r="AH330" t="str">
        <f>IF(Cleaned_data[[#This Row],[Delivery Days]]&gt;10,"late","on time")</f>
        <v>on time</v>
      </c>
      <c r="AI330" t="str">
        <f>TEXT(Cleaned_data[[#This Row],[Order_Date]],"mmmm")</f>
        <v>December</v>
      </c>
      <c r="AJ330" s="9" t="str">
        <f>"Q"&amp;ROUNDUP(MONTH(Cleaned_data[[#This Row],[Order_Date]])/3,0)</f>
        <v>Q4</v>
      </c>
    </row>
    <row r="331" spans="1:36">
      <c r="A331" t="s">
        <v>802</v>
      </c>
      <c r="B331" s="9">
        <v>45648</v>
      </c>
      <c r="C331" s="9">
        <v>45651</v>
      </c>
      <c r="D331" t="s">
        <v>145</v>
      </c>
      <c r="E331" t="s">
        <v>146</v>
      </c>
      <c r="F331" t="s">
        <v>74</v>
      </c>
      <c r="G331" t="s">
        <v>75</v>
      </c>
      <c r="H331" t="s">
        <v>116</v>
      </c>
      <c r="I331" t="s">
        <v>117</v>
      </c>
      <c r="J331" t="s">
        <v>78</v>
      </c>
      <c r="K331" t="s">
        <v>100</v>
      </c>
      <c r="L331" t="s">
        <v>80</v>
      </c>
      <c r="M331" t="s">
        <v>81</v>
      </c>
      <c r="N331" t="s">
        <v>82</v>
      </c>
      <c r="O331" t="s">
        <v>83</v>
      </c>
      <c r="P331" s="8">
        <v>1</v>
      </c>
      <c r="Q331" s="10">
        <v>228.85</v>
      </c>
      <c r="R331" s="11">
        <v>0.09</v>
      </c>
      <c r="S331" s="10">
        <v>11.24</v>
      </c>
      <c r="T331" t="s">
        <v>105</v>
      </c>
      <c r="U331" t="s">
        <v>85</v>
      </c>
      <c r="V331" s="8">
        <v>1</v>
      </c>
      <c r="W331" t="s">
        <v>1270</v>
      </c>
      <c r="X331" t="str">
        <f>_xlfn.XLOOKUP(Cleaned_data[[#This Row],[Customer_ID]],Customers[S],Customers[Loyalty_Tier])</f>
        <v>Platinum</v>
      </c>
      <c r="Y331" s="9">
        <f>_xlfn.XLOOKUP(Cleaned_data[[#This Row],[Customer_ID]],Customers[S],Customers[Signup_Date])</f>
        <v>44668</v>
      </c>
      <c r="Z331" s="12">
        <f>_xlfn.XLOOKUP(Cleaned_data[[#This Row],[SKU]],Products[SKU],Products[Standard_Cost])</f>
        <v>125</v>
      </c>
      <c r="AA331" s="10">
        <f>Cleaned_data[[#This Row],[Quantity]]*Cleaned_data[[#This Row],[Unit_Price]]</f>
        <v>228.85</v>
      </c>
      <c r="AB331" s="10">
        <f>Cleaned_data[[#This Row],[Unit_Price]]*Cleaned_data[[#This Row],[Discount_Pct]]</f>
        <v>20.596499999999999</v>
      </c>
      <c r="AC331" s="10">
        <f>Cleaned_data[[#This Row],[Gross Sales]]-Cleaned_data[[#This Row],[Discount amount]]</f>
        <v>208.2535</v>
      </c>
      <c r="AD331" s="10">
        <f>Cleaned_data[[#This Row],[Product Cost]]*Cleaned_data[[#This Row],[Quantity]]</f>
        <v>125</v>
      </c>
      <c r="AE331" s="10">
        <f>Cleaned_data[[#This Row],[Net Sales]]-Cleaned_data[[#This Row],[COGS]]</f>
        <v>83.253500000000003</v>
      </c>
      <c r="AF331" s="11">
        <f>Cleaned_data[[#This Row],[Gross Profit]]/Cleaned_data[[#This Row],[Net Sales]]</f>
        <v>0.39976999186088108</v>
      </c>
      <c r="AG331">
        <f>Cleaned_data[[#This Row],[Ship_Date]]-Cleaned_data[[#This Row],[Order_Date]]</f>
        <v>3</v>
      </c>
      <c r="AH331" t="str">
        <f>IF(Cleaned_data[[#This Row],[Delivery Days]]&gt;10,"late","on time")</f>
        <v>on time</v>
      </c>
      <c r="AI331" t="str">
        <f>TEXT(Cleaned_data[[#This Row],[Order_Date]],"mmmm")</f>
        <v>December</v>
      </c>
      <c r="AJ331" s="9" t="str">
        <f>"Q"&amp;ROUNDUP(MONTH(Cleaned_data[[#This Row],[Order_Date]])/3,0)</f>
        <v>Q4</v>
      </c>
    </row>
    <row r="332" spans="1:36">
      <c r="A332" t="s">
        <v>803</v>
      </c>
      <c r="B332" s="9">
        <v>45648</v>
      </c>
      <c r="C332" s="9">
        <v>45654</v>
      </c>
      <c r="D332" t="s">
        <v>325</v>
      </c>
      <c r="E332" t="s">
        <v>326</v>
      </c>
      <c r="F332" t="s">
        <v>74</v>
      </c>
      <c r="G332" t="s">
        <v>75</v>
      </c>
      <c r="H332" t="s">
        <v>273</v>
      </c>
      <c r="I332" t="s">
        <v>274</v>
      </c>
      <c r="J332" t="s">
        <v>219</v>
      </c>
      <c r="K332" t="s">
        <v>168</v>
      </c>
      <c r="L332" t="s">
        <v>249</v>
      </c>
      <c r="M332" t="s">
        <v>250</v>
      </c>
      <c r="N332" t="s">
        <v>103</v>
      </c>
      <c r="O332" t="s">
        <v>251</v>
      </c>
      <c r="P332" s="8">
        <v>5</v>
      </c>
      <c r="Q332" s="10">
        <v>21.87</v>
      </c>
      <c r="R332" s="11">
        <v>7.0000000000000007E-2</v>
      </c>
      <c r="S332" s="10">
        <v>9.56</v>
      </c>
      <c r="T332" t="s">
        <v>105</v>
      </c>
      <c r="U332" t="s">
        <v>85</v>
      </c>
      <c r="V332" s="8">
        <v>3</v>
      </c>
      <c r="W332" t="s">
        <v>1270</v>
      </c>
      <c r="X332" t="str">
        <f>_xlfn.XLOOKUP(Cleaned_data[[#This Row],[Customer_ID]],Customers[S],Customers[Loyalty_Tier])</f>
        <v>Bronze</v>
      </c>
      <c r="Y332" s="9">
        <f>_xlfn.XLOOKUP(Cleaned_data[[#This Row],[Customer_ID]],Customers[S],Customers[Signup_Date])</f>
        <v>44795</v>
      </c>
      <c r="Z332" s="12">
        <f>_xlfn.XLOOKUP(Cleaned_data[[#This Row],[SKU]],Products[SKU],Products[Standard_Cost])</f>
        <v>10</v>
      </c>
      <c r="AA332" s="10">
        <f>Cleaned_data[[#This Row],[Quantity]]*Cleaned_data[[#This Row],[Unit_Price]]</f>
        <v>109.35000000000001</v>
      </c>
      <c r="AB332" s="10">
        <f>Cleaned_data[[#This Row],[Unit_Price]]*Cleaned_data[[#This Row],[Discount_Pct]]</f>
        <v>1.5309000000000001</v>
      </c>
      <c r="AC332" s="10">
        <f>Cleaned_data[[#This Row],[Gross Sales]]-Cleaned_data[[#This Row],[Discount amount]]</f>
        <v>107.81910000000001</v>
      </c>
      <c r="AD332" s="10">
        <f>Cleaned_data[[#This Row],[Product Cost]]*Cleaned_data[[#This Row],[Quantity]]</f>
        <v>50</v>
      </c>
      <c r="AE332" s="10">
        <f>Cleaned_data[[#This Row],[Net Sales]]-Cleaned_data[[#This Row],[COGS]]</f>
        <v>57.819100000000006</v>
      </c>
      <c r="AF332" s="11">
        <f>Cleaned_data[[#This Row],[Gross Profit]]/Cleaned_data[[#This Row],[Net Sales]]</f>
        <v>0.53626027299430257</v>
      </c>
      <c r="AG332">
        <f>Cleaned_data[[#This Row],[Ship_Date]]-Cleaned_data[[#This Row],[Order_Date]]</f>
        <v>6</v>
      </c>
      <c r="AH332" t="str">
        <f>IF(Cleaned_data[[#This Row],[Delivery Days]]&gt;10,"late","on time")</f>
        <v>on time</v>
      </c>
      <c r="AI332" t="str">
        <f>TEXT(Cleaned_data[[#This Row],[Order_Date]],"mmmm")</f>
        <v>December</v>
      </c>
      <c r="AJ332" s="9" t="str">
        <f>"Q"&amp;ROUNDUP(MONTH(Cleaned_data[[#This Row],[Order_Date]])/3,0)</f>
        <v>Q4</v>
      </c>
    </row>
    <row r="333" spans="1:36">
      <c r="A333" t="s">
        <v>804</v>
      </c>
      <c r="B333" s="9">
        <v>45648</v>
      </c>
      <c r="C333" s="9">
        <v>45652</v>
      </c>
      <c r="D333" t="s">
        <v>332</v>
      </c>
      <c r="E333" t="s">
        <v>333</v>
      </c>
      <c r="F333" t="s">
        <v>74</v>
      </c>
      <c r="G333" t="s">
        <v>126</v>
      </c>
      <c r="H333" t="s">
        <v>127</v>
      </c>
      <c r="I333" t="s">
        <v>128</v>
      </c>
      <c r="J333" t="s">
        <v>109</v>
      </c>
      <c r="K333" t="s">
        <v>147</v>
      </c>
      <c r="L333" t="s">
        <v>431</v>
      </c>
      <c r="M333" t="s">
        <v>432</v>
      </c>
      <c r="N333" t="s">
        <v>103</v>
      </c>
      <c r="O333" t="s">
        <v>251</v>
      </c>
      <c r="P333" s="8">
        <v>4</v>
      </c>
      <c r="Q333" s="10">
        <v>37.83</v>
      </c>
      <c r="R333" s="11">
        <v>7.0000000000000007E-2</v>
      </c>
      <c r="S333" s="10">
        <v>13</v>
      </c>
      <c r="T333" t="s">
        <v>84</v>
      </c>
      <c r="U333" t="s">
        <v>85</v>
      </c>
      <c r="V333" s="8">
        <v>1</v>
      </c>
      <c r="W333" t="s">
        <v>1270</v>
      </c>
      <c r="X333" t="str">
        <f>_xlfn.XLOOKUP(Cleaned_data[[#This Row],[Customer_ID]],Customers[S],Customers[Loyalty_Tier])</f>
        <v>Silver</v>
      </c>
      <c r="Y333" s="9">
        <f>_xlfn.XLOOKUP(Cleaned_data[[#This Row],[Customer_ID]],Customers[S],Customers[Signup_Date])</f>
        <v>45373</v>
      </c>
      <c r="Z333" s="12">
        <f>_xlfn.XLOOKUP(Cleaned_data[[#This Row],[SKU]],Products[SKU],Products[Standard_Cost])</f>
        <v>20</v>
      </c>
      <c r="AA333" s="10">
        <f>Cleaned_data[[#This Row],[Quantity]]*Cleaned_data[[#This Row],[Unit_Price]]</f>
        <v>151.32</v>
      </c>
      <c r="AB333" s="10">
        <f>Cleaned_data[[#This Row],[Unit_Price]]*Cleaned_data[[#This Row],[Discount_Pct]]</f>
        <v>2.6481000000000003</v>
      </c>
      <c r="AC333" s="10">
        <f>Cleaned_data[[#This Row],[Gross Sales]]-Cleaned_data[[#This Row],[Discount amount]]</f>
        <v>148.67189999999999</v>
      </c>
      <c r="AD333" s="10">
        <f>Cleaned_data[[#This Row],[Product Cost]]*Cleaned_data[[#This Row],[Quantity]]</f>
        <v>80</v>
      </c>
      <c r="AE333" s="10">
        <f>Cleaned_data[[#This Row],[Net Sales]]-Cleaned_data[[#This Row],[COGS]]</f>
        <v>68.671899999999994</v>
      </c>
      <c r="AF333" s="11">
        <f>Cleaned_data[[#This Row],[Gross Profit]]/Cleaned_data[[#This Row],[Net Sales]]</f>
        <v>0.46190235007422381</v>
      </c>
      <c r="AG333">
        <f>Cleaned_data[[#This Row],[Ship_Date]]-Cleaned_data[[#This Row],[Order_Date]]</f>
        <v>4</v>
      </c>
      <c r="AH333" t="str">
        <f>IF(Cleaned_data[[#This Row],[Delivery Days]]&gt;10,"late","on time")</f>
        <v>on time</v>
      </c>
      <c r="AI333" t="str">
        <f>TEXT(Cleaned_data[[#This Row],[Order_Date]],"mmmm")</f>
        <v>December</v>
      </c>
      <c r="AJ333" s="9" t="str">
        <f>"Q"&amp;ROUNDUP(MONTH(Cleaned_data[[#This Row],[Order_Date]])/3,0)</f>
        <v>Q4</v>
      </c>
    </row>
    <row r="334" spans="1:36">
      <c r="A334" t="s">
        <v>805</v>
      </c>
      <c r="B334" s="9">
        <v>45649</v>
      </c>
      <c r="C334" s="9">
        <v>45658</v>
      </c>
      <c r="D334" t="s">
        <v>438</v>
      </c>
      <c r="E334" t="s">
        <v>439</v>
      </c>
      <c r="F334" t="s">
        <v>152</v>
      </c>
      <c r="G334" t="s">
        <v>194</v>
      </c>
      <c r="H334" t="s">
        <v>240</v>
      </c>
      <c r="I334" t="s">
        <v>241</v>
      </c>
      <c r="J334" t="s">
        <v>129</v>
      </c>
      <c r="K334" t="s">
        <v>130</v>
      </c>
      <c r="L334" t="s">
        <v>249</v>
      </c>
      <c r="M334" t="s">
        <v>250</v>
      </c>
      <c r="N334" t="s">
        <v>103</v>
      </c>
      <c r="O334" t="s">
        <v>251</v>
      </c>
      <c r="P334" s="8">
        <v>1</v>
      </c>
      <c r="Q334" s="10">
        <v>22.33</v>
      </c>
      <c r="R334" s="11">
        <v>0.1</v>
      </c>
      <c r="S334" s="10">
        <v>9.73</v>
      </c>
      <c r="T334" t="s">
        <v>105</v>
      </c>
      <c r="U334" t="s">
        <v>85</v>
      </c>
      <c r="V334" s="8">
        <v>5</v>
      </c>
      <c r="W334" t="s">
        <v>1270</v>
      </c>
      <c r="X334" t="str">
        <f>_xlfn.XLOOKUP(Cleaned_data[[#This Row],[Customer_ID]],Customers[S],Customers[Loyalty_Tier])</f>
        <v>Bronze</v>
      </c>
      <c r="Y334" s="9">
        <f>_xlfn.XLOOKUP(Cleaned_data[[#This Row],[Customer_ID]],Customers[S],Customers[Signup_Date])</f>
        <v>44473</v>
      </c>
      <c r="Z334" s="12">
        <f>_xlfn.XLOOKUP(Cleaned_data[[#This Row],[SKU]],Products[SKU],Products[Standard_Cost])</f>
        <v>10</v>
      </c>
      <c r="AA334" s="10">
        <f>Cleaned_data[[#This Row],[Quantity]]*Cleaned_data[[#This Row],[Unit_Price]]</f>
        <v>22.33</v>
      </c>
      <c r="AB334" s="10">
        <f>Cleaned_data[[#This Row],[Unit_Price]]*Cleaned_data[[#This Row],[Discount_Pct]]</f>
        <v>2.2330000000000001</v>
      </c>
      <c r="AC334" s="10">
        <f>Cleaned_data[[#This Row],[Gross Sales]]-Cleaned_data[[#This Row],[Discount amount]]</f>
        <v>20.096999999999998</v>
      </c>
      <c r="AD334" s="10">
        <f>Cleaned_data[[#This Row],[Product Cost]]*Cleaned_data[[#This Row],[Quantity]]</f>
        <v>10</v>
      </c>
      <c r="AE334" s="10">
        <f>Cleaned_data[[#This Row],[Net Sales]]-Cleaned_data[[#This Row],[COGS]]</f>
        <v>10.096999999999998</v>
      </c>
      <c r="AF334" s="11">
        <f>Cleaned_data[[#This Row],[Gross Profit]]/Cleaned_data[[#This Row],[Net Sales]]</f>
        <v>0.50241329551674374</v>
      </c>
      <c r="AG334">
        <f>Cleaned_data[[#This Row],[Ship_Date]]-Cleaned_data[[#This Row],[Order_Date]]</f>
        <v>9</v>
      </c>
      <c r="AH334" t="str">
        <f>IF(Cleaned_data[[#This Row],[Delivery Days]]&gt;10,"late","on time")</f>
        <v>on time</v>
      </c>
      <c r="AI334" t="str">
        <f>TEXT(Cleaned_data[[#This Row],[Order_Date]],"mmmm")</f>
        <v>December</v>
      </c>
      <c r="AJ334" s="9" t="str">
        <f>"Q"&amp;ROUNDUP(MONTH(Cleaned_data[[#This Row],[Order_Date]])/3,0)</f>
        <v>Q4</v>
      </c>
    </row>
    <row r="335" spans="1:36">
      <c r="A335" t="s">
        <v>806</v>
      </c>
      <c r="B335" s="9">
        <v>45650</v>
      </c>
      <c r="C335" s="9">
        <v>45653</v>
      </c>
      <c r="D335" t="s">
        <v>497</v>
      </c>
      <c r="E335" t="s">
        <v>498</v>
      </c>
      <c r="F335" t="s">
        <v>89</v>
      </c>
      <c r="G335" t="s">
        <v>126</v>
      </c>
      <c r="H335" t="s">
        <v>291</v>
      </c>
      <c r="I335" t="s">
        <v>292</v>
      </c>
      <c r="J335" t="s">
        <v>129</v>
      </c>
      <c r="K335" t="s">
        <v>147</v>
      </c>
      <c r="L335" t="s">
        <v>431</v>
      </c>
      <c r="M335" t="s">
        <v>432</v>
      </c>
      <c r="N335" t="s">
        <v>103</v>
      </c>
      <c r="O335" t="s">
        <v>251</v>
      </c>
      <c r="P335" s="8">
        <v>8</v>
      </c>
      <c r="Q335" s="10">
        <v>39.4</v>
      </c>
      <c r="R335" s="11">
        <v>0.04</v>
      </c>
      <c r="S335" s="10">
        <v>10.36</v>
      </c>
      <c r="T335" t="s">
        <v>105</v>
      </c>
      <c r="U335" t="s">
        <v>85</v>
      </c>
      <c r="V335" s="8">
        <v>3</v>
      </c>
      <c r="W335" t="s">
        <v>1270</v>
      </c>
      <c r="X335" t="str">
        <f>_xlfn.XLOOKUP(Cleaned_data[[#This Row],[Customer_ID]],Customers[S],Customers[Loyalty_Tier])</f>
        <v>Bronze</v>
      </c>
      <c r="Y335" s="9">
        <f>_xlfn.XLOOKUP(Cleaned_data[[#This Row],[Customer_ID]],Customers[S],Customers[Signup_Date])</f>
        <v>45384</v>
      </c>
      <c r="Z335" s="12">
        <f>_xlfn.XLOOKUP(Cleaned_data[[#This Row],[SKU]],Products[SKU],Products[Standard_Cost])</f>
        <v>20</v>
      </c>
      <c r="AA335" s="10">
        <f>Cleaned_data[[#This Row],[Quantity]]*Cleaned_data[[#This Row],[Unit_Price]]</f>
        <v>315.2</v>
      </c>
      <c r="AB335" s="10">
        <f>Cleaned_data[[#This Row],[Unit_Price]]*Cleaned_data[[#This Row],[Discount_Pct]]</f>
        <v>1.5760000000000001</v>
      </c>
      <c r="AC335" s="10">
        <f>Cleaned_data[[#This Row],[Gross Sales]]-Cleaned_data[[#This Row],[Discount amount]]</f>
        <v>313.62399999999997</v>
      </c>
      <c r="AD335" s="10">
        <f>Cleaned_data[[#This Row],[Product Cost]]*Cleaned_data[[#This Row],[Quantity]]</f>
        <v>160</v>
      </c>
      <c r="AE335" s="10">
        <f>Cleaned_data[[#This Row],[Net Sales]]-Cleaned_data[[#This Row],[COGS]]</f>
        <v>153.62399999999997</v>
      </c>
      <c r="AF335" s="11">
        <f>Cleaned_data[[#This Row],[Gross Profit]]/Cleaned_data[[#This Row],[Net Sales]]</f>
        <v>0.48983496161008083</v>
      </c>
      <c r="AG335">
        <f>Cleaned_data[[#This Row],[Ship_Date]]-Cleaned_data[[#This Row],[Order_Date]]</f>
        <v>3</v>
      </c>
      <c r="AH335" t="str">
        <f>IF(Cleaned_data[[#This Row],[Delivery Days]]&gt;10,"late","on time")</f>
        <v>on time</v>
      </c>
      <c r="AI335" t="str">
        <f>TEXT(Cleaned_data[[#This Row],[Order_Date]],"mmmm")</f>
        <v>December</v>
      </c>
      <c r="AJ335" s="9" t="str">
        <f>"Q"&amp;ROUNDUP(MONTH(Cleaned_data[[#This Row],[Order_Date]])/3,0)</f>
        <v>Q4</v>
      </c>
    </row>
    <row r="336" spans="1:36">
      <c r="A336" t="s">
        <v>807</v>
      </c>
      <c r="B336" s="9">
        <v>45651</v>
      </c>
      <c r="C336" s="9">
        <v>45658</v>
      </c>
      <c r="D336" t="s">
        <v>591</v>
      </c>
      <c r="E336" t="s">
        <v>592</v>
      </c>
      <c r="F336" t="s">
        <v>74</v>
      </c>
      <c r="G336" t="s">
        <v>126</v>
      </c>
      <c r="H336" t="s">
        <v>160</v>
      </c>
      <c r="I336" t="s">
        <v>161</v>
      </c>
      <c r="J336" t="s">
        <v>78</v>
      </c>
      <c r="K336" t="s">
        <v>79</v>
      </c>
      <c r="L336" t="s">
        <v>254</v>
      </c>
      <c r="M336" t="s">
        <v>255</v>
      </c>
      <c r="N336" t="s">
        <v>82</v>
      </c>
      <c r="O336" t="s">
        <v>83</v>
      </c>
      <c r="P336" s="8">
        <v>5</v>
      </c>
      <c r="Q336" s="10">
        <v>90.35</v>
      </c>
      <c r="R336" s="11">
        <v>0.09</v>
      </c>
      <c r="S336" s="10">
        <v>6.06</v>
      </c>
      <c r="T336" t="s">
        <v>134</v>
      </c>
      <c r="U336" t="s">
        <v>85</v>
      </c>
      <c r="V336" s="8">
        <v>4</v>
      </c>
      <c r="W336" t="s">
        <v>1270</v>
      </c>
      <c r="X336" t="str">
        <f>_xlfn.XLOOKUP(Cleaned_data[[#This Row],[Customer_ID]],Customers[S],Customers[Loyalty_Tier])</f>
        <v>Bronze</v>
      </c>
      <c r="Y336" s="9">
        <f>_xlfn.XLOOKUP(Cleaned_data[[#This Row],[Customer_ID]],Customers[S],Customers[Signup_Date])</f>
        <v>44938</v>
      </c>
      <c r="Z336" s="12">
        <f>_xlfn.XLOOKUP(Cleaned_data[[#This Row],[SKU]],Products[SKU],Products[Standard_Cost])</f>
        <v>48</v>
      </c>
      <c r="AA336" s="10">
        <f>Cleaned_data[[#This Row],[Quantity]]*Cleaned_data[[#This Row],[Unit_Price]]</f>
        <v>451.75</v>
      </c>
      <c r="AB336" s="10">
        <f>Cleaned_data[[#This Row],[Unit_Price]]*Cleaned_data[[#This Row],[Discount_Pct]]</f>
        <v>8.1314999999999991</v>
      </c>
      <c r="AC336" s="10">
        <f>Cleaned_data[[#This Row],[Gross Sales]]-Cleaned_data[[#This Row],[Discount amount]]</f>
        <v>443.61849999999998</v>
      </c>
      <c r="AD336" s="10">
        <f>Cleaned_data[[#This Row],[Product Cost]]*Cleaned_data[[#This Row],[Quantity]]</f>
        <v>240</v>
      </c>
      <c r="AE336" s="10">
        <f>Cleaned_data[[#This Row],[Net Sales]]-Cleaned_data[[#This Row],[COGS]]</f>
        <v>203.61849999999998</v>
      </c>
      <c r="AF336" s="11">
        <f>Cleaned_data[[#This Row],[Gross Profit]]/Cleaned_data[[#This Row],[Net Sales]]</f>
        <v>0.45899460910669865</v>
      </c>
      <c r="AG336">
        <f>Cleaned_data[[#This Row],[Ship_Date]]-Cleaned_data[[#This Row],[Order_Date]]</f>
        <v>7</v>
      </c>
      <c r="AH336" t="str">
        <f>IF(Cleaned_data[[#This Row],[Delivery Days]]&gt;10,"late","on time")</f>
        <v>on time</v>
      </c>
      <c r="AI336" t="str">
        <f>TEXT(Cleaned_data[[#This Row],[Order_Date]],"mmmm")</f>
        <v>December</v>
      </c>
      <c r="AJ336" s="9" t="str">
        <f>"Q"&amp;ROUNDUP(MONTH(Cleaned_data[[#This Row],[Order_Date]])/3,0)</f>
        <v>Q4</v>
      </c>
    </row>
    <row r="337" spans="1:36">
      <c r="A337" t="s">
        <v>808</v>
      </c>
      <c r="B337" s="9">
        <v>45652</v>
      </c>
      <c r="C337" s="9">
        <v>45658</v>
      </c>
      <c r="D337" t="s">
        <v>478</v>
      </c>
      <c r="E337" t="s">
        <v>479</v>
      </c>
      <c r="F337" t="s">
        <v>74</v>
      </c>
      <c r="G337" t="s">
        <v>194</v>
      </c>
      <c r="H337" t="s">
        <v>240</v>
      </c>
      <c r="I337" t="s">
        <v>241</v>
      </c>
      <c r="J337" t="s">
        <v>129</v>
      </c>
      <c r="K337" t="s">
        <v>79</v>
      </c>
      <c r="L337" t="s">
        <v>431</v>
      </c>
      <c r="M337" t="s">
        <v>432</v>
      </c>
      <c r="N337" t="s">
        <v>103</v>
      </c>
      <c r="O337" t="s">
        <v>251</v>
      </c>
      <c r="P337" s="8">
        <v>7</v>
      </c>
      <c r="Q337" s="10">
        <v>40.46</v>
      </c>
      <c r="R337" s="11">
        <v>0.05</v>
      </c>
      <c r="S337" s="10">
        <v>12.51</v>
      </c>
      <c r="T337" t="s">
        <v>105</v>
      </c>
      <c r="U337" t="s">
        <v>85</v>
      </c>
      <c r="V337" s="8">
        <v>5</v>
      </c>
      <c r="W337" t="s">
        <v>1270</v>
      </c>
      <c r="X337" t="str">
        <f>_xlfn.XLOOKUP(Cleaned_data[[#This Row],[Customer_ID]],Customers[S],Customers[Loyalty_Tier])</f>
        <v>Gold</v>
      </c>
      <c r="Y337" s="9">
        <f>_xlfn.XLOOKUP(Cleaned_data[[#This Row],[Customer_ID]],Customers[S],Customers[Signup_Date])</f>
        <v>45756</v>
      </c>
      <c r="Z337" s="12">
        <f>_xlfn.XLOOKUP(Cleaned_data[[#This Row],[SKU]],Products[SKU],Products[Standard_Cost])</f>
        <v>20</v>
      </c>
      <c r="AA337" s="10">
        <f>Cleaned_data[[#This Row],[Quantity]]*Cleaned_data[[#This Row],[Unit_Price]]</f>
        <v>283.22000000000003</v>
      </c>
      <c r="AB337" s="10">
        <f>Cleaned_data[[#This Row],[Unit_Price]]*Cleaned_data[[#This Row],[Discount_Pct]]</f>
        <v>2.0230000000000001</v>
      </c>
      <c r="AC337" s="10">
        <f>Cleaned_data[[#This Row],[Gross Sales]]-Cleaned_data[[#This Row],[Discount amount]]</f>
        <v>281.197</v>
      </c>
      <c r="AD337" s="10">
        <f>Cleaned_data[[#This Row],[Product Cost]]*Cleaned_data[[#This Row],[Quantity]]</f>
        <v>140</v>
      </c>
      <c r="AE337" s="10">
        <f>Cleaned_data[[#This Row],[Net Sales]]-Cleaned_data[[#This Row],[COGS]]</f>
        <v>141.197</v>
      </c>
      <c r="AF337" s="11">
        <f>Cleaned_data[[#This Row],[Gross Profit]]/Cleaned_data[[#This Row],[Net Sales]]</f>
        <v>0.50212840108536005</v>
      </c>
      <c r="AG337">
        <f>Cleaned_data[[#This Row],[Ship_Date]]-Cleaned_data[[#This Row],[Order_Date]]</f>
        <v>6</v>
      </c>
      <c r="AH337" t="str">
        <f>IF(Cleaned_data[[#This Row],[Delivery Days]]&gt;10,"late","on time")</f>
        <v>on time</v>
      </c>
      <c r="AI337" t="str">
        <f>TEXT(Cleaned_data[[#This Row],[Order_Date]],"mmmm")</f>
        <v>December</v>
      </c>
      <c r="AJ337" s="9" t="str">
        <f>"Q"&amp;ROUNDUP(MONTH(Cleaned_data[[#This Row],[Order_Date]])/3,0)</f>
        <v>Q4</v>
      </c>
    </row>
    <row r="338" spans="1:36">
      <c r="A338" t="s">
        <v>809</v>
      </c>
      <c r="B338" s="9">
        <v>45652</v>
      </c>
      <c r="C338" s="9">
        <v>45658</v>
      </c>
      <c r="D338" t="s">
        <v>514</v>
      </c>
      <c r="E338" t="s">
        <v>515</v>
      </c>
      <c r="F338" t="s">
        <v>74</v>
      </c>
      <c r="G338" t="s">
        <v>75</v>
      </c>
      <c r="H338" t="s">
        <v>212</v>
      </c>
      <c r="I338" t="s">
        <v>213</v>
      </c>
      <c r="J338" t="s">
        <v>78</v>
      </c>
      <c r="K338" t="s">
        <v>100</v>
      </c>
      <c r="L338" t="s">
        <v>214</v>
      </c>
      <c r="M338" t="s">
        <v>215</v>
      </c>
      <c r="N338" t="s">
        <v>103</v>
      </c>
      <c r="O338" t="s">
        <v>171</v>
      </c>
      <c r="P338" s="8">
        <v>4</v>
      </c>
      <c r="Q338" s="10">
        <v>11.37</v>
      </c>
      <c r="R338" s="11">
        <v>0</v>
      </c>
      <c r="S338" s="10">
        <v>6.96</v>
      </c>
      <c r="T338" t="s">
        <v>134</v>
      </c>
      <c r="U338" t="s">
        <v>85</v>
      </c>
      <c r="V338" s="8">
        <v>5</v>
      </c>
      <c r="W338" t="s">
        <v>1270</v>
      </c>
      <c r="X338" t="str">
        <f>_xlfn.XLOOKUP(Cleaned_data[[#This Row],[Customer_ID]],Customers[S],Customers[Loyalty_Tier])</f>
        <v>Silver</v>
      </c>
      <c r="Y338" s="9">
        <f>_xlfn.XLOOKUP(Cleaned_data[[#This Row],[Customer_ID]],Customers[S],Customers[Signup_Date])</f>
        <v>44271</v>
      </c>
      <c r="Z338" s="12">
        <f>_xlfn.XLOOKUP(Cleaned_data[[#This Row],[SKU]],Products[SKU],Products[Standard_Cost])</f>
        <v>5</v>
      </c>
      <c r="AA338" s="10">
        <f>Cleaned_data[[#This Row],[Quantity]]*Cleaned_data[[#This Row],[Unit_Price]]</f>
        <v>45.48</v>
      </c>
      <c r="AB338" s="10">
        <f>Cleaned_data[[#This Row],[Unit_Price]]*Cleaned_data[[#This Row],[Discount_Pct]]</f>
        <v>0</v>
      </c>
      <c r="AC338" s="10">
        <f>Cleaned_data[[#This Row],[Gross Sales]]-Cleaned_data[[#This Row],[Discount amount]]</f>
        <v>45.48</v>
      </c>
      <c r="AD338" s="10">
        <f>Cleaned_data[[#This Row],[Product Cost]]*Cleaned_data[[#This Row],[Quantity]]</f>
        <v>20</v>
      </c>
      <c r="AE338" s="10">
        <f>Cleaned_data[[#This Row],[Net Sales]]-Cleaned_data[[#This Row],[COGS]]</f>
        <v>25.479999999999997</v>
      </c>
      <c r="AF338" s="11">
        <f>Cleaned_data[[#This Row],[Gross Profit]]/Cleaned_data[[#This Row],[Net Sales]]</f>
        <v>0.56024626209322781</v>
      </c>
      <c r="AG338">
        <f>Cleaned_data[[#This Row],[Ship_Date]]-Cleaned_data[[#This Row],[Order_Date]]</f>
        <v>6</v>
      </c>
      <c r="AH338" t="str">
        <f>IF(Cleaned_data[[#This Row],[Delivery Days]]&gt;10,"late","on time")</f>
        <v>on time</v>
      </c>
      <c r="AI338" t="str">
        <f>TEXT(Cleaned_data[[#This Row],[Order_Date]],"mmmm")</f>
        <v>December</v>
      </c>
      <c r="AJ338" s="9" t="str">
        <f>"Q"&amp;ROUNDUP(MONTH(Cleaned_data[[#This Row],[Order_Date]])/3,0)</f>
        <v>Q4</v>
      </c>
    </row>
    <row r="339" spans="1:36">
      <c r="A339" t="s">
        <v>810</v>
      </c>
      <c r="B339" s="9">
        <v>45653</v>
      </c>
      <c r="C339" s="9">
        <v>45659</v>
      </c>
      <c r="D339" t="s">
        <v>748</v>
      </c>
      <c r="E339" t="s">
        <v>749</v>
      </c>
      <c r="F339" t="s">
        <v>152</v>
      </c>
      <c r="G339" t="s">
        <v>138</v>
      </c>
      <c r="H339" t="s">
        <v>153</v>
      </c>
      <c r="I339" t="s">
        <v>154</v>
      </c>
      <c r="J339" t="s">
        <v>219</v>
      </c>
      <c r="K339" t="s">
        <v>130</v>
      </c>
      <c r="L339" t="s">
        <v>118</v>
      </c>
      <c r="M339" t="s">
        <v>119</v>
      </c>
      <c r="N339" t="s">
        <v>120</v>
      </c>
      <c r="O339" t="s">
        <v>121</v>
      </c>
      <c r="P339" s="8">
        <v>2</v>
      </c>
      <c r="Q339" s="10">
        <v>273.58</v>
      </c>
      <c r="R339" s="11">
        <v>0.09</v>
      </c>
      <c r="S339" s="10">
        <v>22.72</v>
      </c>
      <c r="T339" t="s">
        <v>105</v>
      </c>
      <c r="U339" t="s">
        <v>85</v>
      </c>
      <c r="V339" s="8">
        <v>5</v>
      </c>
      <c r="W339" t="s">
        <v>1270</v>
      </c>
      <c r="X339" t="str">
        <f>_xlfn.XLOOKUP(Cleaned_data[[#This Row],[Customer_ID]],Customers[S],Customers[Loyalty_Tier])</f>
        <v>Platinum</v>
      </c>
      <c r="Y339" s="9">
        <f>_xlfn.XLOOKUP(Cleaned_data[[#This Row],[Customer_ID]],Customers[S],Customers[Signup_Date])</f>
        <v>45599</v>
      </c>
      <c r="Z339" s="12">
        <f>_xlfn.XLOOKUP(Cleaned_data[[#This Row],[SKU]],Products[SKU],Products[Standard_Cost])</f>
        <v>168</v>
      </c>
      <c r="AA339" s="10">
        <f>Cleaned_data[[#This Row],[Quantity]]*Cleaned_data[[#This Row],[Unit_Price]]</f>
        <v>547.16</v>
      </c>
      <c r="AB339" s="10">
        <f>Cleaned_data[[#This Row],[Unit_Price]]*Cleaned_data[[#This Row],[Discount_Pct]]</f>
        <v>24.622199999999999</v>
      </c>
      <c r="AC339" s="10">
        <f>Cleaned_data[[#This Row],[Gross Sales]]-Cleaned_data[[#This Row],[Discount amount]]</f>
        <v>522.53779999999995</v>
      </c>
      <c r="AD339" s="10">
        <f>Cleaned_data[[#This Row],[Product Cost]]*Cleaned_data[[#This Row],[Quantity]]</f>
        <v>336</v>
      </c>
      <c r="AE339" s="10">
        <f>Cleaned_data[[#This Row],[Net Sales]]-Cleaned_data[[#This Row],[COGS]]</f>
        <v>186.53779999999995</v>
      </c>
      <c r="AF339" s="11">
        <f>Cleaned_data[[#This Row],[Gross Profit]]/Cleaned_data[[#This Row],[Net Sales]]</f>
        <v>0.35698431768955274</v>
      </c>
      <c r="AG339">
        <f>Cleaned_data[[#This Row],[Ship_Date]]-Cleaned_data[[#This Row],[Order_Date]]</f>
        <v>6</v>
      </c>
      <c r="AH339" t="str">
        <f>IF(Cleaned_data[[#This Row],[Delivery Days]]&gt;10,"late","on time")</f>
        <v>on time</v>
      </c>
      <c r="AI339" t="str">
        <f>TEXT(Cleaned_data[[#This Row],[Order_Date]],"mmmm")</f>
        <v>December</v>
      </c>
      <c r="AJ339" s="9" t="str">
        <f>"Q"&amp;ROUNDUP(MONTH(Cleaned_data[[#This Row],[Order_Date]])/3,0)</f>
        <v>Q4</v>
      </c>
    </row>
    <row r="340" spans="1:36">
      <c r="A340" t="s">
        <v>811</v>
      </c>
      <c r="B340" s="9">
        <v>45653</v>
      </c>
      <c r="C340" s="9">
        <v>45661</v>
      </c>
      <c r="D340" t="s">
        <v>812</v>
      </c>
      <c r="E340" t="s">
        <v>813</v>
      </c>
      <c r="F340" t="s">
        <v>152</v>
      </c>
      <c r="G340" t="s">
        <v>75</v>
      </c>
      <c r="H340" t="s">
        <v>273</v>
      </c>
      <c r="I340" t="s">
        <v>274</v>
      </c>
      <c r="J340" t="s">
        <v>78</v>
      </c>
      <c r="K340" t="s">
        <v>90</v>
      </c>
      <c r="L340" t="s">
        <v>249</v>
      </c>
      <c r="M340" t="s">
        <v>250</v>
      </c>
      <c r="N340" t="s">
        <v>103</v>
      </c>
      <c r="O340" t="s">
        <v>251</v>
      </c>
      <c r="P340" s="8">
        <v>3</v>
      </c>
      <c r="Q340" s="10">
        <v>21.8</v>
      </c>
      <c r="R340" s="11">
        <v>0.05</v>
      </c>
      <c r="S340" s="10">
        <v>7.34</v>
      </c>
      <c r="T340" t="s">
        <v>105</v>
      </c>
      <c r="U340" t="s">
        <v>148</v>
      </c>
      <c r="V340" s="8">
        <v>2</v>
      </c>
      <c r="W340" t="s">
        <v>1270</v>
      </c>
      <c r="X340" t="str">
        <f>_xlfn.XLOOKUP(Cleaned_data[[#This Row],[Customer_ID]],Customers[S],Customers[Loyalty_Tier])</f>
        <v>Platinum</v>
      </c>
      <c r="Y340" s="9">
        <f>_xlfn.XLOOKUP(Cleaned_data[[#This Row],[Customer_ID]],Customers[S],Customers[Signup_Date])</f>
        <v>45828</v>
      </c>
      <c r="Z340" s="12">
        <f>_xlfn.XLOOKUP(Cleaned_data[[#This Row],[SKU]],Products[SKU],Products[Standard_Cost])</f>
        <v>10</v>
      </c>
      <c r="AA340" s="10">
        <f>Cleaned_data[[#This Row],[Quantity]]*Cleaned_data[[#This Row],[Unit_Price]]</f>
        <v>65.400000000000006</v>
      </c>
      <c r="AB340" s="10">
        <f>Cleaned_data[[#This Row],[Unit_Price]]*Cleaned_data[[#This Row],[Discount_Pct]]</f>
        <v>1.0900000000000001</v>
      </c>
      <c r="AC340" s="10">
        <f>Cleaned_data[[#This Row],[Gross Sales]]-Cleaned_data[[#This Row],[Discount amount]]</f>
        <v>64.31</v>
      </c>
      <c r="AD340" s="10">
        <f>Cleaned_data[[#This Row],[Product Cost]]*Cleaned_data[[#This Row],[Quantity]]</f>
        <v>30</v>
      </c>
      <c r="AE340" s="10">
        <f>Cleaned_data[[#This Row],[Net Sales]]-Cleaned_data[[#This Row],[COGS]]</f>
        <v>34.31</v>
      </c>
      <c r="AF340" s="11">
        <f>Cleaned_data[[#This Row],[Gross Profit]]/Cleaned_data[[#This Row],[Net Sales]]</f>
        <v>0.53350956305395736</v>
      </c>
      <c r="AG340">
        <f>Cleaned_data[[#This Row],[Ship_Date]]-Cleaned_data[[#This Row],[Order_Date]]</f>
        <v>8</v>
      </c>
      <c r="AH340" t="str">
        <f>IF(Cleaned_data[[#This Row],[Delivery Days]]&gt;10,"late","on time")</f>
        <v>on time</v>
      </c>
      <c r="AI340" t="str">
        <f>TEXT(Cleaned_data[[#This Row],[Order_Date]],"mmmm")</f>
        <v>December</v>
      </c>
      <c r="AJ340" s="9" t="str">
        <f>"Q"&amp;ROUNDUP(MONTH(Cleaned_data[[#This Row],[Order_Date]])/3,0)</f>
        <v>Q4</v>
      </c>
    </row>
    <row r="341" spans="1:36">
      <c r="A341" t="s">
        <v>814</v>
      </c>
      <c r="B341" s="9">
        <v>45654</v>
      </c>
      <c r="C341" s="9">
        <v>45661</v>
      </c>
      <c r="D341" t="s">
        <v>406</v>
      </c>
      <c r="E341" t="s">
        <v>407</v>
      </c>
      <c r="F341" t="s">
        <v>89</v>
      </c>
      <c r="G341" t="s">
        <v>75</v>
      </c>
      <c r="H341" t="s">
        <v>116</v>
      </c>
      <c r="I341" t="s">
        <v>117</v>
      </c>
      <c r="J341" t="s">
        <v>219</v>
      </c>
      <c r="K341" t="s">
        <v>100</v>
      </c>
      <c r="L341" t="s">
        <v>249</v>
      </c>
      <c r="M341" t="s">
        <v>250</v>
      </c>
      <c r="N341" t="s">
        <v>103</v>
      </c>
      <c r="O341" t="s">
        <v>251</v>
      </c>
      <c r="P341" s="8">
        <v>1</v>
      </c>
      <c r="Q341" s="10">
        <v>21.91</v>
      </c>
      <c r="R341" s="11">
        <v>0.28999999999999998</v>
      </c>
      <c r="S341" s="10">
        <v>11.48</v>
      </c>
      <c r="T341" t="s">
        <v>134</v>
      </c>
      <c r="U341" t="s">
        <v>148</v>
      </c>
      <c r="W341" t="s">
        <v>1270</v>
      </c>
      <c r="X341" t="str">
        <f>_xlfn.XLOOKUP(Cleaned_data[[#This Row],[Customer_ID]],Customers[S],Customers[Loyalty_Tier])</f>
        <v>Bronze</v>
      </c>
      <c r="Y341" s="9">
        <f>_xlfn.XLOOKUP(Cleaned_data[[#This Row],[Customer_ID]],Customers[S],Customers[Signup_Date])</f>
        <v>45879</v>
      </c>
      <c r="Z341" s="12">
        <f>_xlfn.XLOOKUP(Cleaned_data[[#This Row],[SKU]],Products[SKU],Products[Standard_Cost])</f>
        <v>10</v>
      </c>
      <c r="AA341" s="10">
        <f>Cleaned_data[[#This Row],[Quantity]]*Cleaned_data[[#This Row],[Unit_Price]]</f>
        <v>21.91</v>
      </c>
      <c r="AB341" s="10">
        <f>Cleaned_data[[#This Row],[Unit_Price]]*Cleaned_data[[#This Row],[Discount_Pct]]</f>
        <v>6.3538999999999994</v>
      </c>
      <c r="AC341" s="10">
        <f>Cleaned_data[[#This Row],[Gross Sales]]-Cleaned_data[[#This Row],[Discount amount]]</f>
        <v>15.556100000000001</v>
      </c>
      <c r="AD341" s="10">
        <f>Cleaned_data[[#This Row],[Product Cost]]*Cleaned_data[[#This Row],[Quantity]]</f>
        <v>10</v>
      </c>
      <c r="AE341" s="10">
        <f>Cleaned_data[[#This Row],[Net Sales]]-Cleaned_data[[#This Row],[COGS]]</f>
        <v>5.5561000000000007</v>
      </c>
      <c r="AF341" s="11">
        <f>Cleaned_data[[#This Row],[Gross Profit]]/Cleaned_data[[#This Row],[Net Sales]]</f>
        <v>0.35716535635538471</v>
      </c>
      <c r="AG341">
        <f>Cleaned_data[[#This Row],[Ship_Date]]-Cleaned_data[[#This Row],[Order_Date]]</f>
        <v>7</v>
      </c>
      <c r="AH341" t="str">
        <f>IF(Cleaned_data[[#This Row],[Delivery Days]]&gt;10,"late","on time")</f>
        <v>on time</v>
      </c>
      <c r="AI341" t="str">
        <f>TEXT(Cleaned_data[[#This Row],[Order_Date]],"mmmm")</f>
        <v>December</v>
      </c>
      <c r="AJ341" s="9" t="str">
        <f>"Q"&amp;ROUNDUP(MONTH(Cleaned_data[[#This Row],[Order_Date]])/3,0)</f>
        <v>Q4</v>
      </c>
    </row>
    <row r="342" spans="1:36">
      <c r="A342" t="s">
        <v>815</v>
      </c>
      <c r="B342" s="9">
        <v>45657</v>
      </c>
      <c r="C342" s="9">
        <v>45666</v>
      </c>
      <c r="D342" t="s">
        <v>332</v>
      </c>
      <c r="E342" t="s">
        <v>333</v>
      </c>
      <c r="F342" t="s">
        <v>74</v>
      </c>
      <c r="G342" t="s">
        <v>126</v>
      </c>
      <c r="H342" t="s">
        <v>127</v>
      </c>
      <c r="I342" t="s">
        <v>128</v>
      </c>
      <c r="J342" t="s">
        <v>109</v>
      </c>
      <c r="K342" t="s">
        <v>130</v>
      </c>
      <c r="L342" t="s">
        <v>284</v>
      </c>
      <c r="M342" t="s">
        <v>285</v>
      </c>
      <c r="N342" t="s">
        <v>103</v>
      </c>
      <c r="O342" t="s">
        <v>143</v>
      </c>
      <c r="P342" s="8">
        <v>6</v>
      </c>
      <c r="Q342" s="10">
        <v>27.83</v>
      </c>
      <c r="R342" s="11">
        <v>0.03</v>
      </c>
      <c r="S342" s="10">
        <v>7.61</v>
      </c>
      <c r="T342" t="s">
        <v>84</v>
      </c>
      <c r="U342" t="s">
        <v>85</v>
      </c>
      <c r="V342" s="8">
        <v>3</v>
      </c>
      <c r="W342" t="s">
        <v>1270</v>
      </c>
      <c r="X342" t="str">
        <f>_xlfn.XLOOKUP(Cleaned_data[[#This Row],[Customer_ID]],Customers[S],Customers[Loyalty_Tier])</f>
        <v>Silver</v>
      </c>
      <c r="Y342" s="9">
        <f>_xlfn.XLOOKUP(Cleaned_data[[#This Row],[Customer_ID]],Customers[S],Customers[Signup_Date])</f>
        <v>45373</v>
      </c>
      <c r="Z342" s="12">
        <f>_xlfn.XLOOKUP(Cleaned_data[[#This Row],[SKU]],Products[SKU],Products[Standard_Cost])</f>
        <v>14</v>
      </c>
      <c r="AA342" s="10">
        <f>Cleaned_data[[#This Row],[Quantity]]*Cleaned_data[[#This Row],[Unit_Price]]</f>
        <v>166.98</v>
      </c>
      <c r="AB342" s="10">
        <f>Cleaned_data[[#This Row],[Unit_Price]]*Cleaned_data[[#This Row],[Discount_Pct]]</f>
        <v>0.83489999999999986</v>
      </c>
      <c r="AC342" s="10">
        <f>Cleaned_data[[#This Row],[Gross Sales]]-Cleaned_data[[#This Row],[Discount amount]]</f>
        <v>166.14509999999999</v>
      </c>
      <c r="AD342" s="10">
        <f>Cleaned_data[[#This Row],[Product Cost]]*Cleaned_data[[#This Row],[Quantity]]</f>
        <v>84</v>
      </c>
      <c r="AE342" s="10">
        <f>Cleaned_data[[#This Row],[Net Sales]]-Cleaned_data[[#This Row],[COGS]]</f>
        <v>82.145099999999985</v>
      </c>
      <c r="AF342" s="11">
        <f>Cleaned_data[[#This Row],[Gross Profit]]/Cleaned_data[[#This Row],[Net Sales]]</f>
        <v>0.49441783116083465</v>
      </c>
      <c r="AG342">
        <f>Cleaned_data[[#This Row],[Ship_Date]]-Cleaned_data[[#This Row],[Order_Date]]</f>
        <v>9</v>
      </c>
      <c r="AH342" t="str">
        <f>IF(Cleaned_data[[#This Row],[Delivery Days]]&gt;10,"late","on time")</f>
        <v>on time</v>
      </c>
      <c r="AI342" t="str">
        <f>TEXT(Cleaned_data[[#This Row],[Order_Date]],"mmmm")</f>
        <v>December</v>
      </c>
      <c r="AJ342" s="9" t="str">
        <f>"Q"&amp;ROUNDUP(MONTH(Cleaned_data[[#This Row],[Order_Date]])/3,0)</f>
        <v>Q4</v>
      </c>
    </row>
    <row r="343" spans="1:36">
      <c r="A343" t="s">
        <v>816</v>
      </c>
      <c r="B343" s="9">
        <v>45658</v>
      </c>
      <c r="C343" s="9">
        <v>45664</v>
      </c>
      <c r="D343" t="s">
        <v>694</v>
      </c>
      <c r="E343" t="s">
        <v>695</v>
      </c>
      <c r="F343" t="s">
        <v>89</v>
      </c>
      <c r="G343" t="s">
        <v>194</v>
      </c>
      <c r="H343" t="s">
        <v>225</v>
      </c>
      <c r="I343" t="s">
        <v>226</v>
      </c>
      <c r="J343" t="s">
        <v>109</v>
      </c>
      <c r="K343" t="s">
        <v>100</v>
      </c>
      <c r="L343" t="s">
        <v>141</v>
      </c>
      <c r="M343" t="s">
        <v>142</v>
      </c>
      <c r="N343" t="s">
        <v>103</v>
      </c>
      <c r="O343" t="s">
        <v>143</v>
      </c>
      <c r="P343" s="8">
        <v>5</v>
      </c>
      <c r="Q343" s="10">
        <v>36.68</v>
      </c>
      <c r="R343" s="11">
        <v>0.01</v>
      </c>
      <c r="S343" s="10">
        <v>15.84</v>
      </c>
      <c r="T343" t="s">
        <v>134</v>
      </c>
      <c r="U343" t="s">
        <v>85</v>
      </c>
      <c r="V343" s="8">
        <v>5</v>
      </c>
      <c r="W343" t="s">
        <v>1270</v>
      </c>
      <c r="X343" t="str">
        <f>_xlfn.XLOOKUP(Cleaned_data[[#This Row],[Customer_ID]],Customers[S],Customers[Loyalty_Tier])</f>
        <v>Silver</v>
      </c>
      <c r="Y343" s="9">
        <f>_xlfn.XLOOKUP(Cleaned_data[[#This Row],[Customer_ID]],Customers[S],Customers[Signup_Date])</f>
        <v>45642</v>
      </c>
      <c r="Z343" s="12">
        <f>_xlfn.XLOOKUP(Cleaned_data[[#This Row],[SKU]],Products[SKU],Products[Standard_Cost])</f>
        <v>18</v>
      </c>
      <c r="AA343" s="10">
        <f>Cleaned_data[[#This Row],[Quantity]]*Cleaned_data[[#This Row],[Unit_Price]]</f>
        <v>183.4</v>
      </c>
      <c r="AB343" s="10">
        <f>Cleaned_data[[#This Row],[Unit_Price]]*Cleaned_data[[#This Row],[Discount_Pct]]</f>
        <v>0.36680000000000001</v>
      </c>
      <c r="AC343" s="10">
        <f>Cleaned_data[[#This Row],[Gross Sales]]-Cleaned_data[[#This Row],[Discount amount]]</f>
        <v>183.03319999999999</v>
      </c>
      <c r="AD343" s="10">
        <f>Cleaned_data[[#This Row],[Product Cost]]*Cleaned_data[[#This Row],[Quantity]]</f>
        <v>90</v>
      </c>
      <c r="AE343" s="10">
        <f>Cleaned_data[[#This Row],[Net Sales]]-Cleaned_data[[#This Row],[COGS]]</f>
        <v>93.033199999999994</v>
      </c>
      <c r="AF343" s="11">
        <f>Cleaned_data[[#This Row],[Gross Profit]]/Cleaned_data[[#This Row],[Net Sales]]</f>
        <v>0.50828592845450993</v>
      </c>
      <c r="AG343">
        <f>Cleaned_data[[#This Row],[Ship_Date]]-Cleaned_data[[#This Row],[Order_Date]]</f>
        <v>6</v>
      </c>
      <c r="AH343" t="str">
        <f>IF(Cleaned_data[[#This Row],[Delivery Days]]&gt;10,"late","on time")</f>
        <v>on time</v>
      </c>
      <c r="AI343" t="str">
        <f>TEXT(Cleaned_data[[#This Row],[Order_Date]],"mmmm")</f>
        <v>January</v>
      </c>
      <c r="AJ343" s="9" t="str">
        <f>"Q"&amp;ROUNDUP(MONTH(Cleaned_data[[#This Row],[Order_Date]])/3,0)</f>
        <v>Q1</v>
      </c>
    </row>
    <row r="344" spans="1:36">
      <c r="A344" t="s">
        <v>817</v>
      </c>
      <c r="B344" s="9">
        <v>45658</v>
      </c>
      <c r="C344" s="9">
        <v>45661</v>
      </c>
      <c r="D344" t="s">
        <v>381</v>
      </c>
      <c r="E344" t="s">
        <v>382</v>
      </c>
      <c r="F344" t="s">
        <v>152</v>
      </c>
      <c r="G344" t="s">
        <v>194</v>
      </c>
      <c r="H344" t="s">
        <v>202</v>
      </c>
      <c r="I344" t="s">
        <v>203</v>
      </c>
      <c r="J344" t="s">
        <v>219</v>
      </c>
      <c r="K344" t="s">
        <v>147</v>
      </c>
      <c r="L344" t="s">
        <v>131</v>
      </c>
      <c r="M344" t="s">
        <v>132</v>
      </c>
      <c r="N344" t="s">
        <v>120</v>
      </c>
      <c r="O344" t="s">
        <v>133</v>
      </c>
      <c r="P344" s="8">
        <v>2</v>
      </c>
      <c r="Q344" s="10">
        <v>89.03</v>
      </c>
      <c r="R344" s="11">
        <v>0.08</v>
      </c>
      <c r="S344" s="10">
        <v>22.86</v>
      </c>
      <c r="T344" t="s">
        <v>105</v>
      </c>
      <c r="U344" t="s">
        <v>85</v>
      </c>
      <c r="V344" s="8">
        <v>2</v>
      </c>
      <c r="W344" t="s">
        <v>1270</v>
      </c>
      <c r="X344" t="str">
        <f>_xlfn.XLOOKUP(Cleaned_data[[#This Row],[Customer_ID]],Customers[S],Customers[Loyalty_Tier])</f>
        <v>Gold</v>
      </c>
      <c r="Y344" s="9">
        <f>_xlfn.XLOOKUP(Cleaned_data[[#This Row],[Customer_ID]],Customers[S],Customers[Signup_Date])</f>
        <v>45919</v>
      </c>
      <c r="Z344" s="12">
        <f>_xlfn.XLOOKUP(Cleaned_data[[#This Row],[SKU]],Products[SKU],Products[Standard_Cost])</f>
        <v>44</v>
      </c>
      <c r="AA344" s="10">
        <f>Cleaned_data[[#This Row],[Quantity]]*Cleaned_data[[#This Row],[Unit_Price]]</f>
        <v>178.06</v>
      </c>
      <c r="AB344" s="10">
        <f>Cleaned_data[[#This Row],[Unit_Price]]*Cleaned_data[[#This Row],[Discount_Pct]]</f>
        <v>7.1223999999999998</v>
      </c>
      <c r="AC344" s="10">
        <f>Cleaned_data[[#This Row],[Gross Sales]]-Cleaned_data[[#This Row],[Discount amount]]</f>
        <v>170.9376</v>
      </c>
      <c r="AD344" s="10">
        <f>Cleaned_data[[#This Row],[Product Cost]]*Cleaned_data[[#This Row],[Quantity]]</f>
        <v>88</v>
      </c>
      <c r="AE344" s="10">
        <f>Cleaned_data[[#This Row],[Net Sales]]-Cleaned_data[[#This Row],[COGS]]</f>
        <v>82.937600000000003</v>
      </c>
      <c r="AF344" s="11">
        <f>Cleaned_data[[#This Row],[Gross Profit]]/Cleaned_data[[#This Row],[Net Sales]]</f>
        <v>0.48519225729154969</v>
      </c>
      <c r="AG344">
        <f>Cleaned_data[[#This Row],[Ship_Date]]-Cleaned_data[[#This Row],[Order_Date]]</f>
        <v>3</v>
      </c>
      <c r="AH344" t="str">
        <f>IF(Cleaned_data[[#This Row],[Delivery Days]]&gt;10,"late","on time")</f>
        <v>on time</v>
      </c>
      <c r="AI344" t="str">
        <f>TEXT(Cleaned_data[[#This Row],[Order_Date]],"mmmm")</f>
        <v>January</v>
      </c>
      <c r="AJ344" s="9" t="str">
        <f>"Q"&amp;ROUNDUP(MONTH(Cleaned_data[[#This Row],[Order_Date]])/3,0)</f>
        <v>Q1</v>
      </c>
    </row>
    <row r="345" spans="1:36">
      <c r="A345" t="s">
        <v>818</v>
      </c>
      <c r="B345" s="9">
        <v>45660</v>
      </c>
      <c r="C345" s="9">
        <v>45663</v>
      </c>
      <c r="D345" t="s">
        <v>757</v>
      </c>
      <c r="E345" t="s">
        <v>218</v>
      </c>
      <c r="F345" t="s">
        <v>74</v>
      </c>
      <c r="G345" t="s">
        <v>138</v>
      </c>
      <c r="H345" t="s">
        <v>457</v>
      </c>
      <c r="I345" t="s">
        <v>458</v>
      </c>
      <c r="J345" t="s">
        <v>109</v>
      </c>
      <c r="K345" t="s">
        <v>147</v>
      </c>
      <c r="L345" t="s">
        <v>80</v>
      </c>
      <c r="M345" t="s">
        <v>81</v>
      </c>
      <c r="N345" t="s">
        <v>82</v>
      </c>
      <c r="O345" t="s">
        <v>83</v>
      </c>
      <c r="P345" s="8">
        <v>3</v>
      </c>
      <c r="Q345" s="10">
        <v>237.09</v>
      </c>
      <c r="R345" s="11">
        <v>0.12</v>
      </c>
      <c r="S345" s="10">
        <v>9.86</v>
      </c>
      <c r="T345" t="s">
        <v>105</v>
      </c>
      <c r="U345" t="s">
        <v>85</v>
      </c>
      <c r="W345" t="s">
        <v>1270</v>
      </c>
      <c r="X345" t="str">
        <f>_xlfn.XLOOKUP(Cleaned_data[[#This Row],[Customer_ID]],Customers[S],Customers[Loyalty_Tier])</f>
        <v>Gold</v>
      </c>
      <c r="Y345" s="9">
        <f>_xlfn.XLOOKUP(Cleaned_data[[#This Row],[Customer_ID]],Customers[S],Customers[Signup_Date])</f>
        <v>45630</v>
      </c>
      <c r="Z345" s="12">
        <f>_xlfn.XLOOKUP(Cleaned_data[[#This Row],[SKU]],Products[SKU],Products[Standard_Cost])</f>
        <v>125</v>
      </c>
      <c r="AA345" s="10">
        <f>Cleaned_data[[#This Row],[Quantity]]*Cleaned_data[[#This Row],[Unit_Price]]</f>
        <v>711.27</v>
      </c>
      <c r="AB345" s="10">
        <f>Cleaned_data[[#This Row],[Unit_Price]]*Cleaned_data[[#This Row],[Discount_Pct]]</f>
        <v>28.450800000000001</v>
      </c>
      <c r="AC345" s="10">
        <f>Cleaned_data[[#This Row],[Gross Sales]]-Cleaned_data[[#This Row],[Discount amount]]</f>
        <v>682.81920000000002</v>
      </c>
      <c r="AD345" s="10">
        <f>Cleaned_data[[#This Row],[Product Cost]]*Cleaned_data[[#This Row],[Quantity]]</f>
        <v>375</v>
      </c>
      <c r="AE345" s="10">
        <f>Cleaned_data[[#This Row],[Net Sales]]-Cleaned_data[[#This Row],[COGS]]</f>
        <v>307.81920000000002</v>
      </c>
      <c r="AF345" s="11">
        <f>Cleaned_data[[#This Row],[Gross Profit]]/Cleaned_data[[#This Row],[Net Sales]]</f>
        <v>0.45080630421640167</v>
      </c>
      <c r="AG345">
        <f>Cleaned_data[[#This Row],[Ship_Date]]-Cleaned_data[[#This Row],[Order_Date]]</f>
        <v>3</v>
      </c>
      <c r="AH345" t="str">
        <f>IF(Cleaned_data[[#This Row],[Delivery Days]]&gt;10,"late","on time")</f>
        <v>on time</v>
      </c>
      <c r="AI345" t="str">
        <f>TEXT(Cleaned_data[[#This Row],[Order_Date]],"mmmm")</f>
        <v>January</v>
      </c>
      <c r="AJ345" s="9" t="str">
        <f>"Q"&amp;ROUNDUP(MONTH(Cleaned_data[[#This Row],[Order_Date]])/3,0)</f>
        <v>Q1</v>
      </c>
    </row>
    <row r="346" spans="1:36">
      <c r="A346" t="s">
        <v>819</v>
      </c>
      <c r="B346" s="9">
        <v>45662</v>
      </c>
      <c r="C346" s="9">
        <v>45663</v>
      </c>
      <c r="D346" t="s">
        <v>400</v>
      </c>
      <c r="E346" t="s">
        <v>316</v>
      </c>
      <c r="F346" t="s">
        <v>152</v>
      </c>
      <c r="G346" t="s">
        <v>75</v>
      </c>
      <c r="H346" t="s">
        <v>273</v>
      </c>
      <c r="I346" t="s">
        <v>274</v>
      </c>
      <c r="J346" t="s">
        <v>78</v>
      </c>
      <c r="K346" t="s">
        <v>79</v>
      </c>
      <c r="L346" t="s">
        <v>261</v>
      </c>
      <c r="M346" t="s">
        <v>262</v>
      </c>
      <c r="N346" t="s">
        <v>103</v>
      </c>
      <c r="O346" t="s">
        <v>104</v>
      </c>
      <c r="P346" s="8">
        <v>3</v>
      </c>
      <c r="Q346" s="10">
        <v>27.83</v>
      </c>
      <c r="R346" s="11">
        <v>0.08</v>
      </c>
      <c r="S346" s="10">
        <v>9.39</v>
      </c>
      <c r="T346" t="s">
        <v>134</v>
      </c>
      <c r="U346" t="s">
        <v>85</v>
      </c>
      <c r="V346" s="8">
        <v>3</v>
      </c>
      <c r="W346" t="s">
        <v>1270</v>
      </c>
      <c r="X346" t="str">
        <f>_xlfn.XLOOKUP(Cleaned_data[[#This Row],[Customer_ID]],Customers[S],Customers[Loyalty_Tier])</f>
        <v>Gold</v>
      </c>
      <c r="Y346" s="9">
        <f>_xlfn.XLOOKUP(Cleaned_data[[#This Row],[Customer_ID]],Customers[S],Customers[Signup_Date])</f>
        <v>44279</v>
      </c>
      <c r="Z346" s="12">
        <f>_xlfn.XLOOKUP(Cleaned_data[[#This Row],[SKU]],Products[SKU],Products[Standard_Cost])</f>
        <v>12</v>
      </c>
      <c r="AA346" s="10">
        <f>Cleaned_data[[#This Row],[Quantity]]*Cleaned_data[[#This Row],[Unit_Price]]</f>
        <v>83.49</v>
      </c>
      <c r="AB346" s="10">
        <f>Cleaned_data[[#This Row],[Unit_Price]]*Cleaned_data[[#This Row],[Discount_Pct]]</f>
        <v>2.2263999999999999</v>
      </c>
      <c r="AC346" s="10">
        <f>Cleaned_data[[#This Row],[Gross Sales]]-Cleaned_data[[#This Row],[Discount amount]]</f>
        <v>81.263599999999997</v>
      </c>
      <c r="AD346" s="10">
        <f>Cleaned_data[[#This Row],[Product Cost]]*Cleaned_data[[#This Row],[Quantity]]</f>
        <v>36</v>
      </c>
      <c r="AE346" s="10">
        <f>Cleaned_data[[#This Row],[Net Sales]]-Cleaned_data[[#This Row],[COGS]]</f>
        <v>45.263599999999997</v>
      </c>
      <c r="AF346" s="11">
        <f>Cleaned_data[[#This Row],[Gross Profit]]/Cleaned_data[[#This Row],[Net Sales]]</f>
        <v>0.55699722877155333</v>
      </c>
      <c r="AG346">
        <f>Cleaned_data[[#This Row],[Ship_Date]]-Cleaned_data[[#This Row],[Order_Date]]</f>
        <v>1</v>
      </c>
      <c r="AH346" t="str">
        <f>IF(Cleaned_data[[#This Row],[Delivery Days]]&gt;10,"late","on time")</f>
        <v>on time</v>
      </c>
      <c r="AI346" t="str">
        <f>TEXT(Cleaned_data[[#This Row],[Order_Date]],"mmmm")</f>
        <v>January</v>
      </c>
      <c r="AJ346" s="9" t="str">
        <f>"Q"&amp;ROUNDUP(MONTH(Cleaned_data[[#This Row],[Order_Date]])/3,0)</f>
        <v>Q1</v>
      </c>
    </row>
    <row r="347" spans="1:36">
      <c r="A347" t="s">
        <v>820</v>
      </c>
      <c r="B347" s="9">
        <v>45663</v>
      </c>
      <c r="C347" s="9">
        <v>45664</v>
      </c>
      <c r="D347" t="s">
        <v>771</v>
      </c>
      <c r="E347" t="s">
        <v>772</v>
      </c>
      <c r="F347" t="s">
        <v>74</v>
      </c>
      <c r="G347" t="s">
        <v>126</v>
      </c>
      <c r="H347" t="s">
        <v>127</v>
      </c>
      <c r="I347" t="s">
        <v>128</v>
      </c>
      <c r="J347" t="s">
        <v>219</v>
      </c>
      <c r="K347" t="s">
        <v>147</v>
      </c>
      <c r="L347" t="s">
        <v>110</v>
      </c>
      <c r="M347" t="s">
        <v>111</v>
      </c>
      <c r="N347" t="s">
        <v>82</v>
      </c>
      <c r="O347" t="s">
        <v>112</v>
      </c>
      <c r="P347" s="8">
        <v>4</v>
      </c>
      <c r="Q347" s="10">
        <v>328.38</v>
      </c>
      <c r="R347" s="11">
        <v>0.09</v>
      </c>
      <c r="S347" s="10">
        <v>16.899999999999999</v>
      </c>
      <c r="T347" t="s">
        <v>105</v>
      </c>
      <c r="U347" t="s">
        <v>85</v>
      </c>
      <c r="V347" s="8">
        <v>1</v>
      </c>
      <c r="W347" t="s">
        <v>1270</v>
      </c>
      <c r="X347" t="str">
        <f>_xlfn.XLOOKUP(Cleaned_data[[#This Row],[Customer_ID]],Customers[S],Customers[Loyalty_Tier])</f>
        <v>Bronze</v>
      </c>
      <c r="Y347" s="9">
        <f>_xlfn.XLOOKUP(Cleaned_data[[#This Row],[Customer_ID]],Customers[S],Customers[Signup_Date])</f>
        <v>45891</v>
      </c>
      <c r="Z347" s="12">
        <f>_xlfn.XLOOKUP(Cleaned_data[[#This Row],[SKU]],Products[SKU],Products[Standard_Cost])</f>
        <v>165</v>
      </c>
      <c r="AA347" s="10">
        <f>Cleaned_data[[#This Row],[Quantity]]*Cleaned_data[[#This Row],[Unit_Price]]</f>
        <v>1313.52</v>
      </c>
      <c r="AB347" s="10">
        <f>Cleaned_data[[#This Row],[Unit_Price]]*Cleaned_data[[#This Row],[Discount_Pct]]</f>
        <v>29.554199999999998</v>
      </c>
      <c r="AC347" s="10">
        <f>Cleaned_data[[#This Row],[Gross Sales]]-Cleaned_data[[#This Row],[Discount amount]]</f>
        <v>1283.9657999999999</v>
      </c>
      <c r="AD347" s="10">
        <f>Cleaned_data[[#This Row],[Product Cost]]*Cleaned_data[[#This Row],[Quantity]]</f>
        <v>660</v>
      </c>
      <c r="AE347" s="10">
        <f>Cleaned_data[[#This Row],[Net Sales]]-Cleaned_data[[#This Row],[COGS]]</f>
        <v>623.96579999999994</v>
      </c>
      <c r="AF347" s="11">
        <f>Cleaned_data[[#This Row],[Gross Profit]]/Cleaned_data[[#This Row],[Net Sales]]</f>
        <v>0.48596761689446866</v>
      </c>
      <c r="AG347">
        <f>Cleaned_data[[#This Row],[Ship_Date]]-Cleaned_data[[#This Row],[Order_Date]]</f>
        <v>1</v>
      </c>
      <c r="AH347" t="str">
        <f>IF(Cleaned_data[[#This Row],[Delivery Days]]&gt;10,"late","on time")</f>
        <v>on time</v>
      </c>
      <c r="AI347" t="str">
        <f>TEXT(Cleaned_data[[#This Row],[Order_Date]],"mmmm")</f>
        <v>January</v>
      </c>
      <c r="AJ347" s="9" t="str">
        <f>"Q"&amp;ROUNDUP(MONTH(Cleaned_data[[#This Row],[Order_Date]])/3,0)</f>
        <v>Q1</v>
      </c>
    </row>
    <row r="348" spans="1:36">
      <c r="A348" t="s">
        <v>821</v>
      </c>
      <c r="B348" s="9">
        <v>45664</v>
      </c>
      <c r="C348" s="9">
        <v>45668</v>
      </c>
      <c r="D348" t="s">
        <v>677</v>
      </c>
      <c r="E348" t="s">
        <v>678</v>
      </c>
      <c r="F348" t="s">
        <v>152</v>
      </c>
      <c r="G348" t="s">
        <v>138</v>
      </c>
      <c r="H348" t="s">
        <v>347</v>
      </c>
      <c r="I348" t="s">
        <v>348</v>
      </c>
      <c r="J348" t="s">
        <v>109</v>
      </c>
      <c r="K348" t="s">
        <v>147</v>
      </c>
      <c r="L348" t="s">
        <v>214</v>
      </c>
      <c r="M348" t="s">
        <v>215</v>
      </c>
      <c r="N348" t="s">
        <v>103</v>
      </c>
      <c r="O348" t="s">
        <v>171</v>
      </c>
      <c r="P348" s="8">
        <v>1</v>
      </c>
      <c r="Q348" s="10">
        <v>12.14</v>
      </c>
      <c r="R348" s="11">
        <v>0.04</v>
      </c>
      <c r="S348" s="10">
        <v>9.35</v>
      </c>
      <c r="T348" t="s">
        <v>122</v>
      </c>
      <c r="U348" t="s">
        <v>85</v>
      </c>
      <c r="V348" s="8">
        <v>1</v>
      </c>
      <c r="W348" t="s">
        <v>1270</v>
      </c>
      <c r="X348" t="str">
        <f>_xlfn.XLOOKUP(Cleaned_data[[#This Row],[Customer_ID]],Customers[S],Customers[Loyalty_Tier])</f>
        <v>Platinum</v>
      </c>
      <c r="Y348" s="9">
        <f>_xlfn.XLOOKUP(Cleaned_data[[#This Row],[Customer_ID]],Customers[S],Customers[Signup_Date])</f>
        <v>44219</v>
      </c>
      <c r="Z348" s="12">
        <f>_xlfn.XLOOKUP(Cleaned_data[[#This Row],[SKU]],Products[SKU],Products[Standard_Cost])</f>
        <v>5</v>
      </c>
      <c r="AA348" s="10">
        <f>Cleaned_data[[#This Row],[Quantity]]*Cleaned_data[[#This Row],[Unit_Price]]</f>
        <v>12.14</v>
      </c>
      <c r="AB348" s="10">
        <f>Cleaned_data[[#This Row],[Unit_Price]]*Cleaned_data[[#This Row],[Discount_Pct]]</f>
        <v>0.48560000000000003</v>
      </c>
      <c r="AC348" s="10">
        <f>Cleaned_data[[#This Row],[Gross Sales]]-Cleaned_data[[#This Row],[Discount amount]]</f>
        <v>11.654400000000001</v>
      </c>
      <c r="AD348" s="10">
        <f>Cleaned_data[[#This Row],[Product Cost]]*Cleaned_data[[#This Row],[Quantity]]</f>
        <v>5</v>
      </c>
      <c r="AE348" s="10">
        <f>Cleaned_data[[#This Row],[Net Sales]]-Cleaned_data[[#This Row],[COGS]]</f>
        <v>6.6544000000000008</v>
      </c>
      <c r="AF348" s="11">
        <f>Cleaned_data[[#This Row],[Gross Profit]]/Cleaned_data[[#This Row],[Net Sales]]</f>
        <v>0.57097748489840749</v>
      </c>
      <c r="AG348">
        <f>Cleaned_data[[#This Row],[Ship_Date]]-Cleaned_data[[#This Row],[Order_Date]]</f>
        <v>4</v>
      </c>
      <c r="AH348" t="str">
        <f>IF(Cleaned_data[[#This Row],[Delivery Days]]&gt;10,"late","on time")</f>
        <v>on time</v>
      </c>
      <c r="AI348" t="str">
        <f>TEXT(Cleaned_data[[#This Row],[Order_Date]],"mmmm")</f>
        <v>January</v>
      </c>
      <c r="AJ348" s="9" t="str">
        <f>"Q"&amp;ROUNDUP(MONTH(Cleaned_data[[#This Row],[Order_Date]])/3,0)</f>
        <v>Q1</v>
      </c>
    </row>
    <row r="349" spans="1:36">
      <c r="A349" t="s">
        <v>822</v>
      </c>
      <c r="B349" s="9">
        <v>45665</v>
      </c>
      <c r="C349" s="9">
        <v>45671</v>
      </c>
      <c r="D349" t="s">
        <v>192</v>
      </c>
      <c r="E349" t="s">
        <v>193</v>
      </c>
      <c r="F349" t="s">
        <v>89</v>
      </c>
      <c r="G349" t="s">
        <v>194</v>
      </c>
      <c r="H349" t="s">
        <v>195</v>
      </c>
      <c r="I349" t="s">
        <v>196</v>
      </c>
      <c r="J349" t="s">
        <v>129</v>
      </c>
      <c r="K349" t="s">
        <v>168</v>
      </c>
      <c r="L349" t="s">
        <v>131</v>
      </c>
      <c r="M349" t="s">
        <v>132</v>
      </c>
      <c r="N349" t="s">
        <v>120</v>
      </c>
      <c r="O349" t="s">
        <v>133</v>
      </c>
      <c r="P349" s="8">
        <v>4</v>
      </c>
      <c r="Q349" s="10">
        <v>88.67</v>
      </c>
      <c r="R349" s="11">
        <v>0.1</v>
      </c>
      <c r="S349" s="10">
        <v>19.41</v>
      </c>
      <c r="T349" t="s">
        <v>84</v>
      </c>
      <c r="U349" t="s">
        <v>85</v>
      </c>
      <c r="V349" s="8">
        <v>5</v>
      </c>
      <c r="W349" t="s">
        <v>1270</v>
      </c>
      <c r="X349" t="str">
        <f>_xlfn.XLOOKUP(Cleaned_data[[#This Row],[Customer_ID]],Customers[S],Customers[Loyalty_Tier])</f>
        <v>Bronze</v>
      </c>
      <c r="Y349" s="9">
        <f>_xlfn.XLOOKUP(Cleaned_data[[#This Row],[Customer_ID]],Customers[S],Customers[Signup_Date])</f>
        <v>44447</v>
      </c>
      <c r="Z349" s="12">
        <f>_xlfn.XLOOKUP(Cleaned_data[[#This Row],[SKU]],Products[SKU],Products[Standard_Cost])</f>
        <v>44</v>
      </c>
      <c r="AA349" s="10">
        <f>Cleaned_data[[#This Row],[Quantity]]*Cleaned_data[[#This Row],[Unit_Price]]</f>
        <v>354.68</v>
      </c>
      <c r="AB349" s="10">
        <f>Cleaned_data[[#This Row],[Unit_Price]]*Cleaned_data[[#This Row],[Discount_Pct]]</f>
        <v>8.8670000000000009</v>
      </c>
      <c r="AC349" s="10">
        <f>Cleaned_data[[#This Row],[Gross Sales]]-Cleaned_data[[#This Row],[Discount amount]]</f>
        <v>345.81299999999999</v>
      </c>
      <c r="AD349" s="10">
        <f>Cleaned_data[[#This Row],[Product Cost]]*Cleaned_data[[#This Row],[Quantity]]</f>
        <v>176</v>
      </c>
      <c r="AE349" s="10">
        <f>Cleaned_data[[#This Row],[Net Sales]]-Cleaned_data[[#This Row],[COGS]]</f>
        <v>169.81299999999999</v>
      </c>
      <c r="AF349" s="11">
        <f>Cleaned_data[[#This Row],[Gross Profit]]/Cleaned_data[[#This Row],[Net Sales]]</f>
        <v>0.49105441380167891</v>
      </c>
      <c r="AG349">
        <f>Cleaned_data[[#This Row],[Ship_Date]]-Cleaned_data[[#This Row],[Order_Date]]</f>
        <v>6</v>
      </c>
      <c r="AH349" t="str">
        <f>IF(Cleaned_data[[#This Row],[Delivery Days]]&gt;10,"late","on time")</f>
        <v>on time</v>
      </c>
      <c r="AI349" t="str">
        <f>TEXT(Cleaned_data[[#This Row],[Order_Date]],"mmmm")</f>
        <v>January</v>
      </c>
      <c r="AJ349" s="9" t="str">
        <f>"Q"&amp;ROUNDUP(MONTH(Cleaned_data[[#This Row],[Order_Date]])/3,0)</f>
        <v>Q1</v>
      </c>
    </row>
    <row r="350" spans="1:36">
      <c r="A350" t="s">
        <v>823</v>
      </c>
      <c r="B350" s="9">
        <v>45666</v>
      </c>
      <c r="C350" s="9">
        <v>45671</v>
      </c>
      <c r="D350" t="s">
        <v>456</v>
      </c>
      <c r="E350" t="s">
        <v>369</v>
      </c>
      <c r="F350" t="s">
        <v>89</v>
      </c>
      <c r="G350" t="s">
        <v>138</v>
      </c>
      <c r="H350" t="s">
        <v>457</v>
      </c>
      <c r="I350" t="s">
        <v>458</v>
      </c>
      <c r="J350" t="s">
        <v>78</v>
      </c>
      <c r="K350" t="s">
        <v>147</v>
      </c>
      <c r="L350" t="s">
        <v>234</v>
      </c>
      <c r="M350" t="s">
        <v>235</v>
      </c>
      <c r="N350" t="s">
        <v>93</v>
      </c>
      <c r="O350" t="s">
        <v>236</v>
      </c>
      <c r="P350" s="8">
        <v>1</v>
      </c>
      <c r="Q350" s="10">
        <v>141.99</v>
      </c>
      <c r="R350" s="11">
        <v>0.26</v>
      </c>
      <c r="S350" s="10">
        <v>24.14</v>
      </c>
      <c r="T350" t="s">
        <v>122</v>
      </c>
      <c r="U350" t="s">
        <v>85</v>
      </c>
      <c r="W350" t="s">
        <v>1270</v>
      </c>
      <c r="X350" t="str">
        <f>_xlfn.XLOOKUP(Cleaned_data[[#This Row],[Customer_ID]],Customers[S],Customers[Loyalty_Tier])</f>
        <v>Bronze</v>
      </c>
      <c r="Y350" s="9">
        <f>_xlfn.XLOOKUP(Cleaned_data[[#This Row],[Customer_ID]],Customers[S],Customers[Signup_Date])</f>
        <v>44735</v>
      </c>
      <c r="Z350" s="12">
        <f>_xlfn.XLOOKUP(Cleaned_data[[#This Row],[SKU]],Products[SKU],Products[Standard_Cost])</f>
        <v>82</v>
      </c>
      <c r="AA350" s="10">
        <f>Cleaned_data[[#This Row],[Quantity]]*Cleaned_data[[#This Row],[Unit_Price]]</f>
        <v>141.99</v>
      </c>
      <c r="AB350" s="10">
        <f>Cleaned_data[[#This Row],[Unit_Price]]*Cleaned_data[[#This Row],[Discount_Pct]]</f>
        <v>36.917400000000001</v>
      </c>
      <c r="AC350" s="10">
        <f>Cleaned_data[[#This Row],[Gross Sales]]-Cleaned_data[[#This Row],[Discount amount]]</f>
        <v>105.07260000000001</v>
      </c>
      <c r="AD350" s="10">
        <f>Cleaned_data[[#This Row],[Product Cost]]*Cleaned_data[[#This Row],[Quantity]]</f>
        <v>82</v>
      </c>
      <c r="AE350" s="10">
        <f>Cleaned_data[[#This Row],[Net Sales]]-Cleaned_data[[#This Row],[COGS]]</f>
        <v>23.072600000000008</v>
      </c>
      <c r="AF350" s="11">
        <f>Cleaned_data[[#This Row],[Gross Profit]]/Cleaned_data[[#This Row],[Net Sales]]</f>
        <v>0.21958721874208886</v>
      </c>
      <c r="AG350">
        <f>Cleaned_data[[#This Row],[Ship_Date]]-Cleaned_data[[#This Row],[Order_Date]]</f>
        <v>5</v>
      </c>
      <c r="AH350" t="str">
        <f>IF(Cleaned_data[[#This Row],[Delivery Days]]&gt;10,"late","on time")</f>
        <v>on time</v>
      </c>
      <c r="AI350" t="str">
        <f>TEXT(Cleaned_data[[#This Row],[Order_Date]],"mmmm")</f>
        <v>January</v>
      </c>
      <c r="AJ350" s="9" t="str">
        <f>"Q"&amp;ROUNDUP(MONTH(Cleaned_data[[#This Row],[Order_Date]])/3,0)</f>
        <v>Q1</v>
      </c>
    </row>
    <row r="351" spans="1:36">
      <c r="A351" t="s">
        <v>824</v>
      </c>
      <c r="B351" s="9">
        <v>45668</v>
      </c>
      <c r="C351" s="9">
        <v>45671</v>
      </c>
      <c r="D351" t="s">
        <v>456</v>
      </c>
      <c r="E351" t="s">
        <v>369</v>
      </c>
      <c r="F351" t="s">
        <v>89</v>
      </c>
      <c r="G351" t="s">
        <v>138</v>
      </c>
      <c r="H351" t="s">
        <v>457</v>
      </c>
      <c r="I351" t="s">
        <v>458</v>
      </c>
      <c r="J351" t="s">
        <v>109</v>
      </c>
      <c r="K351" t="s">
        <v>79</v>
      </c>
      <c r="L351" t="s">
        <v>169</v>
      </c>
      <c r="M351" t="s">
        <v>170</v>
      </c>
      <c r="N351" t="s">
        <v>103</v>
      </c>
      <c r="O351" t="s">
        <v>171</v>
      </c>
      <c r="P351" s="8">
        <v>2</v>
      </c>
      <c r="Q351" s="10">
        <v>14.92</v>
      </c>
      <c r="R351" s="11">
        <v>0.19</v>
      </c>
      <c r="S351" s="10">
        <v>16.989999999999998</v>
      </c>
      <c r="T351" t="s">
        <v>84</v>
      </c>
      <c r="U351" t="s">
        <v>85</v>
      </c>
      <c r="V351" s="8">
        <v>4</v>
      </c>
      <c r="W351" t="s">
        <v>1270</v>
      </c>
      <c r="X351" t="str">
        <f>_xlfn.XLOOKUP(Cleaned_data[[#This Row],[Customer_ID]],Customers[S],Customers[Loyalty_Tier])</f>
        <v>Bronze</v>
      </c>
      <c r="Y351" s="9">
        <f>_xlfn.XLOOKUP(Cleaned_data[[#This Row],[Customer_ID]],Customers[S],Customers[Signup_Date])</f>
        <v>44735</v>
      </c>
      <c r="Z351" s="12">
        <f>_xlfn.XLOOKUP(Cleaned_data[[#This Row],[SKU]],Products[SKU],Products[Standard_Cost])</f>
        <v>6</v>
      </c>
      <c r="AA351" s="10">
        <f>Cleaned_data[[#This Row],[Quantity]]*Cleaned_data[[#This Row],[Unit_Price]]</f>
        <v>29.84</v>
      </c>
      <c r="AB351" s="10">
        <f>Cleaned_data[[#This Row],[Unit_Price]]*Cleaned_data[[#This Row],[Discount_Pct]]</f>
        <v>2.8348</v>
      </c>
      <c r="AC351" s="10">
        <f>Cleaned_data[[#This Row],[Gross Sales]]-Cleaned_data[[#This Row],[Discount amount]]</f>
        <v>27.005199999999999</v>
      </c>
      <c r="AD351" s="10">
        <f>Cleaned_data[[#This Row],[Product Cost]]*Cleaned_data[[#This Row],[Quantity]]</f>
        <v>12</v>
      </c>
      <c r="AE351" s="10">
        <f>Cleaned_data[[#This Row],[Net Sales]]-Cleaned_data[[#This Row],[COGS]]</f>
        <v>15.005199999999999</v>
      </c>
      <c r="AF351" s="11">
        <f>Cleaned_data[[#This Row],[Gross Profit]]/Cleaned_data[[#This Row],[Net Sales]]</f>
        <v>0.55564113578125696</v>
      </c>
      <c r="AG351">
        <f>Cleaned_data[[#This Row],[Ship_Date]]-Cleaned_data[[#This Row],[Order_Date]]</f>
        <v>3</v>
      </c>
      <c r="AH351" t="str">
        <f>IF(Cleaned_data[[#This Row],[Delivery Days]]&gt;10,"late","on time")</f>
        <v>on time</v>
      </c>
      <c r="AI351" t="str">
        <f>TEXT(Cleaned_data[[#This Row],[Order_Date]],"mmmm")</f>
        <v>January</v>
      </c>
      <c r="AJ351" s="9" t="str">
        <f>"Q"&amp;ROUNDUP(MONTH(Cleaned_data[[#This Row],[Order_Date]])/3,0)</f>
        <v>Q1</v>
      </c>
    </row>
    <row r="352" spans="1:36">
      <c r="A352" t="s">
        <v>825</v>
      </c>
      <c r="B352" s="9">
        <v>45670</v>
      </c>
      <c r="C352" s="9">
        <v>45680</v>
      </c>
      <c r="D352" t="s">
        <v>87</v>
      </c>
      <c r="E352" t="s">
        <v>88</v>
      </c>
      <c r="F352" t="s">
        <v>89</v>
      </c>
      <c r="G352" t="s">
        <v>75</v>
      </c>
      <c r="H352" t="s">
        <v>76</v>
      </c>
      <c r="I352" t="s">
        <v>77</v>
      </c>
      <c r="J352" t="s">
        <v>109</v>
      </c>
      <c r="K352" t="s">
        <v>79</v>
      </c>
      <c r="L352" t="s">
        <v>261</v>
      </c>
      <c r="M352" t="s">
        <v>262</v>
      </c>
      <c r="N352" t="s">
        <v>103</v>
      </c>
      <c r="O352" t="s">
        <v>104</v>
      </c>
      <c r="P352" s="8">
        <v>7</v>
      </c>
      <c r="Q352" s="10">
        <v>28.22</v>
      </c>
      <c r="R352" s="11">
        <v>0.32</v>
      </c>
      <c r="S352" s="10">
        <v>12.41</v>
      </c>
      <c r="T352" t="s">
        <v>84</v>
      </c>
      <c r="U352" t="s">
        <v>85</v>
      </c>
      <c r="V352" s="8">
        <v>5</v>
      </c>
      <c r="W352" t="s">
        <v>1270</v>
      </c>
      <c r="X352" t="str">
        <f>_xlfn.XLOOKUP(Cleaned_data[[#This Row],[Customer_ID]],Customers[S],Customers[Loyalty_Tier])</f>
        <v>Silver</v>
      </c>
      <c r="Y352" s="9">
        <f>_xlfn.XLOOKUP(Cleaned_data[[#This Row],[Customer_ID]],Customers[S],Customers[Signup_Date])</f>
        <v>44736</v>
      </c>
      <c r="Z352" s="12">
        <f>_xlfn.XLOOKUP(Cleaned_data[[#This Row],[SKU]],Products[SKU],Products[Standard_Cost])</f>
        <v>12</v>
      </c>
      <c r="AA352" s="10">
        <f>Cleaned_data[[#This Row],[Quantity]]*Cleaned_data[[#This Row],[Unit_Price]]</f>
        <v>197.54</v>
      </c>
      <c r="AB352" s="10">
        <f>Cleaned_data[[#This Row],[Unit_Price]]*Cleaned_data[[#This Row],[Discount_Pct]]</f>
        <v>9.0304000000000002</v>
      </c>
      <c r="AC352" s="10">
        <f>Cleaned_data[[#This Row],[Gross Sales]]-Cleaned_data[[#This Row],[Discount amount]]</f>
        <v>188.50959999999998</v>
      </c>
      <c r="AD352" s="10">
        <f>Cleaned_data[[#This Row],[Product Cost]]*Cleaned_data[[#This Row],[Quantity]]</f>
        <v>84</v>
      </c>
      <c r="AE352" s="10">
        <f>Cleaned_data[[#This Row],[Net Sales]]-Cleaned_data[[#This Row],[COGS]]</f>
        <v>104.50959999999998</v>
      </c>
      <c r="AF352" s="11">
        <f>Cleaned_data[[#This Row],[Gross Profit]]/Cleaned_data[[#This Row],[Net Sales]]</f>
        <v>0.55439935154496101</v>
      </c>
      <c r="AG352">
        <f>Cleaned_data[[#This Row],[Ship_Date]]-Cleaned_data[[#This Row],[Order_Date]]</f>
        <v>10</v>
      </c>
      <c r="AH352" t="str">
        <f>IF(Cleaned_data[[#This Row],[Delivery Days]]&gt;10,"late","on time")</f>
        <v>on time</v>
      </c>
      <c r="AI352" t="str">
        <f>TEXT(Cleaned_data[[#This Row],[Order_Date]],"mmmm")</f>
        <v>January</v>
      </c>
      <c r="AJ352" s="9" t="str">
        <f>"Q"&amp;ROUNDUP(MONTH(Cleaned_data[[#This Row],[Order_Date]])/3,0)</f>
        <v>Q1</v>
      </c>
    </row>
    <row r="353" spans="1:36">
      <c r="A353" t="s">
        <v>826</v>
      </c>
      <c r="B353" s="9">
        <v>45670</v>
      </c>
      <c r="C353" s="9">
        <v>45672</v>
      </c>
      <c r="D353" t="s">
        <v>228</v>
      </c>
      <c r="E353" t="s">
        <v>229</v>
      </c>
      <c r="F353" t="s">
        <v>74</v>
      </c>
      <c r="G353" t="s">
        <v>194</v>
      </c>
      <c r="H353" t="s">
        <v>230</v>
      </c>
      <c r="I353" t="s">
        <v>231</v>
      </c>
      <c r="J353" t="s">
        <v>78</v>
      </c>
      <c r="K353" t="s">
        <v>147</v>
      </c>
      <c r="L353" t="s">
        <v>91</v>
      </c>
      <c r="M353" t="s">
        <v>92</v>
      </c>
      <c r="N353" t="s">
        <v>93</v>
      </c>
      <c r="O353" t="s">
        <v>94</v>
      </c>
      <c r="P353" s="8">
        <v>3</v>
      </c>
      <c r="Q353" s="10">
        <v>343.63</v>
      </c>
      <c r="R353" s="11">
        <v>0.34</v>
      </c>
      <c r="S353" s="10">
        <v>29.6</v>
      </c>
      <c r="T353" t="s">
        <v>134</v>
      </c>
      <c r="U353" t="s">
        <v>85</v>
      </c>
      <c r="V353" s="8">
        <v>4</v>
      </c>
      <c r="W353" t="s">
        <v>1270</v>
      </c>
      <c r="X353" t="str">
        <f>_xlfn.XLOOKUP(Cleaned_data[[#This Row],[Customer_ID]],Customers[S],Customers[Loyalty_Tier])</f>
        <v>Silver</v>
      </c>
      <c r="Y353" s="9">
        <f>_xlfn.XLOOKUP(Cleaned_data[[#This Row],[Customer_ID]],Customers[S],Customers[Signup_Date])</f>
        <v>45843</v>
      </c>
      <c r="Z353" s="12">
        <f>_xlfn.XLOOKUP(Cleaned_data[[#This Row],[SKU]],Products[SKU],Products[Standard_Cost])</f>
        <v>184</v>
      </c>
      <c r="AA353" s="10">
        <f>Cleaned_data[[#This Row],[Quantity]]*Cleaned_data[[#This Row],[Unit_Price]]</f>
        <v>1030.8899999999999</v>
      </c>
      <c r="AB353" s="10">
        <f>Cleaned_data[[#This Row],[Unit_Price]]*Cleaned_data[[#This Row],[Discount_Pct]]</f>
        <v>116.83420000000001</v>
      </c>
      <c r="AC353" s="10">
        <f>Cleaned_data[[#This Row],[Gross Sales]]-Cleaned_data[[#This Row],[Discount amount]]</f>
        <v>914.05579999999986</v>
      </c>
      <c r="AD353" s="10">
        <f>Cleaned_data[[#This Row],[Product Cost]]*Cleaned_data[[#This Row],[Quantity]]</f>
        <v>552</v>
      </c>
      <c r="AE353" s="10">
        <f>Cleaned_data[[#This Row],[Net Sales]]-Cleaned_data[[#This Row],[COGS]]</f>
        <v>362.05579999999986</v>
      </c>
      <c r="AF353" s="11">
        <f>Cleaned_data[[#This Row],[Gross Profit]]/Cleaned_data[[#This Row],[Net Sales]]</f>
        <v>0.3960981375535278</v>
      </c>
      <c r="AG353">
        <f>Cleaned_data[[#This Row],[Ship_Date]]-Cleaned_data[[#This Row],[Order_Date]]</f>
        <v>2</v>
      </c>
      <c r="AH353" t="str">
        <f>IF(Cleaned_data[[#This Row],[Delivery Days]]&gt;10,"late","on time")</f>
        <v>on time</v>
      </c>
      <c r="AI353" t="str">
        <f>TEXT(Cleaned_data[[#This Row],[Order_Date]],"mmmm")</f>
        <v>January</v>
      </c>
      <c r="AJ353" s="9" t="str">
        <f>"Q"&amp;ROUNDUP(MONTH(Cleaned_data[[#This Row],[Order_Date]])/3,0)</f>
        <v>Q1</v>
      </c>
    </row>
    <row r="354" spans="1:36">
      <c r="A354" t="s">
        <v>827</v>
      </c>
      <c r="B354" s="9">
        <v>45673</v>
      </c>
      <c r="C354" s="9">
        <v>45682</v>
      </c>
      <c r="D354" t="s">
        <v>514</v>
      </c>
      <c r="E354" t="s">
        <v>515</v>
      </c>
      <c r="F354" t="s">
        <v>74</v>
      </c>
      <c r="G354" t="s">
        <v>75</v>
      </c>
      <c r="H354" t="s">
        <v>212</v>
      </c>
      <c r="I354" t="s">
        <v>213</v>
      </c>
      <c r="J354" t="s">
        <v>219</v>
      </c>
      <c r="K354" t="s">
        <v>100</v>
      </c>
      <c r="L354" t="s">
        <v>80</v>
      </c>
      <c r="M354" t="s">
        <v>81</v>
      </c>
      <c r="N354" t="s">
        <v>82</v>
      </c>
      <c r="O354" t="s">
        <v>83</v>
      </c>
      <c r="P354" s="8">
        <v>10</v>
      </c>
      <c r="Q354" s="10">
        <v>244.17</v>
      </c>
      <c r="R354" s="11">
        <v>0.11</v>
      </c>
      <c r="S354" s="10">
        <v>13.71</v>
      </c>
      <c r="T354" t="s">
        <v>105</v>
      </c>
      <c r="U354" t="s">
        <v>85</v>
      </c>
      <c r="V354" s="8">
        <v>4</v>
      </c>
      <c r="W354" t="s">
        <v>1270</v>
      </c>
      <c r="X354" t="str">
        <f>_xlfn.XLOOKUP(Cleaned_data[[#This Row],[Customer_ID]],Customers[S],Customers[Loyalty_Tier])</f>
        <v>Silver</v>
      </c>
      <c r="Y354" s="9">
        <f>_xlfn.XLOOKUP(Cleaned_data[[#This Row],[Customer_ID]],Customers[S],Customers[Signup_Date])</f>
        <v>44271</v>
      </c>
      <c r="Z354" s="12">
        <f>_xlfn.XLOOKUP(Cleaned_data[[#This Row],[SKU]],Products[SKU],Products[Standard_Cost])</f>
        <v>125</v>
      </c>
      <c r="AA354" s="10">
        <f>Cleaned_data[[#This Row],[Quantity]]*Cleaned_data[[#This Row],[Unit_Price]]</f>
        <v>2441.6999999999998</v>
      </c>
      <c r="AB354" s="10">
        <f>Cleaned_data[[#This Row],[Unit_Price]]*Cleaned_data[[#This Row],[Discount_Pct]]</f>
        <v>26.858699999999999</v>
      </c>
      <c r="AC354" s="10">
        <f>Cleaned_data[[#This Row],[Gross Sales]]-Cleaned_data[[#This Row],[Discount amount]]</f>
        <v>2414.8413</v>
      </c>
      <c r="AD354" s="10">
        <f>Cleaned_data[[#This Row],[Product Cost]]*Cleaned_data[[#This Row],[Quantity]]</f>
        <v>1250</v>
      </c>
      <c r="AE354" s="10">
        <f>Cleaned_data[[#This Row],[Net Sales]]-Cleaned_data[[#This Row],[COGS]]</f>
        <v>1164.8413</v>
      </c>
      <c r="AF354" s="11">
        <f>Cleaned_data[[#This Row],[Gross Profit]]/Cleaned_data[[#This Row],[Net Sales]]</f>
        <v>0.48236764047393094</v>
      </c>
      <c r="AG354">
        <f>Cleaned_data[[#This Row],[Ship_Date]]-Cleaned_data[[#This Row],[Order_Date]]</f>
        <v>9</v>
      </c>
      <c r="AH354" t="str">
        <f>IF(Cleaned_data[[#This Row],[Delivery Days]]&gt;10,"late","on time")</f>
        <v>on time</v>
      </c>
      <c r="AI354" t="str">
        <f>TEXT(Cleaned_data[[#This Row],[Order_Date]],"mmmm")</f>
        <v>January</v>
      </c>
      <c r="AJ354" s="9" t="str">
        <f>"Q"&amp;ROUNDUP(MONTH(Cleaned_data[[#This Row],[Order_Date]])/3,0)</f>
        <v>Q1</v>
      </c>
    </row>
    <row r="355" spans="1:36">
      <c r="A355" t="s">
        <v>828</v>
      </c>
      <c r="B355" s="9">
        <v>45673</v>
      </c>
      <c r="C355" s="9">
        <v>45679</v>
      </c>
      <c r="D355" t="s">
        <v>485</v>
      </c>
      <c r="E355" t="s">
        <v>193</v>
      </c>
      <c r="F355" t="s">
        <v>74</v>
      </c>
      <c r="G355" t="s">
        <v>138</v>
      </c>
      <c r="H355" t="s">
        <v>153</v>
      </c>
      <c r="I355" t="s">
        <v>154</v>
      </c>
      <c r="J355" t="s">
        <v>129</v>
      </c>
      <c r="K355" t="s">
        <v>100</v>
      </c>
      <c r="L355" t="s">
        <v>284</v>
      </c>
      <c r="M355" t="s">
        <v>285</v>
      </c>
      <c r="N355" t="s">
        <v>103</v>
      </c>
      <c r="O355" t="s">
        <v>143</v>
      </c>
      <c r="P355" s="8">
        <v>2</v>
      </c>
      <c r="Q355" s="10">
        <v>0</v>
      </c>
      <c r="R355" s="11">
        <v>0.1</v>
      </c>
      <c r="S355" s="10">
        <v>11.64</v>
      </c>
      <c r="T355" t="s">
        <v>84</v>
      </c>
      <c r="U355" t="s">
        <v>148</v>
      </c>
      <c r="V355" s="8">
        <v>1</v>
      </c>
      <c r="W355" t="s">
        <v>1274</v>
      </c>
      <c r="X355" t="str">
        <f>_xlfn.XLOOKUP(Cleaned_data[[#This Row],[Customer_ID]],Customers[S],Customers[Loyalty_Tier])</f>
        <v>Gold</v>
      </c>
      <c r="Y355" s="9">
        <f>_xlfn.XLOOKUP(Cleaned_data[[#This Row],[Customer_ID]],Customers[S],Customers[Signup_Date])</f>
        <v>46010</v>
      </c>
      <c r="Z355" s="12">
        <f>_xlfn.XLOOKUP(Cleaned_data[[#This Row],[SKU]],Products[SKU],Products[Standard_Cost])</f>
        <v>14</v>
      </c>
      <c r="AA355" s="10">
        <f>Cleaned_data[[#This Row],[Quantity]]*Cleaned_data[[#This Row],[Unit_Price]]</f>
        <v>0</v>
      </c>
      <c r="AB355" s="10">
        <f>Cleaned_data[[#This Row],[Unit_Price]]*Cleaned_data[[#This Row],[Discount_Pct]]</f>
        <v>0</v>
      </c>
      <c r="AC355" s="10">
        <f>Cleaned_data[[#This Row],[Gross Sales]]-Cleaned_data[[#This Row],[Discount amount]]</f>
        <v>0</v>
      </c>
      <c r="AD355" s="10">
        <f>Cleaned_data[[#This Row],[Product Cost]]*Cleaned_data[[#This Row],[Quantity]]</f>
        <v>28</v>
      </c>
      <c r="AE355" s="10">
        <f>Cleaned_data[[#This Row],[Net Sales]]-Cleaned_data[[#This Row],[COGS]]</f>
        <v>-28</v>
      </c>
      <c r="AF355" s="11" t="e">
        <f>Cleaned_data[[#This Row],[Gross Profit]]/Cleaned_data[[#This Row],[Net Sales]]</f>
        <v>#DIV/0!</v>
      </c>
      <c r="AG355">
        <f>Cleaned_data[[#This Row],[Ship_Date]]-Cleaned_data[[#This Row],[Order_Date]]</f>
        <v>6</v>
      </c>
      <c r="AH355" t="str">
        <f>IF(Cleaned_data[[#This Row],[Delivery Days]]&gt;10,"late","on time")</f>
        <v>on time</v>
      </c>
      <c r="AI355" t="str">
        <f>TEXT(Cleaned_data[[#This Row],[Order_Date]],"mmmm")</f>
        <v>January</v>
      </c>
      <c r="AJ355" s="9" t="str">
        <f>"Q"&amp;ROUNDUP(MONTH(Cleaned_data[[#This Row],[Order_Date]])/3,0)</f>
        <v>Q1</v>
      </c>
    </row>
    <row r="356" spans="1:36">
      <c r="A356" t="s">
        <v>829</v>
      </c>
      <c r="B356" s="9">
        <v>45674</v>
      </c>
      <c r="C356" s="9">
        <v>45679</v>
      </c>
      <c r="D356" t="s">
        <v>601</v>
      </c>
      <c r="E356" t="s">
        <v>351</v>
      </c>
      <c r="F356" t="s">
        <v>74</v>
      </c>
      <c r="G356" t="s">
        <v>194</v>
      </c>
      <c r="H356" t="s">
        <v>240</v>
      </c>
      <c r="I356" t="s">
        <v>241</v>
      </c>
      <c r="J356" t="s">
        <v>109</v>
      </c>
      <c r="K356" t="s">
        <v>90</v>
      </c>
      <c r="L356" t="s">
        <v>207</v>
      </c>
      <c r="M356" t="s">
        <v>208</v>
      </c>
      <c r="N356" t="s">
        <v>120</v>
      </c>
      <c r="O356" t="s">
        <v>164</v>
      </c>
      <c r="P356" s="8">
        <v>4</v>
      </c>
      <c r="Q356" s="10">
        <v>1471.99</v>
      </c>
      <c r="R356" s="11">
        <v>0.02</v>
      </c>
      <c r="S356" s="10">
        <v>16.71</v>
      </c>
      <c r="T356" t="s">
        <v>105</v>
      </c>
      <c r="U356" t="s">
        <v>85</v>
      </c>
      <c r="V356" s="8">
        <v>5</v>
      </c>
      <c r="W356" t="s">
        <v>1270</v>
      </c>
      <c r="X356" t="str">
        <f>_xlfn.XLOOKUP(Cleaned_data[[#This Row],[Customer_ID]],Customers[S],Customers[Loyalty_Tier])</f>
        <v>Platinum</v>
      </c>
      <c r="Y356" s="9">
        <f>_xlfn.XLOOKUP(Cleaned_data[[#This Row],[Customer_ID]],Customers[S],Customers[Signup_Date])</f>
        <v>45567</v>
      </c>
      <c r="Z356" s="12">
        <f>_xlfn.XLOOKUP(Cleaned_data[[#This Row],[SKU]],Products[SKU],Products[Standard_Cost])</f>
        <v>885</v>
      </c>
      <c r="AA356" s="10">
        <f>Cleaned_data[[#This Row],[Quantity]]*Cleaned_data[[#This Row],[Unit_Price]]</f>
        <v>5887.96</v>
      </c>
      <c r="AB356" s="10">
        <f>Cleaned_data[[#This Row],[Unit_Price]]*Cleaned_data[[#This Row],[Discount_Pct]]</f>
        <v>29.439800000000002</v>
      </c>
      <c r="AC356" s="10">
        <f>Cleaned_data[[#This Row],[Gross Sales]]-Cleaned_data[[#This Row],[Discount amount]]</f>
        <v>5858.5201999999999</v>
      </c>
      <c r="AD356" s="10">
        <f>Cleaned_data[[#This Row],[Product Cost]]*Cleaned_data[[#This Row],[Quantity]]</f>
        <v>3540</v>
      </c>
      <c r="AE356" s="10">
        <f>Cleaned_data[[#This Row],[Net Sales]]-Cleaned_data[[#This Row],[COGS]]</f>
        <v>2318.5201999999999</v>
      </c>
      <c r="AF356" s="11">
        <f>Cleaned_data[[#This Row],[Gross Profit]]/Cleaned_data[[#This Row],[Net Sales]]</f>
        <v>0.39575184873477093</v>
      </c>
      <c r="AG356">
        <f>Cleaned_data[[#This Row],[Ship_Date]]-Cleaned_data[[#This Row],[Order_Date]]</f>
        <v>5</v>
      </c>
      <c r="AH356" t="str">
        <f>IF(Cleaned_data[[#This Row],[Delivery Days]]&gt;10,"late","on time")</f>
        <v>on time</v>
      </c>
      <c r="AI356" t="str">
        <f>TEXT(Cleaned_data[[#This Row],[Order_Date]],"mmmm")</f>
        <v>January</v>
      </c>
      <c r="AJ356" s="9" t="str">
        <f>"Q"&amp;ROUNDUP(MONTH(Cleaned_data[[#This Row],[Order_Date]])/3,0)</f>
        <v>Q1</v>
      </c>
    </row>
    <row r="357" spans="1:36">
      <c r="A357" t="s">
        <v>830</v>
      </c>
      <c r="B357" s="9">
        <v>45675</v>
      </c>
      <c r="C357" s="9">
        <v>45677</v>
      </c>
      <c r="D357" t="s">
        <v>381</v>
      </c>
      <c r="E357" t="s">
        <v>382</v>
      </c>
      <c r="F357" t="s">
        <v>152</v>
      </c>
      <c r="G357" t="s">
        <v>194</v>
      </c>
      <c r="H357" t="s">
        <v>202</v>
      </c>
      <c r="I357" t="s">
        <v>203</v>
      </c>
      <c r="J357" t="s">
        <v>109</v>
      </c>
      <c r="K357" t="s">
        <v>147</v>
      </c>
      <c r="L357" t="s">
        <v>242</v>
      </c>
      <c r="M357" t="s">
        <v>243</v>
      </c>
      <c r="N357" t="s">
        <v>120</v>
      </c>
      <c r="O357" t="s">
        <v>133</v>
      </c>
      <c r="P357" s="8">
        <v>1</v>
      </c>
      <c r="Q357" s="10">
        <v>190.57</v>
      </c>
      <c r="R357" s="11">
        <v>0.03</v>
      </c>
      <c r="S357" s="10">
        <v>22.41</v>
      </c>
      <c r="T357" t="s">
        <v>84</v>
      </c>
      <c r="U357" t="s">
        <v>85</v>
      </c>
      <c r="V357" s="8">
        <v>3</v>
      </c>
      <c r="W357" t="s">
        <v>1270</v>
      </c>
      <c r="X357" t="str">
        <f>_xlfn.XLOOKUP(Cleaned_data[[#This Row],[Customer_ID]],Customers[S],Customers[Loyalty_Tier])</f>
        <v>Gold</v>
      </c>
      <c r="Y357" s="9">
        <f>_xlfn.XLOOKUP(Cleaned_data[[#This Row],[Customer_ID]],Customers[S],Customers[Signup_Date])</f>
        <v>45919</v>
      </c>
      <c r="Z357" s="12">
        <f>_xlfn.XLOOKUP(Cleaned_data[[#This Row],[SKU]],Products[SKU],Products[Standard_Cost])</f>
        <v>96</v>
      </c>
      <c r="AA357" s="10">
        <f>Cleaned_data[[#This Row],[Quantity]]*Cleaned_data[[#This Row],[Unit_Price]]</f>
        <v>190.57</v>
      </c>
      <c r="AB357" s="10">
        <f>Cleaned_data[[#This Row],[Unit_Price]]*Cleaned_data[[#This Row],[Discount_Pct]]</f>
        <v>5.7170999999999994</v>
      </c>
      <c r="AC357" s="10">
        <f>Cleaned_data[[#This Row],[Gross Sales]]-Cleaned_data[[#This Row],[Discount amount]]</f>
        <v>184.85290000000001</v>
      </c>
      <c r="AD357" s="10">
        <f>Cleaned_data[[#This Row],[Product Cost]]*Cleaned_data[[#This Row],[Quantity]]</f>
        <v>96</v>
      </c>
      <c r="AE357" s="10">
        <f>Cleaned_data[[#This Row],[Net Sales]]-Cleaned_data[[#This Row],[COGS]]</f>
        <v>88.852900000000005</v>
      </c>
      <c r="AF357" s="11">
        <f>Cleaned_data[[#This Row],[Gross Profit]]/Cleaned_data[[#This Row],[Net Sales]]</f>
        <v>0.48066814207404918</v>
      </c>
      <c r="AG357">
        <f>Cleaned_data[[#This Row],[Ship_Date]]-Cleaned_data[[#This Row],[Order_Date]]</f>
        <v>2</v>
      </c>
      <c r="AH357" t="str">
        <f>IF(Cleaned_data[[#This Row],[Delivery Days]]&gt;10,"late","on time")</f>
        <v>on time</v>
      </c>
      <c r="AI357" t="str">
        <f>TEXT(Cleaned_data[[#This Row],[Order_Date]],"mmmm")</f>
        <v>January</v>
      </c>
      <c r="AJ357" s="9" t="str">
        <f>"Q"&amp;ROUNDUP(MONTH(Cleaned_data[[#This Row],[Order_Date]])/3,0)</f>
        <v>Q1</v>
      </c>
    </row>
    <row r="358" spans="1:36">
      <c r="A358" t="s">
        <v>831</v>
      </c>
      <c r="B358" s="9">
        <v>45677</v>
      </c>
      <c r="C358" s="9">
        <v>45683</v>
      </c>
      <c r="D358" t="s">
        <v>728</v>
      </c>
      <c r="E358" t="s">
        <v>333</v>
      </c>
      <c r="F358" t="s">
        <v>89</v>
      </c>
      <c r="G358" t="s">
        <v>194</v>
      </c>
      <c r="H358" t="s">
        <v>195</v>
      </c>
      <c r="I358" t="s">
        <v>196</v>
      </c>
      <c r="J358" t="s">
        <v>109</v>
      </c>
      <c r="K358" t="s">
        <v>130</v>
      </c>
      <c r="L358" t="s">
        <v>118</v>
      </c>
      <c r="M358" t="s">
        <v>119</v>
      </c>
      <c r="N358" t="s">
        <v>120</v>
      </c>
      <c r="O358" t="s">
        <v>121</v>
      </c>
      <c r="P358" s="8">
        <v>1</v>
      </c>
      <c r="Q358" s="10">
        <v>275.31</v>
      </c>
      <c r="R358" s="11">
        <v>0.12</v>
      </c>
      <c r="S358" s="10">
        <v>19.489999999999998</v>
      </c>
      <c r="T358" t="s">
        <v>122</v>
      </c>
      <c r="U358" t="s">
        <v>85</v>
      </c>
      <c r="V358" s="8">
        <v>5</v>
      </c>
      <c r="W358" t="s">
        <v>1270</v>
      </c>
      <c r="X358" t="str">
        <f>_xlfn.XLOOKUP(Cleaned_data[[#This Row],[Customer_ID]],Customers[S],Customers[Loyalty_Tier])</f>
        <v>Platinum</v>
      </c>
      <c r="Y358" s="9">
        <f>_xlfn.XLOOKUP(Cleaned_data[[#This Row],[Customer_ID]],Customers[S],Customers[Signup_Date])</f>
        <v>45616</v>
      </c>
      <c r="Z358" s="12">
        <f>_xlfn.XLOOKUP(Cleaned_data[[#This Row],[SKU]],Products[SKU],Products[Standard_Cost])</f>
        <v>168</v>
      </c>
      <c r="AA358" s="10">
        <f>Cleaned_data[[#This Row],[Quantity]]*Cleaned_data[[#This Row],[Unit_Price]]</f>
        <v>275.31</v>
      </c>
      <c r="AB358" s="10">
        <f>Cleaned_data[[#This Row],[Unit_Price]]*Cleaned_data[[#This Row],[Discount_Pct]]</f>
        <v>33.037199999999999</v>
      </c>
      <c r="AC358" s="10">
        <f>Cleaned_data[[#This Row],[Gross Sales]]-Cleaned_data[[#This Row],[Discount amount]]</f>
        <v>242.27280000000002</v>
      </c>
      <c r="AD358" s="10">
        <f>Cleaned_data[[#This Row],[Product Cost]]*Cleaned_data[[#This Row],[Quantity]]</f>
        <v>168</v>
      </c>
      <c r="AE358" s="10">
        <f>Cleaned_data[[#This Row],[Net Sales]]-Cleaned_data[[#This Row],[COGS]]</f>
        <v>74.272800000000018</v>
      </c>
      <c r="AF358" s="11">
        <f>Cleaned_data[[#This Row],[Gross Profit]]/Cleaned_data[[#This Row],[Net Sales]]</f>
        <v>0.30656681228763616</v>
      </c>
      <c r="AG358">
        <f>Cleaned_data[[#This Row],[Ship_Date]]-Cleaned_data[[#This Row],[Order_Date]]</f>
        <v>6</v>
      </c>
      <c r="AH358" t="str">
        <f>IF(Cleaned_data[[#This Row],[Delivery Days]]&gt;10,"late","on time")</f>
        <v>on time</v>
      </c>
      <c r="AI358" t="str">
        <f>TEXT(Cleaned_data[[#This Row],[Order_Date]],"mmmm")</f>
        <v>January</v>
      </c>
      <c r="AJ358" s="9" t="str">
        <f>"Q"&amp;ROUNDUP(MONTH(Cleaned_data[[#This Row],[Order_Date]])/3,0)</f>
        <v>Q1</v>
      </c>
    </row>
    <row r="359" spans="1:36">
      <c r="A359" t="s">
        <v>832</v>
      </c>
      <c r="B359" s="9">
        <v>45677</v>
      </c>
      <c r="C359" s="9">
        <v>45687</v>
      </c>
      <c r="D359" t="s">
        <v>456</v>
      </c>
      <c r="E359" t="s">
        <v>369</v>
      </c>
      <c r="F359" t="s">
        <v>89</v>
      </c>
      <c r="G359" t="s">
        <v>138</v>
      </c>
      <c r="H359" t="s">
        <v>457</v>
      </c>
      <c r="I359" t="s">
        <v>458</v>
      </c>
      <c r="J359" t="s">
        <v>109</v>
      </c>
      <c r="K359" t="s">
        <v>79</v>
      </c>
      <c r="L359" t="s">
        <v>118</v>
      </c>
      <c r="M359" t="s">
        <v>119</v>
      </c>
      <c r="N359" t="s">
        <v>120</v>
      </c>
      <c r="O359" t="s">
        <v>121</v>
      </c>
      <c r="P359" s="8">
        <v>1</v>
      </c>
      <c r="Q359" s="10">
        <v>299.35000000000002</v>
      </c>
      <c r="R359" s="11">
        <v>7.0000000000000007E-2</v>
      </c>
      <c r="S359" s="10">
        <v>19.05</v>
      </c>
      <c r="T359" t="s">
        <v>134</v>
      </c>
      <c r="U359" t="s">
        <v>148</v>
      </c>
      <c r="V359" s="8">
        <v>4</v>
      </c>
      <c r="W359" t="s">
        <v>1270</v>
      </c>
      <c r="X359" t="str">
        <f>_xlfn.XLOOKUP(Cleaned_data[[#This Row],[Customer_ID]],Customers[S],Customers[Loyalty_Tier])</f>
        <v>Bronze</v>
      </c>
      <c r="Y359" s="9">
        <f>_xlfn.XLOOKUP(Cleaned_data[[#This Row],[Customer_ID]],Customers[S],Customers[Signup_Date])</f>
        <v>44735</v>
      </c>
      <c r="Z359" s="12">
        <f>_xlfn.XLOOKUP(Cleaned_data[[#This Row],[SKU]],Products[SKU],Products[Standard_Cost])</f>
        <v>168</v>
      </c>
      <c r="AA359" s="10">
        <f>Cleaned_data[[#This Row],[Quantity]]*Cleaned_data[[#This Row],[Unit_Price]]</f>
        <v>299.35000000000002</v>
      </c>
      <c r="AB359" s="10">
        <f>Cleaned_data[[#This Row],[Unit_Price]]*Cleaned_data[[#This Row],[Discount_Pct]]</f>
        <v>20.954500000000003</v>
      </c>
      <c r="AC359" s="10">
        <f>Cleaned_data[[#This Row],[Gross Sales]]-Cleaned_data[[#This Row],[Discount amount]]</f>
        <v>278.39550000000003</v>
      </c>
      <c r="AD359" s="10">
        <f>Cleaned_data[[#This Row],[Product Cost]]*Cleaned_data[[#This Row],[Quantity]]</f>
        <v>168</v>
      </c>
      <c r="AE359" s="10">
        <f>Cleaned_data[[#This Row],[Net Sales]]-Cleaned_data[[#This Row],[COGS]]</f>
        <v>110.39550000000003</v>
      </c>
      <c r="AF359" s="11">
        <f>Cleaned_data[[#This Row],[Gross Profit]]/Cleaned_data[[#This Row],[Net Sales]]</f>
        <v>0.39654196996718705</v>
      </c>
      <c r="AG359">
        <f>Cleaned_data[[#This Row],[Ship_Date]]-Cleaned_data[[#This Row],[Order_Date]]</f>
        <v>10</v>
      </c>
      <c r="AH359" t="str">
        <f>IF(Cleaned_data[[#This Row],[Delivery Days]]&gt;10,"late","on time")</f>
        <v>on time</v>
      </c>
      <c r="AI359" t="str">
        <f>TEXT(Cleaned_data[[#This Row],[Order_Date]],"mmmm")</f>
        <v>January</v>
      </c>
      <c r="AJ359" s="9" t="str">
        <f>"Q"&amp;ROUNDUP(MONTH(Cleaned_data[[#This Row],[Order_Date]])/3,0)</f>
        <v>Q1</v>
      </c>
    </row>
    <row r="360" spans="1:36">
      <c r="A360" t="s">
        <v>833</v>
      </c>
      <c r="B360" s="9">
        <v>45678</v>
      </c>
      <c r="C360" s="9">
        <v>45684</v>
      </c>
      <c r="D360" t="s">
        <v>205</v>
      </c>
      <c r="E360" t="s">
        <v>206</v>
      </c>
      <c r="F360" t="s">
        <v>74</v>
      </c>
      <c r="G360" t="s">
        <v>194</v>
      </c>
      <c r="H360" t="s">
        <v>202</v>
      </c>
      <c r="I360" t="s">
        <v>203</v>
      </c>
      <c r="J360" t="s">
        <v>109</v>
      </c>
      <c r="K360" t="s">
        <v>168</v>
      </c>
      <c r="L360" t="s">
        <v>254</v>
      </c>
      <c r="M360" t="s">
        <v>255</v>
      </c>
      <c r="N360" t="s">
        <v>82</v>
      </c>
      <c r="O360" t="s">
        <v>83</v>
      </c>
      <c r="P360" s="8">
        <v>3</v>
      </c>
      <c r="Q360" s="10">
        <v>90.66</v>
      </c>
      <c r="R360" s="11">
        <v>0.08</v>
      </c>
      <c r="S360" s="10">
        <v>5.88</v>
      </c>
      <c r="T360" t="s">
        <v>122</v>
      </c>
      <c r="U360" t="s">
        <v>85</v>
      </c>
      <c r="V360" s="8">
        <v>1</v>
      </c>
      <c r="W360" t="s">
        <v>1270</v>
      </c>
      <c r="X360" t="str">
        <f>_xlfn.XLOOKUP(Cleaned_data[[#This Row],[Customer_ID]],Customers[S],Customers[Loyalty_Tier])</f>
        <v>Silver</v>
      </c>
      <c r="Y360" s="9">
        <f>_xlfn.XLOOKUP(Cleaned_data[[#This Row],[Customer_ID]],Customers[S],Customers[Signup_Date])</f>
        <v>45725</v>
      </c>
      <c r="Z360" s="12">
        <f>_xlfn.XLOOKUP(Cleaned_data[[#This Row],[SKU]],Products[SKU],Products[Standard_Cost])</f>
        <v>48</v>
      </c>
      <c r="AA360" s="10">
        <f>Cleaned_data[[#This Row],[Quantity]]*Cleaned_data[[#This Row],[Unit_Price]]</f>
        <v>271.98</v>
      </c>
      <c r="AB360" s="10">
        <f>Cleaned_data[[#This Row],[Unit_Price]]*Cleaned_data[[#This Row],[Discount_Pct]]</f>
        <v>7.2527999999999997</v>
      </c>
      <c r="AC360" s="10">
        <f>Cleaned_data[[#This Row],[Gross Sales]]-Cleaned_data[[#This Row],[Discount amount]]</f>
        <v>264.72720000000004</v>
      </c>
      <c r="AD360" s="10">
        <f>Cleaned_data[[#This Row],[Product Cost]]*Cleaned_data[[#This Row],[Quantity]]</f>
        <v>144</v>
      </c>
      <c r="AE360" s="10">
        <f>Cleaned_data[[#This Row],[Net Sales]]-Cleaned_data[[#This Row],[COGS]]</f>
        <v>120.72720000000004</v>
      </c>
      <c r="AF360" s="11">
        <f>Cleaned_data[[#This Row],[Gross Profit]]/Cleaned_data[[#This Row],[Net Sales]]</f>
        <v>0.45604380660544147</v>
      </c>
      <c r="AG360">
        <f>Cleaned_data[[#This Row],[Ship_Date]]-Cleaned_data[[#This Row],[Order_Date]]</f>
        <v>6</v>
      </c>
      <c r="AH360" t="str">
        <f>IF(Cleaned_data[[#This Row],[Delivery Days]]&gt;10,"late","on time")</f>
        <v>on time</v>
      </c>
      <c r="AI360" t="str">
        <f>TEXT(Cleaned_data[[#This Row],[Order_Date]],"mmmm")</f>
        <v>January</v>
      </c>
      <c r="AJ360" s="9" t="str">
        <f>"Q"&amp;ROUNDUP(MONTH(Cleaned_data[[#This Row],[Order_Date]])/3,0)</f>
        <v>Q1</v>
      </c>
    </row>
    <row r="361" spans="1:36">
      <c r="A361" t="s">
        <v>834</v>
      </c>
      <c r="B361" s="9">
        <v>45678</v>
      </c>
      <c r="C361" s="9">
        <v>45682</v>
      </c>
      <c r="D361" t="s">
        <v>441</v>
      </c>
      <c r="E361" t="s">
        <v>442</v>
      </c>
      <c r="F361" t="s">
        <v>89</v>
      </c>
      <c r="G361" t="s">
        <v>194</v>
      </c>
      <c r="H361" t="s">
        <v>202</v>
      </c>
      <c r="I361" t="s">
        <v>203</v>
      </c>
      <c r="J361" t="s">
        <v>129</v>
      </c>
      <c r="K361" t="s">
        <v>100</v>
      </c>
      <c r="L361" t="s">
        <v>188</v>
      </c>
      <c r="M361" t="s">
        <v>189</v>
      </c>
      <c r="N361" t="s">
        <v>120</v>
      </c>
      <c r="O361" t="s">
        <v>190</v>
      </c>
      <c r="P361" s="8">
        <v>3</v>
      </c>
      <c r="Q361" s="10">
        <v>60.31</v>
      </c>
      <c r="R361" s="11">
        <v>0.02</v>
      </c>
      <c r="S361" s="10">
        <v>10.99</v>
      </c>
      <c r="T361" t="s">
        <v>84</v>
      </c>
      <c r="U361" t="s">
        <v>85</v>
      </c>
      <c r="V361" s="8">
        <v>5</v>
      </c>
      <c r="W361" t="s">
        <v>1270</v>
      </c>
      <c r="X361" t="str">
        <f>_xlfn.XLOOKUP(Cleaned_data[[#This Row],[Customer_ID]],Customers[S],Customers[Loyalty_Tier])</f>
        <v>Silver</v>
      </c>
      <c r="Y361" s="9">
        <f>_xlfn.XLOOKUP(Cleaned_data[[#This Row],[Customer_ID]],Customers[S],Customers[Signup_Date])</f>
        <v>45142</v>
      </c>
      <c r="Z361" s="12">
        <f>_xlfn.XLOOKUP(Cleaned_data[[#This Row],[SKU]],Products[SKU],Products[Standard_Cost])</f>
        <v>28</v>
      </c>
      <c r="AA361" s="10">
        <f>Cleaned_data[[#This Row],[Quantity]]*Cleaned_data[[#This Row],[Unit_Price]]</f>
        <v>180.93</v>
      </c>
      <c r="AB361" s="10">
        <f>Cleaned_data[[#This Row],[Unit_Price]]*Cleaned_data[[#This Row],[Discount_Pct]]</f>
        <v>1.2062000000000002</v>
      </c>
      <c r="AC361" s="10">
        <f>Cleaned_data[[#This Row],[Gross Sales]]-Cleaned_data[[#This Row],[Discount amount]]</f>
        <v>179.72380000000001</v>
      </c>
      <c r="AD361" s="10">
        <f>Cleaned_data[[#This Row],[Product Cost]]*Cleaned_data[[#This Row],[Quantity]]</f>
        <v>84</v>
      </c>
      <c r="AE361" s="10">
        <f>Cleaned_data[[#This Row],[Net Sales]]-Cleaned_data[[#This Row],[COGS]]</f>
        <v>95.723800000000011</v>
      </c>
      <c r="AF361" s="11">
        <f>Cleaned_data[[#This Row],[Gross Profit]]/Cleaned_data[[#This Row],[Net Sales]]</f>
        <v>0.53261615879477286</v>
      </c>
      <c r="AG361">
        <f>Cleaned_data[[#This Row],[Ship_Date]]-Cleaned_data[[#This Row],[Order_Date]]</f>
        <v>4</v>
      </c>
      <c r="AH361" t="str">
        <f>IF(Cleaned_data[[#This Row],[Delivery Days]]&gt;10,"late","on time")</f>
        <v>on time</v>
      </c>
      <c r="AI361" t="str">
        <f>TEXT(Cleaned_data[[#This Row],[Order_Date]],"mmmm")</f>
        <v>January</v>
      </c>
      <c r="AJ361" s="9" t="str">
        <f>"Q"&amp;ROUNDUP(MONTH(Cleaned_data[[#This Row],[Order_Date]])/3,0)</f>
        <v>Q1</v>
      </c>
    </row>
    <row r="362" spans="1:36">
      <c r="A362" t="s">
        <v>835</v>
      </c>
      <c r="B362" s="9">
        <v>45678</v>
      </c>
      <c r="C362" s="9">
        <v>45679</v>
      </c>
      <c r="D362" t="s">
        <v>145</v>
      </c>
      <c r="E362" t="s">
        <v>146</v>
      </c>
      <c r="F362" t="s">
        <v>74</v>
      </c>
      <c r="G362" t="s">
        <v>75</v>
      </c>
      <c r="H362" t="s">
        <v>116</v>
      </c>
      <c r="I362" t="s">
        <v>117</v>
      </c>
      <c r="J362" t="s">
        <v>109</v>
      </c>
      <c r="K362" t="s">
        <v>130</v>
      </c>
      <c r="L362" t="s">
        <v>261</v>
      </c>
      <c r="M362" t="s">
        <v>262</v>
      </c>
      <c r="N362" t="s">
        <v>103</v>
      </c>
      <c r="O362" t="s">
        <v>104</v>
      </c>
      <c r="P362" s="8">
        <v>5</v>
      </c>
      <c r="Q362" s="10">
        <v>26.93</v>
      </c>
      <c r="R362" s="11">
        <v>7.0000000000000007E-2</v>
      </c>
      <c r="S362" s="10">
        <v>9.74</v>
      </c>
      <c r="T362" t="s">
        <v>134</v>
      </c>
      <c r="U362" t="s">
        <v>148</v>
      </c>
      <c r="V362" s="8">
        <v>1</v>
      </c>
      <c r="W362" t="s">
        <v>1270</v>
      </c>
      <c r="X362" t="str">
        <f>_xlfn.XLOOKUP(Cleaned_data[[#This Row],[Customer_ID]],Customers[S],Customers[Loyalty_Tier])</f>
        <v>Platinum</v>
      </c>
      <c r="Y362" s="9">
        <f>_xlfn.XLOOKUP(Cleaned_data[[#This Row],[Customer_ID]],Customers[S],Customers[Signup_Date])</f>
        <v>44668</v>
      </c>
      <c r="Z362" s="12">
        <f>_xlfn.XLOOKUP(Cleaned_data[[#This Row],[SKU]],Products[SKU],Products[Standard_Cost])</f>
        <v>12</v>
      </c>
      <c r="AA362" s="10">
        <f>Cleaned_data[[#This Row],[Quantity]]*Cleaned_data[[#This Row],[Unit_Price]]</f>
        <v>134.65</v>
      </c>
      <c r="AB362" s="10">
        <f>Cleaned_data[[#This Row],[Unit_Price]]*Cleaned_data[[#This Row],[Discount_Pct]]</f>
        <v>1.8851000000000002</v>
      </c>
      <c r="AC362" s="10">
        <f>Cleaned_data[[#This Row],[Gross Sales]]-Cleaned_data[[#This Row],[Discount amount]]</f>
        <v>132.76490000000001</v>
      </c>
      <c r="AD362" s="10">
        <f>Cleaned_data[[#This Row],[Product Cost]]*Cleaned_data[[#This Row],[Quantity]]</f>
        <v>60</v>
      </c>
      <c r="AE362" s="10">
        <f>Cleaned_data[[#This Row],[Net Sales]]-Cleaned_data[[#This Row],[COGS]]</f>
        <v>72.764900000000011</v>
      </c>
      <c r="AF362" s="11">
        <f>Cleaned_data[[#This Row],[Gross Profit]]/Cleaned_data[[#This Row],[Net Sales]]</f>
        <v>0.54807332359682415</v>
      </c>
      <c r="AG362">
        <f>Cleaned_data[[#This Row],[Ship_Date]]-Cleaned_data[[#This Row],[Order_Date]]</f>
        <v>1</v>
      </c>
      <c r="AH362" t="str">
        <f>IF(Cleaned_data[[#This Row],[Delivery Days]]&gt;10,"late","on time")</f>
        <v>on time</v>
      </c>
      <c r="AI362" t="str">
        <f>TEXT(Cleaned_data[[#This Row],[Order_Date]],"mmmm")</f>
        <v>January</v>
      </c>
      <c r="AJ362" s="9" t="str">
        <f>"Q"&amp;ROUNDUP(MONTH(Cleaned_data[[#This Row],[Order_Date]])/3,0)</f>
        <v>Q1</v>
      </c>
    </row>
    <row r="363" spans="1:36">
      <c r="A363" t="s">
        <v>836</v>
      </c>
      <c r="B363" s="9">
        <v>45679</v>
      </c>
      <c r="C363" s="9">
        <v>45685</v>
      </c>
      <c r="D363" t="s">
        <v>1272</v>
      </c>
      <c r="E363" t="s">
        <v>342</v>
      </c>
      <c r="F363" t="s">
        <v>89</v>
      </c>
      <c r="G363" t="s">
        <v>138</v>
      </c>
      <c r="H363" t="s">
        <v>186</v>
      </c>
      <c r="I363" t="s">
        <v>187</v>
      </c>
      <c r="J363" t="s">
        <v>219</v>
      </c>
      <c r="K363" t="s">
        <v>130</v>
      </c>
      <c r="L363" t="s">
        <v>214</v>
      </c>
      <c r="M363" t="s">
        <v>215</v>
      </c>
      <c r="N363" t="s">
        <v>103</v>
      </c>
      <c r="O363" t="s">
        <v>171</v>
      </c>
      <c r="P363" s="8">
        <v>5</v>
      </c>
      <c r="Q363" s="10">
        <v>12.51</v>
      </c>
      <c r="R363" s="11">
        <v>0.11</v>
      </c>
      <c r="S363" s="10">
        <v>12.97</v>
      </c>
      <c r="T363" t="s">
        <v>134</v>
      </c>
      <c r="U363" t="s">
        <v>85</v>
      </c>
      <c r="V363" s="8">
        <v>4</v>
      </c>
      <c r="W363" t="s">
        <v>1280</v>
      </c>
      <c r="X363" t="e">
        <f>_xlfn.XLOOKUP(Cleaned_data[[#This Row],[Customer_ID]],Customers[S],Customers[Loyalty_Tier])</f>
        <v>#N/A</v>
      </c>
      <c r="Y363" s="9" t="e">
        <f>_xlfn.XLOOKUP(Cleaned_data[[#This Row],[Customer_ID]],Customers[S],Customers[Signup_Date])</f>
        <v>#N/A</v>
      </c>
      <c r="Z363" s="12">
        <f>_xlfn.XLOOKUP(Cleaned_data[[#This Row],[SKU]],Products[SKU],Products[Standard_Cost])</f>
        <v>5</v>
      </c>
      <c r="AA363" s="10">
        <f>Cleaned_data[[#This Row],[Quantity]]*Cleaned_data[[#This Row],[Unit_Price]]</f>
        <v>62.55</v>
      </c>
      <c r="AB363" s="10">
        <f>Cleaned_data[[#This Row],[Unit_Price]]*Cleaned_data[[#This Row],[Discount_Pct]]</f>
        <v>1.3760999999999999</v>
      </c>
      <c r="AC363" s="10">
        <f>Cleaned_data[[#This Row],[Gross Sales]]-Cleaned_data[[#This Row],[Discount amount]]</f>
        <v>61.173899999999996</v>
      </c>
      <c r="AD363" s="10">
        <f>Cleaned_data[[#This Row],[Product Cost]]*Cleaned_data[[#This Row],[Quantity]]</f>
        <v>25</v>
      </c>
      <c r="AE363" s="10">
        <f>Cleaned_data[[#This Row],[Net Sales]]-Cleaned_data[[#This Row],[COGS]]</f>
        <v>36.173899999999996</v>
      </c>
      <c r="AF363" s="11">
        <f>Cleaned_data[[#This Row],[Gross Profit]]/Cleaned_data[[#This Row],[Net Sales]]</f>
        <v>0.59132898180433158</v>
      </c>
      <c r="AG363">
        <f>Cleaned_data[[#This Row],[Ship_Date]]-Cleaned_data[[#This Row],[Order_Date]]</f>
        <v>6</v>
      </c>
      <c r="AH363" t="str">
        <f>IF(Cleaned_data[[#This Row],[Delivery Days]]&gt;10,"late","on time")</f>
        <v>on time</v>
      </c>
      <c r="AI363" t="str">
        <f>TEXT(Cleaned_data[[#This Row],[Order_Date]],"mmmm")</f>
        <v>January</v>
      </c>
      <c r="AJ363" s="9" t="str">
        <f>"Q"&amp;ROUNDUP(MONTH(Cleaned_data[[#This Row],[Order_Date]])/3,0)</f>
        <v>Q1</v>
      </c>
    </row>
    <row r="364" spans="1:36">
      <c r="A364" t="s">
        <v>837</v>
      </c>
      <c r="B364" s="9">
        <v>45680</v>
      </c>
      <c r="C364" s="9">
        <v>45682</v>
      </c>
      <c r="D364" t="s">
        <v>720</v>
      </c>
      <c r="E364" t="s">
        <v>721</v>
      </c>
      <c r="F364" t="s">
        <v>89</v>
      </c>
      <c r="G364" t="s">
        <v>75</v>
      </c>
      <c r="H364" t="s">
        <v>212</v>
      </c>
      <c r="I364" t="s">
        <v>213</v>
      </c>
      <c r="J364" t="s">
        <v>78</v>
      </c>
      <c r="K364" t="s">
        <v>147</v>
      </c>
      <c r="L364" t="s">
        <v>197</v>
      </c>
      <c r="M364" t="s">
        <v>198</v>
      </c>
      <c r="N364" t="s">
        <v>120</v>
      </c>
      <c r="O364" t="s">
        <v>121</v>
      </c>
      <c r="P364" s="8">
        <v>3</v>
      </c>
      <c r="Q364" s="10">
        <v>541.24</v>
      </c>
      <c r="R364" s="11">
        <v>0.03</v>
      </c>
      <c r="S364" s="10">
        <v>6.7</v>
      </c>
      <c r="T364" t="s">
        <v>122</v>
      </c>
      <c r="U364" t="s">
        <v>85</v>
      </c>
      <c r="V364" s="8">
        <v>5</v>
      </c>
      <c r="W364" t="s">
        <v>1270</v>
      </c>
      <c r="X364" t="str">
        <f>_xlfn.XLOOKUP(Cleaned_data[[#This Row],[Customer_ID]],Customers[S],Customers[Loyalty_Tier])</f>
        <v>Gold</v>
      </c>
      <c r="Y364" s="9">
        <f>_xlfn.XLOOKUP(Cleaned_data[[#This Row],[Customer_ID]],Customers[S],Customers[Signup_Date])</f>
        <v>44538</v>
      </c>
      <c r="Z364" s="12">
        <f>_xlfn.XLOOKUP(Cleaned_data[[#This Row],[SKU]],Products[SKU],Products[Standard_Cost])</f>
        <v>310</v>
      </c>
      <c r="AA364" s="10">
        <f>Cleaned_data[[#This Row],[Quantity]]*Cleaned_data[[#This Row],[Unit_Price]]</f>
        <v>1623.72</v>
      </c>
      <c r="AB364" s="10">
        <f>Cleaned_data[[#This Row],[Unit_Price]]*Cleaned_data[[#This Row],[Discount_Pct]]</f>
        <v>16.237200000000001</v>
      </c>
      <c r="AC364" s="10">
        <f>Cleaned_data[[#This Row],[Gross Sales]]-Cleaned_data[[#This Row],[Discount amount]]</f>
        <v>1607.4828</v>
      </c>
      <c r="AD364" s="10">
        <f>Cleaned_data[[#This Row],[Product Cost]]*Cleaned_data[[#This Row],[Quantity]]</f>
        <v>930</v>
      </c>
      <c r="AE364" s="10">
        <f>Cleaned_data[[#This Row],[Net Sales]]-Cleaned_data[[#This Row],[COGS]]</f>
        <v>677.4828</v>
      </c>
      <c r="AF364" s="11">
        <f>Cleaned_data[[#This Row],[Gross Profit]]/Cleaned_data[[#This Row],[Net Sales]]</f>
        <v>0.42145570702218399</v>
      </c>
      <c r="AG364">
        <f>Cleaned_data[[#This Row],[Ship_Date]]-Cleaned_data[[#This Row],[Order_Date]]</f>
        <v>2</v>
      </c>
      <c r="AH364" t="str">
        <f>IF(Cleaned_data[[#This Row],[Delivery Days]]&gt;10,"late","on time")</f>
        <v>on time</v>
      </c>
      <c r="AI364" t="str">
        <f>TEXT(Cleaned_data[[#This Row],[Order_Date]],"mmmm")</f>
        <v>January</v>
      </c>
      <c r="AJ364" s="9" t="str">
        <f>"Q"&amp;ROUNDUP(MONTH(Cleaned_data[[#This Row],[Order_Date]])/3,0)</f>
        <v>Q1</v>
      </c>
    </row>
    <row r="365" spans="1:36">
      <c r="A365" t="s">
        <v>838</v>
      </c>
      <c r="B365" s="9">
        <v>45683</v>
      </c>
      <c r="C365" s="9">
        <v>45693</v>
      </c>
      <c r="D365" t="s">
        <v>522</v>
      </c>
      <c r="E365" t="s">
        <v>512</v>
      </c>
      <c r="F365" t="s">
        <v>74</v>
      </c>
      <c r="G365" t="s">
        <v>194</v>
      </c>
      <c r="H365" t="s">
        <v>230</v>
      </c>
      <c r="I365" t="s">
        <v>231</v>
      </c>
      <c r="J365" t="s">
        <v>109</v>
      </c>
      <c r="K365" t="s">
        <v>130</v>
      </c>
      <c r="L365" t="s">
        <v>359</v>
      </c>
      <c r="M365" t="s">
        <v>360</v>
      </c>
      <c r="N365" t="s">
        <v>93</v>
      </c>
      <c r="O365" t="s">
        <v>94</v>
      </c>
      <c r="P365" s="8">
        <v>1</v>
      </c>
      <c r="Q365" s="10">
        <v>469.27</v>
      </c>
      <c r="R365" s="11">
        <v>0.08</v>
      </c>
      <c r="S365" s="10">
        <v>27.7</v>
      </c>
      <c r="T365" t="s">
        <v>134</v>
      </c>
      <c r="U365" t="s">
        <v>85</v>
      </c>
      <c r="V365" s="8">
        <v>1</v>
      </c>
      <c r="W365" t="s">
        <v>1270</v>
      </c>
      <c r="X365" t="str">
        <f>_xlfn.XLOOKUP(Cleaned_data[[#This Row],[Customer_ID]],Customers[S],Customers[Loyalty_Tier])</f>
        <v>Silver</v>
      </c>
      <c r="Y365" s="9">
        <f>_xlfn.XLOOKUP(Cleaned_data[[#This Row],[Customer_ID]],Customers[S],Customers[Signup_Date])</f>
        <v>44653</v>
      </c>
      <c r="Z365" s="12">
        <f>_xlfn.XLOOKUP(Cleaned_data[[#This Row],[SKU]],Products[SKU],Products[Standard_Cost])</f>
        <v>265</v>
      </c>
      <c r="AA365" s="10">
        <f>Cleaned_data[[#This Row],[Quantity]]*Cleaned_data[[#This Row],[Unit_Price]]</f>
        <v>469.27</v>
      </c>
      <c r="AB365" s="10">
        <f>Cleaned_data[[#This Row],[Unit_Price]]*Cleaned_data[[#This Row],[Discount_Pct]]</f>
        <v>37.541600000000003</v>
      </c>
      <c r="AC365" s="10">
        <f>Cleaned_data[[#This Row],[Gross Sales]]-Cleaned_data[[#This Row],[Discount amount]]</f>
        <v>431.72839999999997</v>
      </c>
      <c r="AD365" s="10">
        <f>Cleaned_data[[#This Row],[Product Cost]]*Cleaned_data[[#This Row],[Quantity]]</f>
        <v>265</v>
      </c>
      <c r="AE365" s="10">
        <f>Cleaned_data[[#This Row],[Net Sales]]-Cleaned_data[[#This Row],[COGS]]</f>
        <v>166.72839999999997</v>
      </c>
      <c r="AF365" s="11">
        <f>Cleaned_data[[#This Row],[Gross Profit]]/Cleaned_data[[#This Row],[Net Sales]]</f>
        <v>0.38618816830210839</v>
      </c>
      <c r="AG365">
        <f>Cleaned_data[[#This Row],[Ship_Date]]-Cleaned_data[[#This Row],[Order_Date]]</f>
        <v>10</v>
      </c>
      <c r="AH365" t="str">
        <f>IF(Cleaned_data[[#This Row],[Delivery Days]]&gt;10,"late","on time")</f>
        <v>on time</v>
      </c>
      <c r="AI365" t="str">
        <f>TEXT(Cleaned_data[[#This Row],[Order_Date]],"mmmm")</f>
        <v>January</v>
      </c>
      <c r="AJ365" s="9" t="str">
        <f>"Q"&amp;ROUNDUP(MONTH(Cleaned_data[[#This Row],[Order_Date]])/3,0)</f>
        <v>Q1</v>
      </c>
    </row>
    <row r="366" spans="1:36">
      <c r="A366" t="s">
        <v>839</v>
      </c>
      <c r="B366" s="9">
        <v>45684</v>
      </c>
      <c r="C366" s="9">
        <v>45688</v>
      </c>
      <c r="D366" t="s">
        <v>508</v>
      </c>
      <c r="E366" t="s">
        <v>509</v>
      </c>
      <c r="F366" t="s">
        <v>74</v>
      </c>
      <c r="G366" t="s">
        <v>75</v>
      </c>
      <c r="H366" t="s">
        <v>76</v>
      </c>
      <c r="I366" t="s">
        <v>77</v>
      </c>
      <c r="J366" t="s">
        <v>219</v>
      </c>
      <c r="K366" t="s">
        <v>90</v>
      </c>
      <c r="L366" t="s">
        <v>101</v>
      </c>
      <c r="M366" t="s">
        <v>102</v>
      </c>
      <c r="N366" t="s">
        <v>103</v>
      </c>
      <c r="O366" t="s">
        <v>104</v>
      </c>
      <c r="P366" s="8">
        <v>10</v>
      </c>
      <c r="Q366" s="10">
        <v>74.64</v>
      </c>
      <c r="R366" s="11">
        <v>0.08</v>
      </c>
      <c r="S366" s="10">
        <v>5.88</v>
      </c>
      <c r="T366" t="s">
        <v>105</v>
      </c>
      <c r="U366" t="s">
        <v>85</v>
      </c>
      <c r="V366" s="8">
        <v>3</v>
      </c>
      <c r="W366" t="s">
        <v>1270</v>
      </c>
      <c r="X366" t="str">
        <f>_xlfn.XLOOKUP(Cleaned_data[[#This Row],[Customer_ID]],Customers[S],Customers[Loyalty_Tier])</f>
        <v>Platinum</v>
      </c>
      <c r="Y366" s="9">
        <f>_xlfn.XLOOKUP(Cleaned_data[[#This Row],[Customer_ID]],Customers[S],Customers[Signup_Date])</f>
        <v>44820</v>
      </c>
      <c r="Z366" s="12">
        <f>_xlfn.XLOOKUP(Cleaned_data[[#This Row],[SKU]],Products[SKU],Products[Standard_Cost])</f>
        <v>36</v>
      </c>
      <c r="AA366" s="10">
        <f>Cleaned_data[[#This Row],[Quantity]]*Cleaned_data[[#This Row],[Unit_Price]]</f>
        <v>746.4</v>
      </c>
      <c r="AB366" s="10">
        <f>Cleaned_data[[#This Row],[Unit_Price]]*Cleaned_data[[#This Row],[Discount_Pct]]</f>
        <v>5.9712000000000005</v>
      </c>
      <c r="AC366" s="10">
        <f>Cleaned_data[[#This Row],[Gross Sales]]-Cleaned_data[[#This Row],[Discount amount]]</f>
        <v>740.42880000000002</v>
      </c>
      <c r="AD366" s="10">
        <f>Cleaned_data[[#This Row],[Product Cost]]*Cleaned_data[[#This Row],[Quantity]]</f>
        <v>360</v>
      </c>
      <c r="AE366" s="10">
        <f>Cleaned_data[[#This Row],[Net Sales]]-Cleaned_data[[#This Row],[COGS]]</f>
        <v>380.42880000000002</v>
      </c>
      <c r="AF366" s="11">
        <f>Cleaned_data[[#This Row],[Gross Profit]]/Cleaned_data[[#This Row],[Net Sales]]</f>
        <v>0.51379524945545074</v>
      </c>
      <c r="AG366">
        <f>Cleaned_data[[#This Row],[Ship_Date]]-Cleaned_data[[#This Row],[Order_Date]]</f>
        <v>4</v>
      </c>
      <c r="AH366" t="str">
        <f>IF(Cleaned_data[[#This Row],[Delivery Days]]&gt;10,"late","on time")</f>
        <v>on time</v>
      </c>
      <c r="AI366" t="str">
        <f>TEXT(Cleaned_data[[#This Row],[Order_Date]],"mmmm")</f>
        <v>January</v>
      </c>
      <c r="AJ366" s="9" t="str">
        <f>"Q"&amp;ROUNDUP(MONTH(Cleaned_data[[#This Row],[Order_Date]])/3,0)</f>
        <v>Q1</v>
      </c>
    </row>
    <row r="367" spans="1:36">
      <c r="A367" t="s">
        <v>840</v>
      </c>
      <c r="B367" s="9">
        <v>45684</v>
      </c>
      <c r="C367" s="9">
        <v>45682</v>
      </c>
      <c r="D367" t="s">
        <v>841</v>
      </c>
      <c r="E367" t="s">
        <v>842</v>
      </c>
      <c r="F367" t="s">
        <v>74</v>
      </c>
      <c r="G367" t="s">
        <v>126</v>
      </c>
      <c r="H367" t="s">
        <v>160</v>
      </c>
      <c r="I367" t="s">
        <v>182</v>
      </c>
      <c r="J367" t="s">
        <v>219</v>
      </c>
      <c r="K367" t="s">
        <v>147</v>
      </c>
      <c r="L367" t="s">
        <v>337</v>
      </c>
      <c r="M367" t="s">
        <v>338</v>
      </c>
      <c r="N367" t="s">
        <v>93</v>
      </c>
      <c r="O367" t="s">
        <v>236</v>
      </c>
      <c r="P367" s="8">
        <v>2</v>
      </c>
      <c r="Q367" s="10">
        <v>275.27</v>
      </c>
      <c r="R367" s="11">
        <v>0.11</v>
      </c>
      <c r="S367" s="10">
        <v>19.649999999999999</v>
      </c>
      <c r="T367" t="s">
        <v>122</v>
      </c>
      <c r="U367" t="s">
        <v>148</v>
      </c>
      <c r="V367" s="8">
        <v>5</v>
      </c>
      <c r="W367" t="s">
        <v>1275</v>
      </c>
      <c r="X367" t="str">
        <f>_xlfn.XLOOKUP(Cleaned_data[[#This Row],[Customer_ID]],Customers[S],Customers[Loyalty_Tier])</f>
        <v>Gold</v>
      </c>
      <c r="Y367" s="9">
        <f>_xlfn.XLOOKUP(Cleaned_data[[#This Row],[Customer_ID]],Customers[S],Customers[Signup_Date])</f>
        <v>45132</v>
      </c>
      <c r="Z367" s="12">
        <f>_xlfn.XLOOKUP(Cleaned_data[[#This Row],[SKU]],Products[SKU],Products[Standard_Cost])</f>
        <v>146</v>
      </c>
      <c r="AA367" s="10">
        <f>Cleaned_data[[#This Row],[Quantity]]*Cleaned_data[[#This Row],[Unit_Price]]</f>
        <v>550.54</v>
      </c>
      <c r="AB367" s="10">
        <f>Cleaned_data[[#This Row],[Unit_Price]]*Cleaned_data[[#This Row],[Discount_Pct]]</f>
        <v>30.279699999999998</v>
      </c>
      <c r="AC367" s="10">
        <f>Cleaned_data[[#This Row],[Gross Sales]]-Cleaned_data[[#This Row],[Discount amount]]</f>
        <v>520.26029999999992</v>
      </c>
      <c r="AD367" s="10">
        <f>Cleaned_data[[#This Row],[Product Cost]]*Cleaned_data[[#This Row],[Quantity]]</f>
        <v>292</v>
      </c>
      <c r="AE367" s="10">
        <f>Cleaned_data[[#This Row],[Net Sales]]-Cleaned_data[[#This Row],[COGS]]</f>
        <v>228.26029999999992</v>
      </c>
      <c r="AF367" s="11">
        <f>Cleaned_data[[#This Row],[Gross Profit]]/Cleaned_data[[#This Row],[Net Sales]]</f>
        <v>0.43874249101843815</v>
      </c>
      <c r="AG367">
        <f>Cleaned_data[[#This Row],[Ship_Date]]-Cleaned_data[[#This Row],[Order_Date]]</f>
        <v>-2</v>
      </c>
      <c r="AH367" t="str">
        <f>IF(Cleaned_data[[#This Row],[Delivery Days]]&gt;10,"late","on time")</f>
        <v>on time</v>
      </c>
      <c r="AI367" t="str">
        <f>TEXT(Cleaned_data[[#This Row],[Order_Date]],"mmmm")</f>
        <v>January</v>
      </c>
      <c r="AJ367" s="9" t="str">
        <f>"Q"&amp;ROUNDUP(MONTH(Cleaned_data[[#This Row],[Order_Date]])/3,0)</f>
        <v>Q1</v>
      </c>
    </row>
    <row r="368" spans="1:36">
      <c r="A368" t="s">
        <v>843</v>
      </c>
      <c r="B368" s="9">
        <v>45686</v>
      </c>
      <c r="C368" s="9">
        <v>45688</v>
      </c>
      <c r="D368" t="s">
        <v>844</v>
      </c>
      <c r="E368" t="s">
        <v>845</v>
      </c>
      <c r="F368" t="s">
        <v>74</v>
      </c>
      <c r="G368" t="s">
        <v>138</v>
      </c>
      <c r="H368" t="s">
        <v>186</v>
      </c>
      <c r="I368" t="s">
        <v>187</v>
      </c>
      <c r="J368" t="s">
        <v>78</v>
      </c>
      <c r="K368" t="s">
        <v>147</v>
      </c>
      <c r="L368" t="s">
        <v>101</v>
      </c>
      <c r="M368" t="s">
        <v>102</v>
      </c>
      <c r="N368" t="s">
        <v>103</v>
      </c>
      <c r="O368" t="s">
        <v>104</v>
      </c>
      <c r="P368" s="8">
        <v>6</v>
      </c>
      <c r="Q368" s="10">
        <v>76.709999999999994</v>
      </c>
      <c r="R368" s="11">
        <v>0.11</v>
      </c>
      <c r="S368" s="10">
        <v>7.16</v>
      </c>
      <c r="T368" t="s">
        <v>84</v>
      </c>
      <c r="U368" t="s">
        <v>85</v>
      </c>
      <c r="V368" s="8">
        <v>2</v>
      </c>
      <c r="W368" t="s">
        <v>1270</v>
      </c>
      <c r="X368" t="str">
        <f>_xlfn.XLOOKUP(Cleaned_data[[#This Row],[Customer_ID]],Customers[S],Customers[Loyalty_Tier])</f>
        <v>Silver</v>
      </c>
      <c r="Y368" s="9">
        <f>_xlfn.XLOOKUP(Cleaned_data[[#This Row],[Customer_ID]],Customers[S],Customers[Signup_Date])</f>
        <v>45706</v>
      </c>
      <c r="Z368" s="12">
        <f>_xlfn.XLOOKUP(Cleaned_data[[#This Row],[SKU]],Products[SKU],Products[Standard_Cost])</f>
        <v>36</v>
      </c>
      <c r="AA368" s="10">
        <f>Cleaned_data[[#This Row],[Quantity]]*Cleaned_data[[#This Row],[Unit_Price]]</f>
        <v>460.26</v>
      </c>
      <c r="AB368" s="10">
        <f>Cleaned_data[[#This Row],[Unit_Price]]*Cleaned_data[[#This Row],[Discount_Pct]]</f>
        <v>8.4380999999999986</v>
      </c>
      <c r="AC368" s="10">
        <f>Cleaned_data[[#This Row],[Gross Sales]]-Cleaned_data[[#This Row],[Discount amount]]</f>
        <v>451.82189999999997</v>
      </c>
      <c r="AD368" s="10">
        <f>Cleaned_data[[#This Row],[Product Cost]]*Cleaned_data[[#This Row],[Quantity]]</f>
        <v>216</v>
      </c>
      <c r="AE368" s="10">
        <f>Cleaned_data[[#This Row],[Net Sales]]-Cleaned_data[[#This Row],[COGS]]</f>
        <v>235.82189999999997</v>
      </c>
      <c r="AF368" s="11">
        <f>Cleaned_data[[#This Row],[Gross Profit]]/Cleaned_data[[#This Row],[Net Sales]]</f>
        <v>0.52193552370967411</v>
      </c>
      <c r="AG368">
        <f>Cleaned_data[[#This Row],[Ship_Date]]-Cleaned_data[[#This Row],[Order_Date]]</f>
        <v>2</v>
      </c>
      <c r="AH368" t="str">
        <f>IF(Cleaned_data[[#This Row],[Delivery Days]]&gt;10,"late","on time")</f>
        <v>on time</v>
      </c>
      <c r="AI368" t="str">
        <f>TEXT(Cleaned_data[[#This Row],[Order_Date]],"mmmm")</f>
        <v>January</v>
      </c>
      <c r="AJ368" s="9" t="str">
        <f>"Q"&amp;ROUNDUP(MONTH(Cleaned_data[[#This Row],[Order_Date]])/3,0)</f>
        <v>Q1</v>
      </c>
    </row>
    <row r="369" spans="1:36">
      <c r="A369" t="s">
        <v>846</v>
      </c>
      <c r="B369" s="9">
        <v>45687</v>
      </c>
      <c r="C369" s="9">
        <v>45689</v>
      </c>
      <c r="D369" t="s">
        <v>435</v>
      </c>
      <c r="E369" t="s">
        <v>436</v>
      </c>
      <c r="F369" t="s">
        <v>89</v>
      </c>
      <c r="G369" t="s">
        <v>138</v>
      </c>
      <c r="H369" t="s">
        <v>153</v>
      </c>
      <c r="I369" t="s">
        <v>154</v>
      </c>
      <c r="J369" t="s">
        <v>78</v>
      </c>
      <c r="K369" t="s">
        <v>130</v>
      </c>
      <c r="L369" t="s">
        <v>155</v>
      </c>
      <c r="M369" t="s">
        <v>156</v>
      </c>
      <c r="N369" t="s">
        <v>82</v>
      </c>
      <c r="O369" t="s">
        <v>112</v>
      </c>
      <c r="P369" s="8">
        <v>10</v>
      </c>
      <c r="Q369" s="10">
        <v>175.89</v>
      </c>
      <c r="R369" s="11">
        <v>0.11</v>
      </c>
      <c r="S369" s="10">
        <v>9.2899999999999991</v>
      </c>
      <c r="T369" t="s">
        <v>122</v>
      </c>
      <c r="U369" t="s">
        <v>85</v>
      </c>
      <c r="V369" s="8">
        <v>3</v>
      </c>
      <c r="W369" t="s">
        <v>1270</v>
      </c>
      <c r="X369" t="str">
        <f>_xlfn.XLOOKUP(Cleaned_data[[#This Row],[Customer_ID]],Customers[S],Customers[Loyalty_Tier])</f>
        <v>Silver</v>
      </c>
      <c r="Y369" s="9">
        <f>_xlfn.XLOOKUP(Cleaned_data[[#This Row],[Customer_ID]],Customers[S],Customers[Signup_Date])</f>
        <v>45394</v>
      </c>
      <c r="Z369" s="12">
        <f>_xlfn.XLOOKUP(Cleaned_data[[#This Row],[SKU]],Products[SKU],Products[Standard_Cost])</f>
        <v>82</v>
      </c>
      <c r="AA369" s="10">
        <f>Cleaned_data[[#This Row],[Quantity]]*Cleaned_data[[#This Row],[Unit_Price]]</f>
        <v>1758.8999999999999</v>
      </c>
      <c r="AB369" s="10">
        <f>Cleaned_data[[#This Row],[Unit_Price]]*Cleaned_data[[#This Row],[Discount_Pct]]</f>
        <v>19.347899999999999</v>
      </c>
      <c r="AC369" s="10">
        <f>Cleaned_data[[#This Row],[Gross Sales]]-Cleaned_data[[#This Row],[Discount amount]]</f>
        <v>1739.5520999999999</v>
      </c>
      <c r="AD369" s="10">
        <f>Cleaned_data[[#This Row],[Product Cost]]*Cleaned_data[[#This Row],[Quantity]]</f>
        <v>820</v>
      </c>
      <c r="AE369" s="10">
        <f>Cleaned_data[[#This Row],[Net Sales]]-Cleaned_data[[#This Row],[COGS]]</f>
        <v>919.55209999999988</v>
      </c>
      <c r="AF369" s="11">
        <f>Cleaned_data[[#This Row],[Gross Profit]]/Cleaned_data[[#This Row],[Net Sales]]</f>
        <v>0.52861429100053969</v>
      </c>
      <c r="AG369">
        <f>Cleaned_data[[#This Row],[Ship_Date]]-Cleaned_data[[#This Row],[Order_Date]]</f>
        <v>2</v>
      </c>
      <c r="AH369" t="str">
        <f>IF(Cleaned_data[[#This Row],[Delivery Days]]&gt;10,"late","on time")</f>
        <v>on time</v>
      </c>
      <c r="AI369" t="str">
        <f>TEXT(Cleaned_data[[#This Row],[Order_Date]],"mmmm")</f>
        <v>January</v>
      </c>
      <c r="AJ369" s="9" t="str">
        <f>"Q"&amp;ROUNDUP(MONTH(Cleaned_data[[#This Row],[Order_Date]])/3,0)</f>
        <v>Q1</v>
      </c>
    </row>
    <row r="370" spans="1:36">
      <c r="A370" t="s">
        <v>847</v>
      </c>
      <c r="B370" s="9">
        <v>45687</v>
      </c>
      <c r="C370" s="9">
        <v>45694</v>
      </c>
      <c r="D370" t="s">
        <v>114</v>
      </c>
      <c r="E370" t="s">
        <v>115</v>
      </c>
      <c r="F370" t="s">
        <v>89</v>
      </c>
      <c r="G370" t="s">
        <v>75</v>
      </c>
      <c r="H370" t="s">
        <v>116</v>
      </c>
      <c r="I370" t="s">
        <v>117</v>
      </c>
      <c r="J370" t="s">
        <v>129</v>
      </c>
      <c r="K370" t="s">
        <v>100</v>
      </c>
      <c r="L370" t="s">
        <v>197</v>
      </c>
      <c r="M370" t="s">
        <v>198</v>
      </c>
      <c r="N370" t="s">
        <v>120</v>
      </c>
      <c r="O370" t="s">
        <v>121</v>
      </c>
      <c r="P370" s="8">
        <v>1</v>
      </c>
      <c r="Q370" s="10">
        <v>514.99</v>
      </c>
      <c r="R370" s="11">
        <v>0.05</v>
      </c>
      <c r="S370" s="10">
        <v>12.57</v>
      </c>
      <c r="T370" t="s">
        <v>84</v>
      </c>
      <c r="U370" t="s">
        <v>85</v>
      </c>
      <c r="V370" s="8">
        <v>4</v>
      </c>
      <c r="W370" t="s">
        <v>1270</v>
      </c>
      <c r="X370" t="str">
        <f>_xlfn.XLOOKUP(Cleaned_data[[#This Row],[Customer_ID]],Customers[S],Customers[Loyalty_Tier])</f>
        <v>Bronze</v>
      </c>
      <c r="Y370" s="9">
        <f>_xlfn.XLOOKUP(Cleaned_data[[#This Row],[Customer_ID]],Customers[S],Customers[Signup_Date])</f>
        <v>44594</v>
      </c>
      <c r="Z370" s="12">
        <f>_xlfn.XLOOKUP(Cleaned_data[[#This Row],[SKU]],Products[SKU],Products[Standard_Cost])</f>
        <v>310</v>
      </c>
      <c r="AA370" s="10">
        <f>Cleaned_data[[#This Row],[Quantity]]*Cleaned_data[[#This Row],[Unit_Price]]</f>
        <v>514.99</v>
      </c>
      <c r="AB370" s="10">
        <f>Cleaned_data[[#This Row],[Unit_Price]]*Cleaned_data[[#This Row],[Discount_Pct]]</f>
        <v>25.749500000000001</v>
      </c>
      <c r="AC370" s="10">
        <f>Cleaned_data[[#This Row],[Gross Sales]]-Cleaned_data[[#This Row],[Discount amount]]</f>
        <v>489.2405</v>
      </c>
      <c r="AD370" s="10">
        <f>Cleaned_data[[#This Row],[Product Cost]]*Cleaned_data[[#This Row],[Quantity]]</f>
        <v>310</v>
      </c>
      <c r="AE370" s="10">
        <f>Cleaned_data[[#This Row],[Net Sales]]-Cleaned_data[[#This Row],[COGS]]</f>
        <v>179.2405</v>
      </c>
      <c r="AF370" s="11">
        <f>Cleaned_data[[#This Row],[Gross Profit]]/Cleaned_data[[#This Row],[Net Sales]]</f>
        <v>0.36636480422205436</v>
      </c>
      <c r="AG370">
        <f>Cleaned_data[[#This Row],[Ship_Date]]-Cleaned_data[[#This Row],[Order_Date]]</f>
        <v>7</v>
      </c>
      <c r="AH370" t="str">
        <f>IF(Cleaned_data[[#This Row],[Delivery Days]]&gt;10,"late","on time")</f>
        <v>on time</v>
      </c>
      <c r="AI370" t="str">
        <f>TEXT(Cleaned_data[[#This Row],[Order_Date]],"mmmm")</f>
        <v>January</v>
      </c>
      <c r="AJ370" s="9" t="str">
        <f>"Q"&amp;ROUNDUP(MONTH(Cleaned_data[[#This Row],[Order_Date]])/3,0)</f>
        <v>Q1</v>
      </c>
    </row>
    <row r="371" spans="1:36">
      <c r="A371" t="s">
        <v>848</v>
      </c>
      <c r="B371" s="9">
        <v>45688</v>
      </c>
      <c r="C371" s="9">
        <v>45692</v>
      </c>
      <c r="D371" t="s">
        <v>849</v>
      </c>
      <c r="E371" t="s">
        <v>137</v>
      </c>
      <c r="F371" t="s">
        <v>152</v>
      </c>
      <c r="G371" t="s">
        <v>126</v>
      </c>
      <c r="H371" t="s">
        <v>160</v>
      </c>
      <c r="I371" t="s">
        <v>161</v>
      </c>
      <c r="J371" t="s">
        <v>219</v>
      </c>
      <c r="K371" t="s">
        <v>168</v>
      </c>
      <c r="L371" t="s">
        <v>214</v>
      </c>
      <c r="M371" t="s">
        <v>215</v>
      </c>
      <c r="N371" t="s">
        <v>103</v>
      </c>
      <c r="O371" t="s">
        <v>171</v>
      </c>
      <c r="P371" s="8">
        <v>9</v>
      </c>
      <c r="Q371" s="10">
        <v>11.37</v>
      </c>
      <c r="R371" s="11">
        <v>0.23</v>
      </c>
      <c r="S371" s="10">
        <v>7</v>
      </c>
      <c r="T371" t="s">
        <v>84</v>
      </c>
      <c r="U371" t="s">
        <v>85</v>
      </c>
      <c r="V371" s="8">
        <v>5</v>
      </c>
      <c r="W371" t="s">
        <v>1270</v>
      </c>
      <c r="X371" t="str">
        <f>_xlfn.XLOOKUP(Cleaned_data[[#This Row],[Customer_ID]],Customers[S],Customers[Loyalty_Tier])</f>
        <v>Gold</v>
      </c>
      <c r="Y371" s="9">
        <f>_xlfn.XLOOKUP(Cleaned_data[[#This Row],[Customer_ID]],Customers[S],Customers[Signup_Date])</f>
        <v>45677</v>
      </c>
      <c r="Z371" s="12">
        <f>_xlfn.XLOOKUP(Cleaned_data[[#This Row],[SKU]],Products[SKU],Products[Standard_Cost])</f>
        <v>5</v>
      </c>
      <c r="AA371" s="10">
        <f>Cleaned_data[[#This Row],[Quantity]]*Cleaned_data[[#This Row],[Unit_Price]]</f>
        <v>102.33</v>
      </c>
      <c r="AB371" s="10">
        <f>Cleaned_data[[#This Row],[Unit_Price]]*Cleaned_data[[#This Row],[Discount_Pct]]</f>
        <v>2.6151</v>
      </c>
      <c r="AC371" s="10">
        <f>Cleaned_data[[#This Row],[Gross Sales]]-Cleaned_data[[#This Row],[Discount amount]]</f>
        <v>99.7149</v>
      </c>
      <c r="AD371" s="10">
        <f>Cleaned_data[[#This Row],[Product Cost]]*Cleaned_data[[#This Row],[Quantity]]</f>
        <v>45</v>
      </c>
      <c r="AE371" s="10">
        <f>Cleaned_data[[#This Row],[Net Sales]]-Cleaned_data[[#This Row],[COGS]]</f>
        <v>54.7149</v>
      </c>
      <c r="AF371" s="11">
        <f>Cleaned_data[[#This Row],[Gross Profit]]/Cleaned_data[[#This Row],[Net Sales]]</f>
        <v>0.54871338185165908</v>
      </c>
      <c r="AG371">
        <f>Cleaned_data[[#This Row],[Ship_Date]]-Cleaned_data[[#This Row],[Order_Date]]</f>
        <v>4</v>
      </c>
      <c r="AH371" t="str">
        <f>IF(Cleaned_data[[#This Row],[Delivery Days]]&gt;10,"late","on time")</f>
        <v>on time</v>
      </c>
      <c r="AI371" t="str">
        <f>TEXT(Cleaned_data[[#This Row],[Order_Date]],"mmmm")</f>
        <v>January</v>
      </c>
      <c r="AJ371" s="9" t="str">
        <f>"Q"&amp;ROUNDUP(MONTH(Cleaned_data[[#This Row],[Order_Date]])/3,0)</f>
        <v>Q1</v>
      </c>
    </row>
    <row r="372" spans="1:36">
      <c r="A372" t="s">
        <v>850</v>
      </c>
      <c r="B372" s="9">
        <v>45688</v>
      </c>
      <c r="C372" s="9">
        <v>45696</v>
      </c>
      <c r="D372" t="s">
        <v>319</v>
      </c>
      <c r="E372" t="s">
        <v>320</v>
      </c>
      <c r="F372" t="s">
        <v>152</v>
      </c>
      <c r="G372" t="s">
        <v>75</v>
      </c>
      <c r="H372" t="s">
        <v>212</v>
      </c>
      <c r="I372" t="s">
        <v>213</v>
      </c>
      <c r="J372" t="s">
        <v>78</v>
      </c>
      <c r="K372" t="s">
        <v>100</v>
      </c>
      <c r="L372" t="s">
        <v>118</v>
      </c>
      <c r="M372" t="s">
        <v>119</v>
      </c>
      <c r="N372" t="s">
        <v>120</v>
      </c>
      <c r="O372" t="s">
        <v>121</v>
      </c>
      <c r="P372" s="8">
        <v>2</v>
      </c>
      <c r="Q372" s="10">
        <v>286.29000000000002</v>
      </c>
      <c r="R372" s="11">
        <v>0.04</v>
      </c>
      <c r="S372" s="10">
        <v>5.45</v>
      </c>
      <c r="T372" t="s">
        <v>122</v>
      </c>
      <c r="U372" t="s">
        <v>85</v>
      </c>
      <c r="V372" s="8">
        <v>4</v>
      </c>
      <c r="W372" t="s">
        <v>1270</v>
      </c>
      <c r="X372" t="str">
        <f>_xlfn.XLOOKUP(Cleaned_data[[#This Row],[Customer_ID]],Customers[S],Customers[Loyalty_Tier])</f>
        <v>Platinum</v>
      </c>
      <c r="Y372" s="9">
        <f>_xlfn.XLOOKUP(Cleaned_data[[#This Row],[Customer_ID]],Customers[S],Customers[Signup_Date])</f>
        <v>44545</v>
      </c>
      <c r="Z372" s="12">
        <f>_xlfn.XLOOKUP(Cleaned_data[[#This Row],[SKU]],Products[SKU],Products[Standard_Cost])</f>
        <v>168</v>
      </c>
      <c r="AA372" s="10">
        <f>Cleaned_data[[#This Row],[Quantity]]*Cleaned_data[[#This Row],[Unit_Price]]</f>
        <v>572.58000000000004</v>
      </c>
      <c r="AB372" s="10">
        <f>Cleaned_data[[#This Row],[Unit_Price]]*Cleaned_data[[#This Row],[Discount_Pct]]</f>
        <v>11.451600000000001</v>
      </c>
      <c r="AC372" s="10">
        <f>Cleaned_data[[#This Row],[Gross Sales]]-Cleaned_data[[#This Row],[Discount amount]]</f>
        <v>561.12840000000006</v>
      </c>
      <c r="AD372" s="10">
        <f>Cleaned_data[[#This Row],[Product Cost]]*Cleaned_data[[#This Row],[Quantity]]</f>
        <v>336</v>
      </c>
      <c r="AE372" s="10">
        <f>Cleaned_data[[#This Row],[Net Sales]]-Cleaned_data[[#This Row],[COGS]]</f>
        <v>225.12840000000006</v>
      </c>
      <c r="AF372" s="11">
        <f>Cleaned_data[[#This Row],[Gross Profit]]/Cleaned_data[[#This Row],[Net Sales]]</f>
        <v>0.40120656876394073</v>
      </c>
      <c r="AG372">
        <f>Cleaned_data[[#This Row],[Ship_Date]]-Cleaned_data[[#This Row],[Order_Date]]</f>
        <v>8</v>
      </c>
      <c r="AH372" t="str">
        <f>IF(Cleaned_data[[#This Row],[Delivery Days]]&gt;10,"late","on time")</f>
        <v>on time</v>
      </c>
      <c r="AI372" t="str">
        <f>TEXT(Cleaned_data[[#This Row],[Order_Date]],"mmmm")</f>
        <v>January</v>
      </c>
      <c r="AJ372" s="9" t="str">
        <f>"Q"&amp;ROUNDUP(MONTH(Cleaned_data[[#This Row],[Order_Date]])/3,0)</f>
        <v>Q1</v>
      </c>
    </row>
    <row r="373" spans="1:36">
      <c r="A373" t="s">
        <v>851</v>
      </c>
      <c r="B373" s="9">
        <v>45689</v>
      </c>
      <c r="C373" s="9">
        <v>45693</v>
      </c>
      <c r="D373" t="s">
        <v>616</v>
      </c>
      <c r="E373" t="s">
        <v>617</v>
      </c>
      <c r="F373" t="s">
        <v>152</v>
      </c>
      <c r="G373" t="s">
        <v>194</v>
      </c>
      <c r="H373" t="s">
        <v>230</v>
      </c>
      <c r="I373" t="s">
        <v>231</v>
      </c>
      <c r="J373" t="s">
        <v>129</v>
      </c>
      <c r="K373" t="s">
        <v>130</v>
      </c>
      <c r="L373" t="s">
        <v>254</v>
      </c>
      <c r="M373" t="s">
        <v>255</v>
      </c>
      <c r="N373" t="s">
        <v>82</v>
      </c>
      <c r="O373" t="s">
        <v>83</v>
      </c>
      <c r="P373" s="8">
        <v>1</v>
      </c>
      <c r="Q373" s="10">
        <v>91.08</v>
      </c>
      <c r="R373" s="11">
        <v>0.03</v>
      </c>
      <c r="S373" s="10">
        <v>11.53</v>
      </c>
      <c r="T373" t="s">
        <v>122</v>
      </c>
      <c r="U373" t="s">
        <v>85</v>
      </c>
      <c r="V373" s="8">
        <v>2</v>
      </c>
      <c r="W373" t="s">
        <v>1270</v>
      </c>
      <c r="X373" t="str">
        <f>_xlfn.XLOOKUP(Cleaned_data[[#This Row],[Customer_ID]],Customers[S],Customers[Loyalty_Tier])</f>
        <v>Platinum</v>
      </c>
      <c r="Y373" s="9">
        <f>_xlfn.XLOOKUP(Cleaned_data[[#This Row],[Customer_ID]],Customers[S],Customers[Signup_Date])</f>
        <v>44835</v>
      </c>
      <c r="Z373" s="12">
        <f>_xlfn.XLOOKUP(Cleaned_data[[#This Row],[SKU]],Products[SKU],Products[Standard_Cost])</f>
        <v>48</v>
      </c>
      <c r="AA373" s="10">
        <f>Cleaned_data[[#This Row],[Quantity]]*Cleaned_data[[#This Row],[Unit_Price]]</f>
        <v>91.08</v>
      </c>
      <c r="AB373" s="10">
        <f>Cleaned_data[[#This Row],[Unit_Price]]*Cleaned_data[[#This Row],[Discount_Pct]]</f>
        <v>2.7323999999999997</v>
      </c>
      <c r="AC373" s="10">
        <f>Cleaned_data[[#This Row],[Gross Sales]]-Cleaned_data[[#This Row],[Discount amount]]</f>
        <v>88.3476</v>
      </c>
      <c r="AD373" s="10">
        <f>Cleaned_data[[#This Row],[Product Cost]]*Cleaned_data[[#This Row],[Quantity]]</f>
        <v>48</v>
      </c>
      <c r="AE373" s="10">
        <f>Cleaned_data[[#This Row],[Net Sales]]-Cleaned_data[[#This Row],[COGS]]</f>
        <v>40.3476</v>
      </c>
      <c r="AF373" s="11">
        <f>Cleaned_data[[#This Row],[Gross Profit]]/Cleaned_data[[#This Row],[Net Sales]]</f>
        <v>0.45669152302948807</v>
      </c>
      <c r="AG373">
        <f>Cleaned_data[[#This Row],[Ship_Date]]-Cleaned_data[[#This Row],[Order_Date]]</f>
        <v>4</v>
      </c>
      <c r="AH373" t="str">
        <f>IF(Cleaned_data[[#This Row],[Delivery Days]]&gt;10,"late","on time")</f>
        <v>on time</v>
      </c>
      <c r="AI373" t="str">
        <f>TEXT(Cleaned_data[[#This Row],[Order_Date]],"mmmm")</f>
        <v>February</v>
      </c>
      <c r="AJ373" s="9" t="str">
        <f>"Q"&amp;ROUNDUP(MONTH(Cleaned_data[[#This Row],[Order_Date]])/3,0)</f>
        <v>Q1</v>
      </c>
    </row>
    <row r="374" spans="1:36">
      <c r="A374" t="s">
        <v>852</v>
      </c>
      <c r="B374" s="9">
        <v>45689</v>
      </c>
      <c r="C374" s="9">
        <v>45691</v>
      </c>
      <c r="D374" t="s">
        <v>659</v>
      </c>
      <c r="E374" t="s">
        <v>660</v>
      </c>
      <c r="F374" t="s">
        <v>74</v>
      </c>
      <c r="G374" t="s">
        <v>126</v>
      </c>
      <c r="H374" t="s">
        <v>291</v>
      </c>
      <c r="I374" t="s">
        <v>292</v>
      </c>
      <c r="J374" t="s">
        <v>129</v>
      </c>
      <c r="K374" t="s">
        <v>100</v>
      </c>
      <c r="L374" t="s">
        <v>301</v>
      </c>
      <c r="M374" t="s">
        <v>302</v>
      </c>
      <c r="N374" t="s">
        <v>120</v>
      </c>
      <c r="O374" t="s">
        <v>190</v>
      </c>
      <c r="P374" s="8">
        <v>1</v>
      </c>
      <c r="Q374" s="10">
        <v>143.47</v>
      </c>
      <c r="R374" s="11">
        <v>0.12</v>
      </c>
      <c r="S374" s="10">
        <v>9.8000000000000007</v>
      </c>
      <c r="T374" t="s">
        <v>134</v>
      </c>
      <c r="U374" t="s">
        <v>85</v>
      </c>
      <c r="V374" s="8">
        <v>1</v>
      </c>
      <c r="W374" t="s">
        <v>1270</v>
      </c>
      <c r="X374" t="str">
        <f>_xlfn.XLOOKUP(Cleaned_data[[#This Row],[Customer_ID]],Customers[S],Customers[Loyalty_Tier])</f>
        <v>Bronze</v>
      </c>
      <c r="Y374" s="9">
        <f>_xlfn.XLOOKUP(Cleaned_data[[#This Row],[Customer_ID]],Customers[S],Customers[Signup_Date])</f>
        <v>45255</v>
      </c>
      <c r="Z374" s="12">
        <f>_xlfn.XLOOKUP(Cleaned_data[[#This Row],[SKU]],Products[SKU],Products[Standard_Cost])</f>
        <v>72</v>
      </c>
      <c r="AA374" s="10">
        <f>Cleaned_data[[#This Row],[Quantity]]*Cleaned_data[[#This Row],[Unit_Price]]</f>
        <v>143.47</v>
      </c>
      <c r="AB374" s="10">
        <f>Cleaned_data[[#This Row],[Unit_Price]]*Cleaned_data[[#This Row],[Discount_Pct]]</f>
        <v>17.2164</v>
      </c>
      <c r="AC374" s="10">
        <f>Cleaned_data[[#This Row],[Gross Sales]]-Cleaned_data[[#This Row],[Discount amount]]</f>
        <v>126.25360000000001</v>
      </c>
      <c r="AD374" s="10">
        <f>Cleaned_data[[#This Row],[Product Cost]]*Cleaned_data[[#This Row],[Quantity]]</f>
        <v>72</v>
      </c>
      <c r="AE374" s="10">
        <f>Cleaned_data[[#This Row],[Net Sales]]-Cleaned_data[[#This Row],[COGS]]</f>
        <v>54.253600000000006</v>
      </c>
      <c r="AF374" s="11">
        <f>Cleaned_data[[#This Row],[Gross Profit]]/Cleaned_data[[#This Row],[Net Sales]]</f>
        <v>0.42971923176844068</v>
      </c>
      <c r="AG374">
        <f>Cleaned_data[[#This Row],[Ship_Date]]-Cleaned_data[[#This Row],[Order_Date]]</f>
        <v>2</v>
      </c>
      <c r="AH374" t="str">
        <f>IF(Cleaned_data[[#This Row],[Delivery Days]]&gt;10,"late","on time")</f>
        <v>on time</v>
      </c>
      <c r="AI374" t="str">
        <f>TEXT(Cleaned_data[[#This Row],[Order_Date]],"mmmm")</f>
        <v>February</v>
      </c>
      <c r="AJ374" s="9" t="str">
        <f>"Q"&amp;ROUNDUP(MONTH(Cleaned_data[[#This Row],[Order_Date]])/3,0)</f>
        <v>Q1</v>
      </c>
    </row>
    <row r="375" spans="1:36">
      <c r="A375" t="s">
        <v>853</v>
      </c>
      <c r="B375" s="9">
        <v>45690</v>
      </c>
      <c r="C375" s="9">
        <v>45700</v>
      </c>
      <c r="D375" t="s">
        <v>223</v>
      </c>
      <c r="E375" t="s">
        <v>224</v>
      </c>
      <c r="F375" t="s">
        <v>152</v>
      </c>
      <c r="G375" t="s">
        <v>194</v>
      </c>
      <c r="H375" t="s">
        <v>225</v>
      </c>
      <c r="I375" t="s">
        <v>226</v>
      </c>
      <c r="J375" t="s">
        <v>129</v>
      </c>
      <c r="K375" t="s">
        <v>100</v>
      </c>
      <c r="L375" t="s">
        <v>254</v>
      </c>
      <c r="M375" t="s">
        <v>255</v>
      </c>
      <c r="N375" t="s">
        <v>82</v>
      </c>
      <c r="O375" t="s">
        <v>83</v>
      </c>
      <c r="P375" s="8">
        <v>6</v>
      </c>
      <c r="Q375" s="10">
        <v>91.7</v>
      </c>
      <c r="R375" s="11">
        <v>0.03</v>
      </c>
      <c r="S375" s="10">
        <v>13.11</v>
      </c>
      <c r="T375" t="s">
        <v>122</v>
      </c>
      <c r="U375" t="s">
        <v>85</v>
      </c>
      <c r="V375" s="8">
        <v>1</v>
      </c>
      <c r="W375" t="s">
        <v>1270</v>
      </c>
      <c r="X375" t="str">
        <f>_xlfn.XLOOKUP(Cleaned_data[[#This Row],[Customer_ID]],Customers[S],Customers[Loyalty_Tier])</f>
        <v>Platinum</v>
      </c>
      <c r="Y375" s="9">
        <f>_xlfn.XLOOKUP(Cleaned_data[[#This Row],[Customer_ID]],Customers[S],Customers[Signup_Date])</f>
        <v>45171</v>
      </c>
      <c r="Z375" s="12">
        <f>_xlfn.XLOOKUP(Cleaned_data[[#This Row],[SKU]],Products[SKU],Products[Standard_Cost])</f>
        <v>48</v>
      </c>
      <c r="AA375" s="10">
        <f>Cleaned_data[[#This Row],[Quantity]]*Cleaned_data[[#This Row],[Unit_Price]]</f>
        <v>550.20000000000005</v>
      </c>
      <c r="AB375" s="10">
        <f>Cleaned_data[[#This Row],[Unit_Price]]*Cleaned_data[[#This Row],[Discount_Pct]]</f>
        <v>2.7509999999999999</v>
      </c>
      <c r="AC375" s="10">
        <f>Cleaned_data[[#This Row],[Gross Sales]]-Cleaned_data[[#This Row],[Discount amount]]</f>
        <v>547.44900000000007</v>
      </c>
      <c r="AD375" s="10">
        <f>Cleaned_data[[#This Row],[Product Cost]]*Cleaned_data[[#This Row],[Quantity]]</f>
        <v>288</v>
      </c>
      <c r="AE375" s="10">
        <f>Cleaned_data[[#This Row],[Net Sales]]-Cleaned_data[[#This Row],[COGS]]</f>
        <v>259.44900000000007</v>
      </c>
      <c r="AF375" s="11">
        <f>Cleaned_data[[#This Row],[Gross Profit]]/Cleaned_data[[#This Row],[Net Sales]]</f>
        <v>0.47392359836258724</v>
      </c>
      <c r="AG375">
        <f>Cleaned_data[[#This Row],[Ship_Date]]-Cleaned_data[[#This Row],[Order_Date]]</f>
        <v>10</v>
      </c>
      <c r="AH375" t="str">
        <f>IF(Cleaned_data[[#This Row],[Delivery Days]]&gt;10,"late","on time")</f>
        <v>on time</v>
      </c>
      <c r="AI375" t="str">
        <f>TEXT(Cleaned_data[[#This Row],[Order_Date]],"mmmm")</f>
        <v>February</v>
      </c>
      <c r="AJ375" s="9" t="str">
        <f>"Q"&amp;ROUNDUP(MONTH(Cleaned_data[[#This Row],[Order_Date]])/3,0)</f>
        <v>Q1</v>
      </c>
    </row>
    <row r="376" spans="1:36">
      <c r="A376" t="s">
        <v>854</v>
      </c>
      <c r="B376" s="9">
        <v>45691</v>
      </c>
      <c r="C376" s="9">
        <v>45701</v>
      </c>
      <c r="D376" t="s">
        <v>253</v>
      </c>
      <c r="E376" t="s">
        <v>167</v>
      </c>
      <c r="F376" t="s">
        <v>152</v>
      </c>
      <c r="G376" t="s">
        <v>75</v>
      </c>
      <c r="H376" t="s">
        <v>212</v>
      </c>
      <c r="I376" t="s">
        <v>213</v>
      </c>
      <c r="J376" t="s">
        <v>78</v>
      </c>
      <c r="K376" t="s">
        <v>90</v>
      </c>
      <c r="L376" t="s">
        <v>175</v>
      </c>
      <c r="M376" t="s">
        <v>176</v>
      </c>
      <c r="N376" t="s">
        <v>93</v>
      </c>
      <c r="O376" t="s">
        <v>177</v>
      </c>
      <c r="P376" s="8">
        <v>3</v>
      </c>
      <c r="Q376" s="10">
        <v>168.71</v>
      </c>
      <c r="R376" s="11">
        <v>0.12</v>
      </c>
      <c r="S376" s="10">
        <v>29.85</v>
      </c>
      <c r="T376" t="s">
        <v>84</v>
      </c>
      <c r="U376" t="s">
        <v>85</v>
      </c>
      <c r="V376" s="8">
        <v>2</v>
      </c>
      <c r="W376" t="s">
        <v>1270</v>
      </c>
      <c r="X376" t="str">
        <f>_xlfn.XLOOKUP(Cleaned_data[[#This Row],[Customer_ID]],Customers[S],Customers[Loyalty_Tier])</f>
        <v>Silver</v>
      </c>
      <c r="Y376" s="9">
        <f>_xlfn.XLOOKUP(Cleaned_data[[#This Row],[Customer_ID]],Customers[S],Customers[Signup_Date])</f>
        <v>45243</v>
      </c>
      <c r="Z376" s="12">
        <f>_xlfn.XLOOKUP(Cleaned_data[[#This Row],[SKU]],Products[SKU],Products[Standard_Cost])</f>
        <v>88</v>
      </c>
      <c r="AA376" s="10">
        <f>Cleaned_data[[#This Row],[Quantity]]*Cleaned_data[[#This Row],[Unit_Price]]</f>
        <v>506.13</v>
      </c>
      <c r="AB376" s="10">
        <f>Cleaned_data[[#This Row],[Unit_Price]]*Cleaned_data[[#This Row],[Discount_Pct]]</f>
        <v>20.245200000000001</v>
      </c>
      <c r="AC376" s="10">
        <f>Cleaned_data[[#This Row],[Gross Sales]]-Cleaned_data[[#This Row],[Discount amount]]</f>
        <v>485.88479999999998</v>
      </c>
      <c r="AD376" s="10">
        <f>Cleaned_data[[#This Row],[Product Cost]]*Cleaned_data[[#This Row],[Quantity]]</f>
        <v>264</v>
      </c>
      <c r="AE376" s="10">
        <f>Cleaned_data[[#This Row],[Net Sales]]-Cleaned_data[[#This Row],[COGS]]</f>
        <v>221.88479999999998</v>
      </c>
      <c r="AF376" s="11">
        <f>Cleaned_data[[#This Row],[Gross Profit]]/Cleaned_data[[#This Row],[Net Sales]]</f>
        <v>0.45666133206883608</v>
      </c>
      <c r="AG376">
        <f>Cleaned_data[[#This Row],[Ship_Date]]-Cleaned_data[[#This Row],[Order_Date]]</f>
        <v>10</v>
      </c>
      <c r="AH376" t="str">
        <f>IF(Cleaned_data[[#This Row],[Delivery Days]]&gt;10,"late","on time")</f>
        <v>on time</v>
      </c>
      <c r="AI376" t="str">
        <f>TEXT(Cleaned_data[[#This Row],[Order_Date]],"mmmm")</f>
        <v>February</v>
      </c>
      <c r="AJ376" s="9" t="str">
        <f>"Q"&amp;ROUNDUP(MONTH(Cleaned_data[[#This Row],[Order_Date]])/3,0)</f>
        <v>Q1</v>
      </c>
    </row>
    <row r="377" spans="1:36">
      <c r="A377" t="s">
        <v>855</v>
      </c>
      <c r="B377" s="9">
        <v>45692</v>
      </c>
      <c r="C377" s="9">
        <v>45698</v>
      </c>
      <c r="D377" t="s">
        <v>856</v>
      </c>
      <c r="E377" t="s">
        <v>857</v>
      </c>
      <c r="F377" t="s">
        <v>74</v>
      </c>
      <c r="G377" t="s">
        <v>75</v>
      </c>
      <c r="H377" t="s">
        <v>273</v>
      </c>
      <c r="I377" t="s">
        <v>274</v>
      </c>
      <c r="J377" t="s">
        <v>129</v>
      </c>
      <c r="K377" t="s">
        <v>100</v>
      </c>
      <c r="L377" t="s">
        <v>337</v>
      </c>
      <c r="M377" t="s">
        <v>338</v>
      </c>
      <c r="N377" t="s">
        <v>93</v>
      </c>
      <c r="O377" t="s">
        <v>236</v>
      </c>
      <c r="P377" s="8">
        <v>2</v>
      </c>
      <c r="Q377" s="10">
        <v>258.83999999999997</v>
      </c>
      <c r="R377" s="11">
        <v>0.24</v>
      </c>
      <c r="S377" s="10">
        <v>25.27</v>
      </c>
      <c r="T377" t="s">
        <v>122</v>
      </c>
      <c r="U377" t="s">
        <v>85</v>
      </c>
      <c r="V377" s="8">
        <v>3</v>
      </c>
      <c r="W377" t="s">
        <v>1270</v>
      </c>
      <c r="X377" t="str">
        <f>_xlfn.XLOOKUP(Cleaned_data[[#This Row],[Customer_ID]],Customers[S],Customers[Loyalty_Tier])</f>
        <v>Platinum</v>
      </c>
      <c r="Y377" s="9">
        <f>_xlfn.XLOOKUP(Cleaned_data[[#This Row],[Customer_ID]],Customers[S],Customers[Signup_Date])</f>
        <v>45454</v>
      </c>
      <c r="Z377" s="12">
        <f>_xlfn.XLOOKUP(Cleaned_data[[#This Row],[SKU]],Products[SKU],Products[Standard_Cost])</f>
        <v>146</v>
      </c>
      <c r="AA377" s="10">
        <f>Cleaned_data[[#This Row],[Quantity]]*Cleaned_data[[#This Row],[Unit_Price]]</f>
        <v>517.67999999999995</v>
      </c>
      <c r="AB377" s="10">
        <f>Cleaned_data[[#This Row],[Unit_Price]]*Cleaned_data[[#This Row],[Discount_Pct]]</f>
        <v>62.121599999999994</v>
      </c>
      <c r="AC377" s="10">
        <f>Cleaned_data[[#This Row],[Gross Sales]]-Cleaned_data[[#This Row],[Discount amount]]</f>
        <v>455.55839999999995</v>
      </c>
      <c r="AD377" s="10">
        <f>Cleaned_data[[#This Row],[Product Cost]]*Cleaned_data[[#This Row],[Quantity]]</f>
        <v>292</v>
      </c>
      <c r="AE377" s="10">
        <f>Cleaned_data[[#This Row],[Net Sales]]-Cleaned_data[[#This Row],[COGS]]</f>
        <v>163.55839999999995</v>
      </c>
      <c r="AF377" s="11">
        <f>Cleaned_data[[#This Row],[Gross Profit]]/Cleaned_data[[#This Row],[Net Sales]]</f>
        <v>0.35902839240808637</v>
      </c>
      <c r="AG377">
        <f>Cleaned_data[[#This Row],[Ship_Date]]-Cleaned_data[[#This Row],[Order_Date]]</f>
        <v>6</v>
      </c>
      <c r="AH377" t="str">
        <f>IF(Cleaned_data[[#This Row],[Delivery Days]]&gt;10,"late","on time")</f>
        <v>on time</v>
      </c>
      <c r="AI377" t="str">
        <f>TEXT(Cleaned_data[[#This Row],[Order_Date]],"mmmm")</f>
        <v>February</v>
      </c>
      <c r="AJ377" s="9" t="str">
        <f>"Q"&amp;ROUNDUP(MONTH(Cleaned_data[[#This Row],[Order_Date]])/3,0)</f>
        <v>Q1</v>
      </c>
    </row>
    <row r="378" spans="1:36">
      <c r="A378" t="s">
        <v>858</v>
      </c>
      <c r="B378" s="9">
        <v>45693</v>
      </c>
      <c r="C378" s="9">
        <v>45702</v>
      </c>
      <c r="D378" t="s">
        <v>427</v>
      </c>
      <c r="E378" t="s">
        <v>428</v>
      </c>
      <c r="F378" t="s">
        <v>152</v>
      </c>
      <c r="G378" t="s">
        <v>194</v>
      </c>
      <c r="H378" t="s">
        <v>240</v>
      </c>
      <c r="I378" t="s">
        <v>241</v>
      </c>
      <c r="J378" t="s">
        <v>109</v>
      </c>
      <c r="K378" t="s">
        <v>168</v>
      </c>
      <c r="L378" t="s">
        <v>234</v>
      </c>
      <c r="M378" t="s">
        <v>235</v>
      </c>
      <c r="N378" t="s">
        <v>93</v>
      </c>
      <c r="O378" t="s">
        <v>236</v>
      </c>
      <c r="P378" s="8">
        <v>3</v>
      </c>
      <c r="Q378" s="10">
        <v>152.25</v>
      </c>
      <c r="R378" s="11">
        <v>0.01</v>
      </c>
      <c r="S378" s="10">
        <v>25.75</v>
      </c>
      <c r="T378" t="s">
        <v>134</v>
      </c>
      <c r="U378" t="s">
        <v>148</v>
      </c>
      <c r="V378" s="8">
        <v>1</v>
      </c>
      <c r="W378" t="s">
        <v>1270</v>
      </c>
      <c r="X378" t="str">
        <f>_xlfn.XLOOKUP(Cleaned_data[[#This Row],[Customer_ID]],Customers[S],Customers[Loyalty_Tier])</f>
        <v>Gold</v>
      </c>
      <c r="Y378" s="9">
        <f>_xlfn.XLOOKUP(Cleaned_data[[#This Row],[Customer_ID]],Customers[S],Customers[Signup_Date])</f>
        <v>45885</v>
      </c>
      <c r="Z378" s="12">
        <f>_xlfn.XLOOKUP(Cleaned_data[[#This Row],[SKU]],Products[SKU],Products[Standard_Cost])</f>
        <v>82</v>
      </c>
      <c r="AA378" s="10">
        <f>Cleaned_data[[#This Row],[Quantity]]*Cleaned_data[[#This Row],[Unit_Price]]</f>
        <v>456.75</v>
      </c>
      <c r="AB378" s="10">
        <f>Cleaned_data[[#This Row],[Unit_Price]]*Cleaned_data[[#This Row],[Discount_Pct]]</f>
        <v>1.5225</v>
      </c>
      <c r="AC378" s="10">
        <f>Cleaned_data[[#This Row],[Gross Sales]]-Cleaned_data[[#This Row],[Discount amount]]</f>
        <v>455.22750000000002</v>
      </c>
      <c r="AD378" s="10">
        <f>Cleaned_data[[#This Row],[Product Cost]]*Cleaned_data[[#This Row],[Quantity]]</f>
        <v>246</v>
      </c>
      <c r="AE378" s="10">
        <f>Cleaned_data[[#This Row],[Net Sales]]-Cleaned_data[[#This Row],[COGS]]</f>
        <v>209.22750000000002</v>
      </c>
      <c r="AF378" s="11">
        <f>Cleaned_data[[#This Row],[Gross Profit]]/Cleaned_data[[#This Row],[Net Sales]]</f>
        <v>0.45961085391370249</v>
      </c>
      <c r="AG378">
        <f>Cleaned_data[[#This Row],[Ship_Date]]-Cleaned_data[[#This Row],[Order_Date]]</f>
        <v>9</v>
      </c>
      <c r="AH378" t="str">
        <f>IF(Cleaned_data[[#This Row],[Delivery Days]]&gt;10,"late","on time")</f>
        <v>on time</v>
      </c>
      <c r="AI378" t="str">
        <f>TEXT(Cleaned_data[[#This Row],[Order_Date]],"mmmm")</f>
        <v>February</v>
      </c>
      <c r="AJ378" s="9" t="str">
        <f>"Q"&amp;ROUNDUP(MONTH(Cleaned_data[[#This Row],[Order_Date]])/3,0)</f>
        <v>Q1</v>
      </c>
    </row>
    <row r="379" spans="1:36">
      <c r="A379" t="s">
        <v>859</v>
      </c>
      <c r="B379" s="9">
        <v>45694</v>
      </c>
      <c r="C379" s="9">
        <v>45704</v>
      </c>
      <c r="D379" t="s">
        <v>410</v>
      </c>
      <c r="E379" t="s">
        <v>411</v>
      </c>
      <c r="F379" t="s">
        <v>74</v>
      </c>
      <c r="G379" t="s">
        <v>126</v>
      </c>
      <c r="H379" t="s">
        <v>291</v>
      </c>
      <c r="I379" t="s">
        <v>292</v>
      </c>
      <c r="J379" t="s">
        <v>129</v>
      </c>
      <c r="K379" t="s">
        <v>90</v>
      </c>
      <c r="L379" t="s">
        <v>197</v>
      </c>
      <c r="M379" t="s">
        <v>198</v>
      </c>
      <c r="N379" t="s">
        <v>120</v>
      </c>
      <c r="O379" t="s">
        <v>121</v>
      </c>
      <c r="P379" s="8">
        <v>3</v>
      </c>
      <c r="Q379" s="10">
        <v>531.14</v>
      </c>
      <c r="R379" s="11">
        <v>0.1</v>
      </c>
      <c r="S379" s="10">
        <v>13.31</v>
      </c>
      <c r="T379" t="s">
        <v>105</v>
      </c>
      <c r="U379" t="s">
        <v>85</v>
      </c>
      <c r="V379" s="8">
        <v>2</v>
      </c>
      <c r="W379" t="s">
        <v>1270</v>
      </c>
      <c r="X379" t="str">
        <f>_xlfn.XLOOKUP(Cleaned_data[[#This Row],[Customer_ID]],Customers[S],Customers[Loyalty_Tier])</f>
        <v>Platinum</v>
      </c>
      <c r="Y379" s="9">
        <f>_xlfn.XLOOKUP(Cleaned_data[[#This Row],[Customer_ID]],Customers[S],Customers[Signup_Date])</f>
        <v>44421</v>
      </c>
      <c r="Z379" s="12">
        <f>_xlfn.XLOOKUP(Cleaned_data[[#This Row],[SKU]],Products[SKU],Products[Standard_Cost])</f>
        <v>310</v>
      </c>
      <c r="AA379" s="10">
        <f>Cleaned_data[[#This Row],[Quantity]]*Cleaned_data[[#This Row],[Unit_Price]]</f>
        <v>1593.42</v>
      </c>
      <c r="AB379" s="10">
        <f>Cleaned_data[[#This Row],[Unit_Price]]*Cleaned_data[[#This Row],[Discount_Pct]]</f>
        <v>53.114000000000004</v>
      </c>
      <c r="AC379" s="10">
        <f>Cleaned_data[[#This Row],[Gross Sales]]-Cleaned_data[[#This Row],[Discount amount]]</f>
        <v>1540.306</v>
      </c>
      <c r="AD379" s="10">
        <f>Cleaned_data[[#This Row],[Product Cost]]*Cleaned_data[[#This Row],[Quantity]]</f>
        <v>930</v>
      </c>
      <c r="AE379" s="10">
        <f>Cleaned_data[[#This Row],[Net Sales]]-Cleaned_data[[#This Row],[COGS]]</f>
        <v>610.30600000000004</v>
      </c>
      <c r="AF379" s="11">
        <f>Cleaned_data[[#This Row],[Gross Profit]]/Cleaned_data[[#This Row],[Net Sales]]</f>
        <v>0.39622386720560721</v>
      </c>
      <c r="AG379">
        <f>Cleaned_data[[#This Row],[Ship_Date]]-Cleaned_data[[#This Row],[Order_Date]]</f>
        <v>10</v>
      </c>
      <c r="AH379" t="str">
        <f>IF(Cleaned_data[[#This Row],[Delivery Days]]&gt;10,"late","on time")</f>
        <v>on time</v>
      </c>
      <c r="AI379" t="str">
        <f>TEXT(Cleaned_data[[#This Row],[Order_Date]],"mmmm")</f>
        <v>February</v>
      </c>
      <c r="AJ379" s="9" t="str">
        <f>"Q"&amp;ROUNDUP(MONTH(Cleaned_data[[#This Row],[Order_Date]])/3,0)</f>
        <v>Q1</v>
      </c>
    </row>
    <row r="380" spans="1:36">
      <c r="A380" t="s">
        <v>860</v>
      </c>
      <c r="B380" s="9">
        <v>45695</v>
      </c>
      <c r="C380" s="9">
        <v>45705</v>
      </c>
      <c r="D380" t="s">
        <v>402</v>
      </c>
      <c r="E380" t="s">
        <v>403</v>
      </c>
      <c r="F380" t="s">
        <v>74</v>
      </c>
      <c r="G380" t="s">
        <v>75</v>
      </c>
      <c r="H380" t="s">
        <v>212</v>
      </c>
      <c r="I380" t="s">
        <v>213</v>
      </c>
      <c r="J380" t="s">
        <v>109</v>
      </c>
      <c r="K380" t="s">
        <v>79</v>
      </c>
      <c r="L380" t="s">
        <v>162</v>
      </c>
      <c r="M380" t="s">
        <v>163</v>
      </c>
      <c r="N380" t="s">
        <v>120</v>
      </c>
      <c r="O380" t="s">
        <v>164</v>
      </c>
      <c r="P380" s="8">
        <v>2</v>
      </c>
      <c r="Q380" s="10">
        <v>931.85</v>
      </c>
      <c r="R380" s="11">
        <v>0.34</v>
      </c>
      <c r="S380" s="10">
        <v>13.39</v>
      </c>
      <c r="T380" t="s">
        <v>84</v>
      </c>
      <c r="U380" t="s">
        <v>85</v>
      </c>
      <c r="V380" s="8">
        <v>3</v>
      </c>
      <c r="W380" t="s">
        <v>1270</v>
      </c>
      <c r="X380" t="str">
        <f>_xlfn.XLOOKUP(Cleaned_data[[#This Row],[Customer_ID]],Customers[S],Customers[Loyalty_Tier])</f>
        <v>Bronze</v>
      </c>
      <c r="Y380" s="9">
        <f>_xlfn.XLOOKUP(Cleaned_data[[#This Row],[Customer_ID]],Customers[S],Customers[Signup_Date])</f>
        <v>45658</v>
      </c>
      <c r="Z380" s="12">
        <f>_xlfn.XLOOKUP(Cleaned_data[[#This Row],[SKU]],Products[SKU],Products[Standard_Cost])</f>
        <v>585</v>
      </c>
      <c r="AA380" s="10">
        <f>Cleaned_data[[#This Row],[Quantity]]*Cleaned_data[[#This Row],[Unit_Price]]</f>
        <v>1863.7</v>
      </c>
      <c r="AB380" s="10">
        <f>Cleaned_data[[#This Row],[Unit_Price]]*Cleaned_data[[#This Row],[Discount_Pct]]</f>
        <v>316.82900000000001</v>
      </c>
      <c r="AC380" s="10">
        <f>Cleaned_data[[#This Row],[Gross Sales]]-Cleaned_data[[#This Row],[Discount amount]]</f>
        <v>1546.8710000000001</v>
      </c>
      <c r="AD380" s="10">
        <f>Cleaned_data[[#This Row],[Product Cost]]*Cleaned_data[[#This Row],[Quantity]]</f>
        <v>1170</v>
      </c>
      <c r="AE380" s="10">
        <f>Cleaned_data[[#This Row],[Net Sales]]-Cleaned_data[[#This Row],[COGS]]</f>
        <v>376.87100000000009</v>
      </c>
      <c r="AF380" s="11">
        <f>Cleaned_data[[#This Row],[Gross Profit]]/Cleaned_data[[#This Row],[Net Sales]]</f>
        <v>0.24363440778190298</v>
      </c>
      <c r="AG380">
        <f>Cleaned_data[[#This Row],[Ship_Date]]-Cleaned_data[[#This Row],[Order_Date]]</f>
        <v>10</v>
      </c>
      <c r="AH380" t="str">
        <f>IF(Cleaned_data[[#This Row],[Delivery Days]]&gt;10,"late","on time")</f>
        <v>on time</v>
      </c>
      <c r="AI380" t="str">
        <f>TEXT(Cleaned_data[[#This Row],[Order_Date]],"mmmm")</f>
        <v>February</v>
      </c>
      <c r="AJ380" s="9" t="str">
        <f>"Q"&amp;ROUNDUP(MONTH(Cleaned_data[[#This Row],[Order_Date]])/3,0)</f>
        <v>Q1</v>
      </c>
    </row>
    <row r="381" spans="1:36">
      <c r="A381" t="s">
        <v>861</v>
      </c>
      <c r="B381" s="9">
        <v>45695</v>
      </c>
      <c r="C381" s="9">
        <v>45705</v>
      </c>
      <c r="D381" t="s">
        <v>537</v>
      </c>
      <c r="E381" t="s">
        <v>538</v>
      </c>
      <c r="F381" t="s">
        <v>74</v>
      </c>
      <c r="G381" t="s">
        <v>138</v>
      </c>
      <c r="H381" t="s">
        <v>139</v>
      </c>
      <c r="I381" t="s">
        <v>140</v>
      </c>
      <c r="J381" t="s">
        <v>129</v>
      </c>
      <c r="K381" t="s">
        <v>90</v>
      </c>
      <c r="L381" t="s">
        <v>301</v>
      </c>
      <c r="M381" t="s">
        <v>302</v>
      </c>
      <c r="N381" t="s">
        <v>120</v>
      </c>
      <c r="O381" t="s">
        <v>190</v>
      </c>
      <c r="P381" s="8">
        <v>1</v>
      </c>
      <c r="Q381" s="10">
        <v>140.27000000000001</v>
      </c>
      <c r="R381" s="11">
        <v>0.22</v>
      </c>
      <c r="S381" s="10">
        <v>20.8</v>
      </c>
      <c r="T381" t="s">
        <v>84</v>
      </c>
      <c r="U381" t="s">
        <v>85</v>
      </c>
      <c r="V381" s="8">
        <v>1</v>
      </c>
      <c r="W381" t="s">
        <v>1270</v>
      </c>
      <c r="X381" t="str">
        <f>_xlfn.XLOOKUP(Cleaned_data[[#This Row],[Customer_ID]],Customers[S],Customers[Loyalty_Tier])</f>
        <v>Gold</v>
      </c>
      <c r="Y381" s="9">
        <f>_xlfn.XLOOKUP(Cleaned_data[[#This Row],[Customer_ID]],Customers[S],Customers[Signup_Date])</f>
        <v>45902</v>
      </c>
      <c r="Z381" s="12">
        <f>_xlfn.XLOOKUP(Cleaned_data[[#This Row],[SKU]],Products[SKU],Products[Standard_Cost])</f>
        <v>72</v>
      </c>
      <c r="AA381" s="10">
        <f>Cleaned_data[[#This Row],[Quantity]]*Cleaned_data[[#This Row],[Unit_Price]]</f>
        <v>140.27000000000001</v>
      </c>
      <c r="AB381" s="10">
        <f>Cleaned_data[[#This Row],[Unit_Price]]*Cleaned_data[[#This Row],[Discount_Pct]]</f>
        <v>30.859400000000001</v>
      </c>
      <c r="AC381" s="10">
        <f>Cleaned_data[[#This Row],[Gross Sales]]-Cleaned_data[[#This Row],[Discount amount]]</f>
        <v>109.41060000000002</v>
      </c>
      <c r="AD381" s="10">
        <f>Cleaned_data[[#This Row],[Product Cost]]*Cleaned_data[[#This Row],[Quantity]]</f>
        <v>72</v>
      </c>
      <c r="AE381" s="10">
        <f>Cleaned_data[[#This Row],[Net Sales]]-Cleaned_data[[#This Row],[COGS]]</f>
        <v>37.410600000000017</v>
      </c>
      <c r="AF381" s="11">
        <f>Cleaned_data[[#This Row],[Gross Profit]]/Cleaned_data[[#This Row],[Net Sales]]</f>
        <v>0.34192847859348191</v>
      </c>
      <c r="AG381">
        <f>Cleaned_data[[#This Row],[Ship_Date]]-Cleaned_data[[#This Row],[Order_Date]]</f>
        <v>10</v>
      </c>
      <c r="AH381" t="str">
        <f>IF(Cleaned_data[[#This Row],[Delivery Days]]&gt;10,"late","on time")</f>
        <v>on time</v>
      </c>
      <c r="AI381" t="str">
        <f>TEXT(Cleaned_data[[#This Row],[Order_Date]],"mmmm")</f>
        <v>February</v>
      </c>
      <c r="AJ381" s="9" t="str">
        <f>"Q"&amp;ROUNDUP(MONTH(Cleaned_data[[#This Row],[Order_Date]])/3,0)</f>
        <v>Q1</v>
      </c>
    </row>
    <row r="382" spans="1:36">
      <c r="A382" t="s">
        <v>863</v>
      </c>
      <c r="B382" s="9">
        <v>45695</v>
      </c>
      <c r="C382" s="9">
        <v>45697</v>
      </c>
      <c r="D382" t="s">
        <v>487</v>
      </c>
      <c r="E382" t="s">
        <v>470</v>
      </c>
      <c r="F382" t="s">
        <v>152</v>
      </c>
      <c r="G382" t="s">
        <v>75</v>
      </c>
      <c r="H382" t="s">
        <v>98</v>
      </c>
      <c r="I382" t="s">
        <v>99</v>
      </c>
      <c r="J382" t="s">
        <v>78</v>
      </c>
      <c r="K382" t="s">
        <v>90</v>
      </c>
      <c r="L382" t="s">
        <v>234</v>
      </c>
      <c r="M382" t="s">
        <v>235</v>
      </c>
      <c r="N382" t="s">
        <v>93</v>
      </c>
      <c r="O382" t="s">
        <v>236</v>
      </c>
      <c r="P382" s="8">
        <v>2</v>
      </c>
      <c r="Q382" s="10">
        <v>152.26</v>
      </c>
      <c r="R382" s="11">
        <v>0.1</v>
      </c>
      <c r="S382" s="10">
        <v>28.47</v>
      </c>
      <c r="T382" t="s">
        <v>122</v>
      </c>
      <c r="U382" t="s">
        <v>85</v>
      </c>
      <c r="V382" s="8">
        <v>1</v>
      </c>
      <c r="W382" t="s">
        <v>1270</v>
      </c>
      <c r="X382" t="str">
        <f>_xlfn.XLOOKUP(Cleaned_data[[#This Row],[Customer_ID]],Customers[S],Customers[Loyalty_Tier])</f>
        <v>Gold</v>
      </c>
      <c r="Y382" s="9">
        <f>_xlfn.XLOOKUP(Cleaned_data[[#This Row],[Customer_ID]],Customers[S],Customers[Signup_Date])</f>
        <v>44199</v>
      </c>
      <c r="Z382" s="12">
        <f>_xlfn.XLOOKUP(Cleaned_data[[#This Row],[SKU]],Products[SKU],Products[Standard_Cost])</f>
        <v>82</v>
      </c>
      <c r="AA382" s="10">
        <f>Cleaned_data[[#This Row],[Quantity]]*Cleaned_data[[#This Row],[Unit_Price]]</f>
        <v>304.52</v>
      </c>
      <c r="AB382" s="10">
        <f>Cleaned_data[[#This Row],[Unit_Price]]*Cleaned_data[[#This Row],[Discount_Pct]]</f>
        <v>15.225999999999999</v>
      </c>
      <c r="AC382" s="10">
        <f>Cleaned_data[[#This Row],[Gross Sales]]-Cleaned_data[[#This Row],[Discount amount]]</f>
        <v>289.29399999999998</v>
      </c>
      <c r="AD382" s="10">
        <f>Cleaned_data[[#This Row],[Product Cost]]*Cleaned_data[[#This Row],[Quantity]]</f>
        <v>164</v>
      </c>
      <c r="AE382" s="10">
        <f>Cleaned_data[[#This Row],[Net Sales]]-Cleaned_data[[#This Row],[COGS]]</f>
        <v>125.29399999999998</v>
      </c>
      <c r="AF382" s="11">
        <f>Cleaned_data[[#This Row],[Gross Profit]]/Cleaned_data[[#This Row],[Net Sales]]</f>
        <v>0.43310265681279247</v>
      </c>
      <c r="AG382">
        <f>Cleaned_data[[#This Row],[Ship_Date]]-Cleaned_data[[#This Row],[Order_Date]]</f>
        <v>2</v>
      </c>
      <c r="AH382" t="str">
        <f>IF(Cleaned_data[[#This Row],[Delivery Days]]&gt;10,"late","on time")</f>
        <v>on time</v>
      </c>
      <c r="AI382" t="str">
        <f>TEXT(Cleaned_data[[#This Row],[Order_Date]],"mmmm")</f>
        <v>February</v>
      </c>
      <c r="AJ382" s="9" t="str">
        <f>"Q"&amp;ROUNDUP(MONTH(Cleaned_data[[#This Row],[Order_Date]])/3,0)</f>
        <v>Q1</v>
      </c>
    </row>
    <row r="383" spans="1:36">
      <c r="A383" t="s">
        <v>864</v>
      </c>
      <c r="B383" s="9">
        <v>45698</v>
      </c>
      <c r="C383" s="9">
        <v>45703</v>
      </c>
      <c r="D383" t="s">
        <v>487</v>
      </c>
      <c r="E383" t="s">
        <v>470</v>
      </c>
      <c r="F383" t="s">
        <v>152</v>
      </c>
      <c r="G383" t="s">
        <v>75</v>
      </c>
      <c r="H383" t="s">
        <v>98</v>
      </c>
      <c r="I383" t="s">
        <v>99</v>
      </c>
      <c r="J383" t="s">
        <v>129</v>
      </c>
      <c r="K383" t="s">
        <v>100</v>
      </c>
      <c r="L383" t="s">
        <v>234</v>
      </c>
      <c r="M383" t="s">
        <v>235</v>
      </c>
      <c r="N383" t="s">
        <v>93</v>
      </c>
      <c r="O383" t="s">
        <v>236</v>
      </c>
      <c r="P383" s="8">
        <v>2</v>
      </c>
      <c r="Q383" s="10">
        <v>155.33000000000001</v>
      </c>
      <c r="R383" s="11">
        <v>0.11</v>
      </c>
      <c r="S383" s="10">
        <v>22.12</v>
      </c>
      <c r="T383" t="s">
        <v>134</v>
      </c>
      <c r="U383" t="s">
        <v>85</v>
      </c>
      <c r="V383" s="8">
        <v>1</v>
      </c>
      <c r="W383" t="s">
        <v>1270</v>
      </c>
      <c r="X383" t="str">
        <f>_xlfn.XLOOKUP(Cleaned_data[[#This Row],[Customer_ID]],Customers[S],Customers[Loyalty_Tier])</f>
        <v>Gold</v>
      </c>
      <c r="Y383" s="9">
        <f>_xlfn.XLOOKUP(Cleaned_data[[#This Row],[Customer_ID]],Customers[S],Customers[Signup_Date])</f>
        <v>44199</v>
      </c>
      <c r="Z383" s="12">
        <f>_xlfn.XLOOKUP(Cleaned_data[[#This Row],[SKU]],Products[SKU],Products[Standard_Cost])</f>
        <v>82</v>
      </c>
      <c r="AA383" s="10">
        <f>Cleaned_data[[#This Row],[Quantity]]*Cleaned_data[[#This Row],[Unit_Price]]</f>
        <v>310.66000000000003</v>
      </c>
      <c r="AB383" s="10">
        <f>Cleaned_data[[#This Row],[Unit_Price]]*Cleaned_data[[#This Row],[Discount_Pct]]</f>
        <v>17.086300000000001</v>
      </c>
      <c r="AC383" s="10">
        <f>Cleaned_data[[#This Row],[Gross Sales]]-Cleaned_data[[#This Row],[Discount amount]]</f>
        <v>293.57370000000003</v>
      </c>
      <c r="AD383" s="10">
        <f>Cleaned_data[[#This Row],[Product Cost]]*Cleaned_data[[#This Row],[Quantity]]</f>
        <v>164</v>
      </c>
      <c r="AE383" s="10">
        <f>Cleaned_data[[#This Row],[Net Sales]]-Cleaned_data[[#This Row],[COGS]]</f>
        <v>129.57370000000003</v>
      </c>
      <c r="AF383" s="11">
        <f>Cleaned_data[[#This Row],[Gross Profit]]/Cleaned_data[[#This Row],[Net Sales]]</f>
        <v>0.44136685268469217</v>
      </c>
      <c r="AG383">
        <f>Cleaned_data[[#This Row],[Ship_Date]]-Cleaned_data[[#This Row],[Order_Date]]</f>
        <v>5</v>
      </c>
      <c r="AH383" t="str">
        <f>IF(Cleaned_data[[#This Row],[Delivery Days]]&gt;10,"late","on time")</f>
        <v>on time</v>
      </c>
      <c r="AI383" t="str">
        <f>TEXT(Cleaned_data[[#This Row],[Order_Date]],"mmmm")</f>
        <v>February</v>
      </c>
      <c r="AJ383" s="9" t="str">
        <f>"Q"&amp;ROUNDUP(MONTH(Cleaned_data[[#This Row],[Order_Date]])/3,0)</f>
        <v>Q1</v>
      </c>
    </row>
    <row r="384" spans="1:36">
      <c r="A384" t="s">
        <v>865</v>
      </c>
      <c r="B384" s="9">
        <v>45701</v>
      </c>
      <c r="C384" s="9">
        <v>45702</v>
      </c>
      <c r="D384" t="s">
        <v>276</v>
      </c>
      <c r="E384" t="s">
        <v>277</v>
      </c>
      <c r="F384" t="s">
        <v>152</v>
      </c>
      <c r="G384" t="s">
        <v>75</v>
      </c>
      <c r="H384" t="s">
        <v>212</v>
      </c>
      <c r="I384" t="s">
        <v>213</v>
      </c>
      <c r="J384" t="s">
        <v>78</v>
      </c>
      <c r="K384" t="s">
        <v>168</v>
      </c>
      <c r="L384" t="s">
        <v>214</v>
      </c>
      <c r="M384" t="s">
        <v>215</v>
      </c>
      <c r="N384" t="s">
        <v>103</v>
      </c>
      <c r="O384" t="s">
        <v>171</v>
      </c>
      <c r="P384" s="8">
        <v>4</v>
      </c>
      <c r="Q384" s="10">
        <v>12.27</v>
      </c>
      <c r="R384" s="11">
        <v>0.02</v>
      </c>
      <c r="S384" s="10">
        <v>9.2100000000000009</v>
      </c>
      <c r="T384" t="s">
        <v>122</v>
      </c>
      <c r="U384" t="s">
        <v>85</v>
      </c>
      <c r="V384" s="8">
        <v>1</v>
      </c>
      <c r="W384" t="s">
        <v>1270</v>
      </c>
      <c r="X384" t="str">
        <f>_xlfn.XLOOKUP(Cleaned_data[[#This Row],[Customer_ID]],Customers[S],Customers[Loyalty_Tier])</f>
        <v>Silver</v>
      </c>
      <c r="Y384" s="9">
        <f>_xlfn.XLOOKUP(Cleaned_data[[#This Row],[Customer_ID]],Customers[S],Customers[Signup_Date])</f>
        <v>44291</v>
      </c>
      <c r="Z384" s="12">
        <f>_xlfn.XLOOKUP(Cleaned_data[[#This Row],[SKU]],Products[SKU],Products[Standard_Cost])</f>
        <v>5</v>
      </c>
      <c r="AA384" s="10">
        <f>Cleaned_data[[#This Row],[Quantity]]*Cleaned_data[[#This Row],[Unit_Price]]</f>
        <v>49.08</v>
      </c>
      <c r="AB384" s="10">
        <f>Cleaned_data[[#This Row],[Unit_Price]]*Cleaned_data[[#This Row],[Discount_Pct]]</f>
        <v>0.24540000000000001</v>
      </c>
      <c r="AC384" s="10">
        <f>Cleaned_data[[#This Row],[Gross Sales]]-Cleaned_data[[#This Row],[Discount amount]]</f>
        <v>48.834600000000002</v>
      </c>
      <c r="AD384" s="10">
        <f>Cleaned_data[[#This Row],[Product Cost]]*Cleaned_data[[#This Row],[Quantity]]</f>
        <v>20</v>
      </c>
      <c r="AE384" s="10">
        <f>Cleaned_data[[#This Row],[Net Sales]]-Cleaned_data[[#This Row],[COGS]]</f>
        <v>28.834600000000002</v>
      </c>
      <c r="AF384" s="11">
        <f>Cleaned_data[[#This Row],[Gross Profit]]/Cleaned_data[[#This Row],[Net Sales]]</f>
        <v>0.59045430903498752</v>
      </c>
      <c r="AG384">
        <f>Cleaned_data[[#This Row],[Ship_Date]]-Cleaned_data[[#This Row],[Order_Date]]</f>
        <v>1</v>
      </c>
      <c r="AH384" t="str">
        <f>IF(Cleaned_data[[#This Row],[Delivery Days]]&gt;10,"late","on time")</f>
        <v>on time</v>
      </c>
      <c r="AI384" t="str">
        <f>TEXT(Cleaned_data[[#This Row],[Order_Date]],"mmmm")</f>
        <v>February</v>
      </c>
      <c r="AJ384" s="9" t="str">
        <f>"Q"&amp;ROUNDUP(MONTH(Cleaned_data[[#This Row],[Order_Date]])/3,0)</f>
        <v>Q1</v>
      </c>
    </row>
    <row r="385" spans="1:36">
      <c r="A385" t="s">
        <v>866</v>
      </c>
      <c r="B385" s="9">
        <v>45702</v>
      </c>
      <c r="C385" s="9">
        <v>45707</v>
      </c>
      <c r="D385" t="s">
        <v>368</v>
      </c>
      <c r="E385" t="s">
        <v>369</v>
      </c>
      <c r="F385" t="s">
        <v>89</v>
      </c>
      <c r="G385" t="s">
        <v>194</v>
      </c>
      <c r="H385" t="s">
        <v>240</v>
      </c>
      <c r="I385" t="s">
        <v>241</v>
      </c>
      <c r="J385" t="s">
        <v>129</v>
      </c>
      <c r="K385" t="s">
        <v>147</v>
      </c>
      <c r="L385" t="s">
        <v>254</v>
      </c>
      <c r="M385" t="s">
        <v>255</v>
      </c>
      <c r="N385" t="s">
        <v>82</v>
      </c>
      <c r="O385" t="s">
        <v>83</v>
      </c>
      <c r="P385" s="8">
        <v>9</v>
      </c>
      <c r="Q385" s="10">
        <v>100.11</v>
      </c>
      <c r="R385" s="11">
        <v>0.26</v>
      </c>
      <c r="S385" s="10">
        <v>9.6999999999999993</v>
      </c>
      <c r="T385" t="s">
        <v>105</v>
      </c>
      <c r="U385" t="s">
        <v>148</v>
      </c>
      <c r="V385" s="8">
        <v>5</v>
      </c>
      <c r="W385" t="s">
        <v>1270</v>
      </c>
      <c r="X385" t="str">
        <f>_xlfn.XLOOKUP(Cleaned_data[[#This Row],[Customer_ID]],Customers[S],Customers[Loyalty_Tier])</f>
        <v>Platinum</v>
      </c>
      <c r="Y385" s="9">
        <f>_xlfn.XLOOKUP(Cleaned_data[[#This Row],[Customer_ID]],Customers[S],Customers[Signup_Date])</f>
        <v>45670</v>
      </c>
      <c r="Z385" s="12">
        <f>_xlfn.XLOOKUP(Cleaned_data[[#This Row],[SKU]],Products[SKU],Products[Standard_Cost])</f>
        <v>48</v>
      </c>
      <c r="AA385" s="10">
        <f>Cleaned_data[[#This Row],[Quantity]]*Cleaned_data[[#This Row],[Unit_Price]]</f>
        <v>900.99</v>
      </c>
      <c r="AB385" s="10">
        <f>Cleaned_data[[#This Row],[Unit_Price]]*Cleaned_data[[#This Row],[Discount_Pct]]</f>
        <v>26.028600000000001</v>
      </c>
      <c r="AC385" s="10">
        <f>Cleaned_data[[#This Row],[Gross Sales]]-Cleaned_data[[#This Row],[Discount amount]]</f>
        <v>874.96140000000003</v>
      </c>
      <c r="AD385" s="10">
        <f>Cleaned_data[[#This Row],[Product Cost]]*Cleaned_data[[#This Row],[Quantity]]</f>
        <v>432</v>
      </c>
      <c r="AE385" s="10">
        <f>Cleaned_data[[#This Row],[Net Sales]]-Cleaned_data[[#This Row],[COGS]]</f>
        <v>442.96140000000003</v>
      </c>
      <c r="AF385" s="11">
        <f>Cleaned_data[[#This Row],[Gross Profit]]/Cleaned_data[[#This Row],[Net Sales]]</f>
        <v>0.50626393347180798</v>
      </c>
      <c r="AG385">
        <f>Cleaned_data[[#This Row],[Ship_Date]]-Cleaned_data[[#This Row],[Order_Date]]</f>
        <v>5</v>
      </c>
      <c r="AH385" t="str">
        <f>IF(Cleaned_data[[#This Row],[Delivery Days]]&gt;10,"late","on time")</f>
        <v>on time</v>
      </c>
      <c r="AI385" t="str">
        <f>TEXT(Cleaned_data[[#This Row],[Order_Date]],"mmmm")</f>
        <v>February</v>
      </c>
      <c r="AJ385" s="9" t="str">
        <f>"Q"&amp;ROUNDUP(MONTH(Cleaned_data[[#This Row],[Order_Date]])/3,0)</f>
        <v>Q1</v>
      </c>
    </row>
    <row r="386" spans="1:36">
      <c r="A386" t="s">
        <v>867</v>
      </c>
      <c r="B386" s="9">
        <v>45703</v>
      </c>
      <c r="C386" s="9">
        <v>45708</v>
      </c>
      <c r="D386" t="s">
        <v>427</v>
      </c>
      <c r="E386" t="s">
        <v>428</v>
      </c>
      <c r="F386" t="s">
        <v>152</v>
      </c>
      <c r="G386" t="s">
        <v>194</v>
      </c>
      <c r="H386" t="s">
        <v>240</v>
      </c>
      <c r="I386" t="s">
        <v>241</v>
      </c>
      <c r="J386" t="s">
        <v>219</v>
      </c>
      <c r="K386" t="s">
        <v>130</v>
      </c>
      <c r="L386" t="s">
        <v>214</v>
      </c>
      <c r="M386" t="s">
        <v>215</v>
      </c>
      <c r="N386" t="s">
        <v>103</v>
      </c>
      <c r="O386" t="s">
        <v>171</v>
      </c>
      <c r="P386" s="8">
        <v>7</v>
      </c>
      <c r="Q386" s="10">
        <v>12.11</v>
      </c>
      <c r="R386" s="11">
        <v>0.01</v>
      </c>
      <c r="S386" s="10">
        <v>16.59</v>
      </c>
      <c r="T386" t="s">
        <v>134</v>
      </c>
      <c r="U386" t="s">
        <v>85</v>
      </c>
      <c r="V386" s="8">
        <v>4</v>
      </c>
      <c r="W386" t="s">
        <v>1270</v>
      </c>
      <c r="X386" t="str">
        <f>_xlfn.XLOOKUP(Cleaned_data[[#This Row],[Customer_ID]],Customers[S],Customers[Loyalty_Tier])</f>
        <v>Gold</v>
      </c>
      <c r="Y386" s="9">
        <f>_xlfn.XLOOKUP(Cleaned_data[[#This Row],[Customer_ID]],Customers[S],Customers[Signup_Date])</f>
        <v>45885</v>
      </c>
      <c r="Z386" s="12">
        <f>_xlfn.XLOOKUP(Cleaned_data[[#This Row],[SKU]],Products[SKU],Products[Standard_Cost])</f>
        <v>5</v>
      </c>
      <c r="AA386" s="10">
        <f>Cleaned_data[[#This Row],[Quantity]]*Cleaned_data[[#This Row],[Unit_Price]]</f>
        <v>84.77</v>
      </c>
      <c r="AB386" s="10">
        <f>Cleaned_data[[#This Row],[Unit_Price]]*Cleaned_data[[#This Row],[Discount_Pct]]</f>
        <v>0.1211</v>
      </c>
      <c r="AC386" s="10">
        <f>Cleaned_data[[#This Row],[Gross Sales]]-Cleaned_data[[#This Row],[Discount amount]]</f>
        <v>84.648899999999998</v>
      </c>
      <c r="AD386" s="10">
        <f>Cleaned_data[[#This Row],[Product Cost]]*Cleaned_data[[#This Row],[Quantity]]</f>
        <v>35</v>
      </c>
      <c r="AE386" s="10">
        <f>Cleaned_data[[#This Row],[Net Sales]]-Cleaned_data[[#This Row],[COGS]]</f>
        <v>49.648899999999998</v>
      </c>
      <c r="AF386" s="11">
        <f>Cleaned_data[[#This Row],[Gross Profit]]/Cleaned_data[[#This Row],[Net Sales]]</f>
        <v>0.5865274090980509</v>
      </c>
      <c r="AG386">
        <f>Cleaned_data[[#This Row],[Ship_Date]]-Cleaned_data[[#This Row],[Order_Date]]</f>
        <v>5</v>
      </c>
      <c r="AH386" t="str">
        <f>IF(Cleaned_data[[#This Row],[Delivery Days]]&gt;10,"late","on time")</f>
        <v>on time</v>
      </c>
      <c r="AI386" t="str">
        <f>TEXT(Cleaned_data[[#This Row],[Order_Date]],"mmmm")</f>
        <v>February</v>
      </c>
      <c r="AJ386" s="9" t="str">
        <f>"Q"&amp;ROUNDUP(MONTH(Cleaned_data[[#This Row],[Order_Date]])/3,0)</f>
        <v>Q1</v>
      </c>
    </row>
    <row r="387" spans="1:36">
      <c r="A387" t="s">
        <v>868</v>
      </c>
      <c r="B387" s="9">
        <v>45704</v>
      </c>
      <c r="C387" s="9">
        <v>45706</v>
      </c>
      <c r="D387" t="s">
        <v>482</v>
      </c>
      <c r="E387" t="s">
        <v>483</v>
      </c>
      <c r="F387" t="s">
        <v>74</v>
      </c>
      <c r="G387" t="s">
        <v>194</v>
      </c>
      <c r="H387" t="s">
        <v>240</v>
      </c>
      <c r="I387" t="s">
        <v>241</v>
      </c>
      <c r="J387" t="s">
        <v>219</v>
      </c>
      <c r="K387" t="s">
        <v>168</v>
      </c>
      <c r="L387" t="s">
        <v>207</v>
      </c>
      <c r="M387" t="s">
        <v>208</v>
      </c>
      <c r="N387" t="s">
        <v>120</v>
      </c>
      <c r="O387" t="s">
        <v>164</v>
      </c>
      <c r="P387" s="8">
        <v>1</v>
      </c>
      <c r="Q387" s="10">
        <v>1428.48</v>
      </c>
      <c r="R387" s="11">
        <v>0.03</v>
      </c>
      <c r="S387" s="10">
        <v>17.350000000000001</v>
      </c>
      <c r="T387" t="s">
        <v>122</v>
      </c>
      <c r="U387" t="s">
        <v>85</v>
      </c>
      <c r="V387" s="8">
        <v>2</v>
      </c>
      <c r="W387" t="s">
        <v>1270</v>
      </c>
      <c r="X387" t="str">
        <f>_xlfn.XLOOKUP(Cleaned_data[[#This Row],[Customer_ID]],Customers[S],Customers[Loyalty_Tier])</f>
        <v>Platinum</v>
      </c>
      <c r="Y387" s="9">
        <f>_xlfn.XLOOKUP(Cleaned_data[[#This Row],[Customer_ID]],Customers[S],Customers[Signup_Date])</f>
        <v>44396</v>
      </c>
      <c r="Z387" s="12">
        <f>_xlfn.XLOOKUP(Cleaned_data[[#This Row],[SKU]],Products[SKU],Products[Standard_Cost])</f>
        <v>885</v>
      </c>
      <c r="AA387" s="10">
        <f>Cleaned_data[[#This Row],[Quantity]]*Cleaned_data[[#This Row],[Unit_Price]]</f>
        <v>1428.48</v>
      </c>
      <c r="AB387" s="10">
        <f>Cleaned_data[[#This Row],[Unit_Price]]*Cleaned_data[[#This Row],[Discount_Pct]]</f>
        <v>42.854399999999998</v>
      </c>
      <c r="AC387" s="10">
        <f>Cleaned_data[[#This Row],[Gross Sales]]-Cleaned_data[[#This Row],[Discount amount]]</f>
        <v>1385.6256000000001</v>
      </c>
      <c r="AD387" s="10">
        <f>Cleaned_data[[#This Row],[Product Cost]]*Cleaned_data[[#This Row],[Quantity]]</f>
        <v>885</v>
      </c>
      <c r="AE387" s="10">
        <f>Cleaned_data[[#This Row],[Net Sales]]-Cleaned_data[[#This Row],[COGS]]</f>
        <v>500.62560000000008</v>
      </c>
      <c r="AF387" s="11">
        <f>Cleaned_data[[#This Row],[Gross Profit]]/Cleaned_data[[#This Row],[Net Sales]]</f>
        <v>0.36129932934264497</v>
      </c>
      <c r="AG387">
        <f>Cleaned_data[[#This Row],[Ship_Date]]-Cleaned_data[[#This Row],[Order_Date]]</f>
        <v>2</v>
      </c>
      <c r="AH387" t="str">
        <f>IF(Cleaned_data[[#This Row],[Delivery Days]]&gt;10,"late","on time")</f>
        <v>on time</v>
      </c>
      <c r="AI387" t="str">
        <f>TEXT(Cleaned_data[[#This Row],[Order_Date]],"mmmm")</f>
        <v>February</v>
      </c>
      <c r="AJ387" s="9" t="str">
        <f>"Q"&amp;ROUNDUP(MONTH(Cleaned_data[[#This Row],[Order_Date]])/3,0)</f>
        <v>Q1</v>
      </c>
    </row>
    <row r="388" spans="1:36">
      <c r="A388" t="s">
        <v>869</v>
      </c>
      <c r="B388" s="9">
        <v>45704</v>
      </c>
      <c r="C388" s="9">
        <v>45714</v>
      </c>
      <c r="D388" t="s">
        <v>451</v>
      </c>
      <c r="E388" t="s">
        <v>452</v>
      </c>
      <c r="F388" t="s">
        <v>89</v>
      </c>
      <c r="G388" t="s">
        <v>126</v>
      </c>
      <c r="H388" t="s">
        <v>160</v>
      </c>
      <c r="I388" t="s">
        <v>161</v>
      </c>
      <c r="J388" t="s">
        <v>78</v>
      </c>
      <c r="K388" t="s">
        <v>90</v>
      </c>
      <c r="L388" t="s">
        <v>234</v>
      </c>
      <c r="M388" t="s">
        <v>235</v>
      </c>
      <c r="N388" t="s">
        <v>93</v>
      </c>
      <c r="O388" t="s">
        <v>236</v>
      </c>
      <c r="P388" s="8">
        <v>2</v>
      </c>
      <c r="Q388" s="10">
        <v>153.76</v>
      </c>
      <c r="R388" s="11">
        <v>0.01</v>
      </c>
      <c r="S388" s="10">
        <v>19.2</v>
      </c>
      <c r="T388" t="s">
        <v>105</v>
      </c>
      <c r="U388" t="s">
        <v>85</v>
      </c>
      <c r="W388" t="s">
        <v>1270</v>
      </c>
      <c r="X388" t="str">
        <f>_xlfn.XLOOKUP(Cleaned_data[[#This Row],[Customer_ID]],Customers[S],Customers[Loyalty_Tier])</f>
        <v>Silver</v>
      </c>
      <c r="Y388" s="9">
        <f>_xlfn.XLOOKUP(Cleaned_data[[#This Row],[Customer_ID]],Customers[S],Customers[Signup_Date])</f>
        <v>45495</v>
      </c>
      <c r="Z388" s="12">
        <f>_xlfn.XLOOKUP(Cleaned_data[[#This Row],[SKU]],Products[SKU],Products[Standard_Cost])</f>
        <v>82</v>
      </c>
      <c r="AA388" s="10">
        <f>Cleaned_data[[#This Row],[Quantity]]*Cleaned_data[[#This Row],[Unit_Price]]</f>
        <v>307.52</v>
      </c>
      <c r="AB388" s="10">
        <f>Cleaned_data[[#This Row],[Unit_Price]]*Cleaned_data[[#This Row],[Discount_Pct]]</f>
        <v>1.5375999999999999</v>
      </c>
      <c r="AC388" s="10">
        <f>Cleaned_data[[#This Row],[Gross Sales]]-Cleaned_data[[#This Row],[Discount amount]]</f>
        <v>305.98239999999998</v>
      </c>
      <c r="AD388" s="10">
        <f>Cleaned_data[[#This Row],[Product Cost]]*Cleaned_data[[#This Row],[Quantity]]</f>
        <v>164</v>
      </c>
      <c r="AE388" s="10">
        <f>Cleaned_data[[#This Row],[Net Sales]]-Cleaned_data[[#This Row],[COGS]]</f>
        <v>141.98239999999998</v>
      </c>
      <c r="AF388" s="11">
        <f>Cleaned_data[[#This Row],[Gross Profit]]/Cleaned_data[[#This Row],[Net Sales]]</f>
        <v>0.46402146005783335</v>
      </c>
      <c r="AG388">
        <f>Cleaned_data[[#This Row],[Ship_Date]]-Cleaned_data[[#This Row],[Order_Date]]</f>
        <v>10</v>
      </c>
      <c r="AH388" t="str">
        <f>IF(Cleaned_data[[#This Row],[Delivery Days]]&gt;10,"late","on time")</f>
        <v>on time</v>
      </c>
      <c r="AI388" t="str">
        <f>TEXT(Cleaned_data[[#This Row],[Order_Date]],"mmmm")</f>
        <v>February</v>
      </c>
      <c r="AJ388" s="9" t="str">
        <f>"Q"&amp;ROUNDUP(MONTH(Cleaned_data[[#This Row],[Order_Date]])/3,0)</f>
        <v>Q1</v>
      </c>
    </row>
    <row r="389" spans="1:36">
      <c r="A389" t="s">
        <v>870</v>
      </c>
      <c r="B389" s="9">
        <v>45705</v>
      </c>
      <c r="C389" s="9">
        <v>45713</v>
      </c>
      <c r="D389" t="s">
        <v>663</v>
      </c>
      <c r="E389" t="s">
        <v>664</v>
      </c>
      <c r="F389" t="s">
        <v>89</v>
      </c>
      <c r="G389" t="s">
        <v>194</v>
      </c>
      <c r="H389" t="s">
        <v>230</v>
      </c>
      <c r="I389" t="s">
        <v>231</v>
      </c>
      <c r="J389" t="s">
        <v>129</v>
      </c>
      <c r="K389" t="s">
        <v>100</v>
      </c>
      <c r="L389" t="s">
        <v>188</v>
      </c>
      <c r="M389" t="s">
        <v>189</v>
      </c>
      <c r="N389" t="s">
        <v>120</v>
      </c>
      <c r="O389" t="s">
        <v>190</v>
      </c>
      <c r="P389" s="8">
        <v>1</v>
      </c>
      <c r="Q389" s="10">
        <v>57.68</v>
      </c>
      <c r="R389" s="11">
        <v>0.04</v>
      </c>
      <c r="S389" s="10">
        <v>10.99</v>
      </c>
      <c r="T389" t="s">
        <v>105</v>
      </c>
      <c r="U389" t="s">
        <v>85</v>
      </c>
      <c r="W389" t="s">
        <v>1270</v>
      </c>
      <c r="X389" t="str">
        <f>_xlfn.XLOOKUP(Cleaned_data[[#This Row],[Customer_ID]],Customers[S],Customers[Loyalty_Tier])</f>
        <v>Bronze</v>
      </c>
      <c r="Y389" s="9">
        <f>_xlfn.XLOOKUP(Cleaned_data[[#This Row],[Customer_ID]],Customers[S],Customers[Signup_Date])</f>
        <v>44975</v>
      </c>
      <c r="Z389" s="12">
        <f>_xlfn.XLOOKUP(Cleaned_data[[#This Row],[SKU]],Products[SKU],Products[Standard_Cost])</f>
        <v>28</v>
      </c>
      <c r="AA389" s="10">
        <f>Cleaned_data[[#This Row],[Quantity]]*Cleaned_data[[#This Row],[Unit_Price]]</f>
        <v>57.68</v>
      </c>
      <c r="AB389" s="10">
        <f>Cleaned_data[[#This Row],[Unit_Price]]*Cleaned_data[[#This Row],[Discount_Pct]]</f>
        <v>2.3071999999999999</v>
      </c>
      <c r="AC389" s="10">
        <f>Cleaned_data[[#This Row],[Gross Sales]]-Cleaned_data[[#This Row],[Discount amount]]</f>
        <v>55.372799999999998</v>
      </c>
      <c r="AD389" s="10">
        <f>Cleaned_data[[#This Row],[Product Cost]]*Cleaned_data[[#This Row],[Quantity]]</f>
        <v>28</v>
      </c>
      <c r="AE389" s="10">
        <f>Cleaned_data[[#This Row],[Net Sales]]-Cleaned_data[[#This Row],[COGS]]</f>
        <v>27.372799999999998</v>
      </c>
      <c r="AF389" s="11">
        <f>Cleaned_data[[#This Row],[Gross Profit]]/Cleaned_data[[#This Row],[Net Sales]]</f>
        <v>0.49433656957928801</v>
      </c>
      <c r="AG389">
        <f>Cleaned_data[[#This Row],[Ship_Date]]-Cleaned_data[[#This Row],[Order_Date]]</f>
        <v>8</v>
      </c>
      <c r="AH389" t="str">
        <f>IF(Cleaned_data[[#This Row],[Delivery Days]]&gt;10,"late","on time")</f>
        <v>on time</v>
      </c>
      <c r="AI389" t="str">
        <f>TEXT(Cleaned_data[[#This Row],[Order_Date]],"mmmm")</f>
        <v>February</v>
      </c>
      <c r="AJ389" s="9" t="str">
        <f>"Q"&amp;ROUNDUP(MONTH(Cleaned_data[[#This Row],[Order_Date]])/3,0)</f>
        <v>Q1</v>
      </c>
    </row>
    <row r="390" spans="1:36">
      <c r="A390" t="s">
        <v>871</v>
      </c>
      <c r="B390" s="9">
        <v>45705</v>
      </c>
      <c r="C390" s="9">
        <v>45712</v>
      </c>
      <c r="D390" t="s">
        <v>621</v>
      </c>
      <c r="E390" t="s">
        <v>622</v>
      </c>
      <c r="F390" t="s">
        <v>74</v>
      </c>
      <c r="G390" t="s">
        <v>194</v>
      </c>
      <c r="H390" t="s">
        <v>230</v>
      </c>
      <c r="I390" t="s">
        <v>231</v>
      </c>
      <c r="J390" t="s">
        <v>109</v>
      </c>
      <c r="K390" t="s">
        <v>79</v>
      </c>
      <c r="L390" t="s">
        <v>169</v>
      </c>
      <c r="M390" t="s">
        <v>170</v>
      </c>
      <c r="N390" t="s">
        <v>103</v>
      </c>
      <c r="O390" t="s">
        <v>171</v>
      </c>
      <c r="P390" s="8">
        <v>2</v>
      </c>
      <c r="Q390" s="10">
        <v>14.57</v>
      </c>
      <c r="R390" s="11">
        <v>0.11</v>
      </c>
      <c r="S390" s="10">
        <v>14.72</v>
      </c>
      <c r="T390" t="s">
        <v>105</v>
      </c>
      <c r="U390" t="s">
        <v>85</v>
      </c>
      <c r="V390" s="8">
        <v>2</v>
      </c>
      <c r="W390" t="s">
        <v>1270</v>
      </c>
      <c r="X390" t="str">
        <f>_xlfn.XLOOKUP(Cleaned_data[[#This Row],[Customer_ID]],Customers[S],Customers[Loyalty_Tier])</f>
        <v>Gold</v>
      </c>
      <c r="Y390" s="9">
        <f>_xlfn.XLOOKUP(Cleaned_data[[#This Row],[Customer_ID]],Customers[S],Customers[Signup_Date])</f>
        <v>44796</v>
      </c>
      <c r="Z390" s="12">
        <f>_xlfn.XLOOKUP(Cleaned_data[[#This Row],[SKU]],Products[SKU],Products[Standard_Cost])</f>
        <v>6</v>
      </c>
      <c r="AA390" s="10">
        <f>Cleaned_data[[#This Row],[Quantity]]*Cleaned_data[[#This Row],[Unit_Price]]</f>
        <v>29.14</v>
      </c>
      <c r="AB390" s="10">
        <f>Cleaned_data[[#This Row],[Unit_Price]]*Cleaned_data[[#This Row],[Discount_Pct]]</f>
        <v>1.6027</v>
      </c>
      <c r="AC390" s="10">
        <f>Cleaned_data[[#This Row],[Gross Sales]]-Cleaned_data[[#This Row],[Discount amount]]</f>
        <v>27.537300000000002</v>
      </c>
      <c r="AD390" s="10">
        <f>Cleaned_data[[#This Row],[Product Cost]]*Cleaned_data[[#This Row],[Quantity]]</f>
        <v>12</v>
      </c>
      <c r="AE390" s="10">
        <f>Cleaned_data[[#This Row],[Net Sales]]-Cleaned_data[[#This Row],[COGS]]</f>
        <v>15.537300000000002</v>
      </c>
      <c r="AF390" s="11">
        <f>Cleaned_data[[#This Row],[Gross Profit]]/Cleaned_data[[#This Row],[Net Sales]]</f>
        <v>0.56422742970443729</v>
      </c>
      <c r="AG390">
        <f>Cleaned_data[[#This Row],[Ship_Date]]-Cleaned_data[[#This Row],[Order_Date]]</f>
        <v>7</v>
      </c>
      <c r="AH390" t="str">
        <f>IF(Cleaned_data[[#This Row],[Delivery Days]]&gt;10,"late","on time")</f>
        <v>on time</v>
      </c>
      <c r="AI390" t="str">
        <f>TEXT(Cleaned_data[[#This Row],[Order_Date]],"mmmm")</f>
        <v>February</v>
      </c>
      <c r="AJ390" s="9" t="str">
        <f>"Q"&amp;ROUNDUP(MONTH(Cleaned_data[[#This Row],[Order_Date]])/3,0)</f>
        <v>Q1</v>
      </c>
    </row>
    <row r="391" spans="1:36">
      <c r="A391" t="s">
        <v>872</v>
      </c>
      <c r="B391" s="9">
        <v>45706</v>
      </c>
      <c r="C391" s="9">
        <v>45715</v>
      </c>
      <c r="D391" t="s">
        <v>873</v>
      </c>
      <c r="E391" t="s">
        <v>874</v>
      </c>
      <c r="F391" t="s">
        <v>152</v>
      </c>
      <c r="G391" t="s">
        <v>194</v>
      </c>
      <c r="H391" t="s">
        <v>225</v>
      </c>
      <c r="I391" t="s">
        <v>226</v>
      </c>
      <c r="J391" t="s">
        <v>219</v>
      </c>
      <c r="K391" t="s">
        <v>79</v>
      </c>
      <c r="L391" t="s">
        <v>131</v>
      </c>
      <c r="M391" t="s">
        <v>132</v>
      </c>
      <c r="N391" t="s">
        <v>120</v>
      </c>
      <c r="O391" t="s">
        <v>133</v>
      </c>
      <c r="P391" s="8">
        <v>3</v>
      </c>
      <c r="Q391" s="10">
        <v>84.11</v>
      </c>
      <c r="R391" s="11">
        <v>0.01</v>
      </c>
      <c r="S391" s="10">
        <v>19.739999999999998</v>
      </c>
      <c r="T391" t="s">
        <v>105</v>
      </c>
      <c r="U391" t="s">
        <v>85</v>
      </c>
      <c r="W391" t="s">
        <v>1270</v>
      </c>
      <c r="X391" t="str">
        <f>_xlfn.XLOOKUP(Cleaned_data[[#This Row],[Customer_ID]],Customers[S],Customers[Loyalty_Tier])</f>
        <v>Bronze</v>
      </c>
      <c r="Y391" s="9">
        <f>_xlfn.XLOOKUP(Cleaned_data[[#This Row],[Customer_ID]],Customers[S],Customers[Signup_Date])</f>
        <v>45403</v>
      </c>
      <c r="Z391" s="12">
        <f>_xlfn.XLOOKUP(Cleaned_data[[#This Row],[SKU]],Products[SKU],Products[Standard_Cost])</f>
        <v>44</v>
      </c>
      <c r="AA391" s="10">
        <f>Cleaned_data[[#This Row],[Quantity]]*Cleaned_data[[#This Row],[Unit_Price]]</f>
        <v>252.32999999999998</v>
      </c>
      <c r="AB391" s="10">
        <f>Cleaned_data[[#This Row],[Unit_Price]]*Cleaned_data[[#This Row],[Discount_Pct]]</f>
        <v>0.84109999999999996</v>
      </c>
      <c r="AC391" s="10">
        <f>Cleaned_data[[#This Row],[Gross Sales]]-Cleaned_data[[#This Row],[Discount amount]]</f>
        <v>251.48889999999997</v>
      </c>
      <c r="AD391" s="10">
        <f>Cleaned_data[[#This Row],[Product Cost]]*Cleaned_data[[#This Row],[Quantity]]</f>
        <v>132</v>
      </c>
      <c r="AE391" s="10">
        <f>Cleaned_data[[#This Row],[Net Sales]]-Cleaned_data[[#This Row],[COGS]]</f>
        <v>119.48889999999997</v>
      </c>
      <c r="AF391" s="11">
        <f>Cleaned_data[[#This Row],[Gross Profit]]/Cleaned_data[[#This Row],[Net Sales]]</f>
        <v>0.47512593995202168</v>
      </c>
      <c r="AG391">
        <f>Cleaned_data[[#This Row],[Ship_Date]]-Cleaned_data[[#This Row],[Order_Date]]</f>
        <v>9</v>
      </c>
      <c r="AH391" t="str">
        <f>IF(Cleaned_data[[#This Row],[Delivery Days]]&gt;10,"late","on time")</f>
        <v>on time</v>
      </c>
      <c r="AI391" t="str">
        <f>TEXT(Cleaned_data[[#This Row],[Order_Date]],"mmmm")</f>
        <v>February</v>
      </c>
      <c r="AJ391" s="9" t="str">
        <f>"Q"&amp;ROUNDUP(MONTH(Cleaned_data[[#This Row],[Order_Date]])/3,0)</f>
        <v>Q1</v>
      </c>
    </row>
    <row r="392" spans="1:36">
      <c r="A392" t="s">
        <v>875</v>
      </c>
      <c r="B392" s="9">
        <v>45708</v>
      </c>
      <c r="C392" s="9">
        <v>45713</v>
      </c>
      <c r="D392" t="s">
        <v>876</v>
      </c>
      <c r="E392" t="s">
        <v>877</v>
      </c>
      <c r="F392" t="s">
        <v>74</v>
      </c>
      <c r="G392" t="s">
        <v>138</v>
      </c>
      <c r="H392" t="s">
        <v>153</v>
      </c>
      <c r="I392" t="s">
        <v>154</v>
      </c>
      <c r="J392" t="s">
        <v>78</v>
      </c>
      <c r="K392" t="s">
        <v>147</v>
      </c>
      <c r="L392" t="s">
        <v>110</v>
      </c>
      <c r="M392" t="s">
        <v>111</v>
      </c>
      <c r="N392" t="s">
        <v>82</v>
      </c>
      <c r="O392" t="s">
        <v>112</v>
      </c>
      <c r="P392" s="8">
        <v>1</v>
      </c>
      <c r="Q392" s="10">
        <v>312.16000000000003</v>
      </c>
      <c r="R392" s="11">
        <v>0.12</v>
      </c>
      <c r="S392" s="10">
        <v>5.37</v>
      </c>
      <c r="T392" t="s">
        <v>105</v>
      </c>
      <c r="U392" t="s">
        <v>85</v>
      </c>
      <c r="V392" s="8">
        <v>4</v>
      </c>
      <c r="W392" t="s">
        <v>1270</v>
      </c>
      <c r="X392" t="str">
        <f>_xlfn.XLOOKUP(Cleaned_data[[#This Row],[Customer_ID]],Customers[S],Customers[Loyalty_Tier])</f>
        <v>Silver</v>
      </c>
      <c r="Y392" s="9">
        <f>_xlfn.XLOOKUP(Cleaned_data[[#This Row],[Customer_ID]],Customers[S],Customers[Signup_Date])</f>
        <v>45704</v>
      </c>
      <c r="Z392" s="12">
        <f>_xlfn.XLOOKUP(Cleaned_data[[#This Row],[SKU]],Products[SKU],Products[Standard_Cost])</f>
        <v>165</v>
      </c>
      <c r="AA392" s="10">
        <f>Cleaned_data[[#This Row],[Quantity]]*Cleaned_data[[#This Row],[Unit_Price]]</f>
        <v>312.16000000000003</v>
      </c>
      <c r="AB392" s="10">
        <f>Cleaned_data[[#This Row],[Unit_Price]]*Cleaned_data[[#This Row],[Discount_Pct]]</f>
        <v>37.459200000000003</v>
      </c>
      <c r="AC392" s="10">
        <f>Cleaned_data[[#This Row],[Gross Sales]]-Cleaned_data[[#This Row],[Discount amount]]</f>
        <v>274.70080000000002</v>
      </c>
      <c r="AD392" s="10">
        <f>Cleaned_data[[#This Row],[Product Cost]]*Cleaned_data[[#This Row],[Quantity]]</f>
        <v>165</v>
      </c>
      <c r="AE392" s="10">
        <f>Cleaned_data[[#This Row],[Net Sales]]-Cleaned_data[[#This Row],[COGS]]</f>
        <v>109.70080000000002</v>
      </c>
      <c r="AF392" s="11">
        <f>Cleaned_data[[#This Row],[Gross Profit]]/Cleaned_data[[#This Row],[Net Sales]]</f>
        <v>0.39934648898001029</v>
      </c>
      <c r="AG392">
        <f>Cleaned_data[[#This Row],[Ship_Date]]-Cleaned_data[[#This Row],[Order_Date]]</f>
        <v>5</v>
      </c>
      <c r="AH392" t="str">
        <f>IF(Cleaned_data[[#This Row],[Delivery Days]]&gt;10,"late","on time")</f>
        <v>on time</v>
      </c>
      <c r="AI392" t="str">
        <f>TEXT(Cleaned_data[[#This Row],[Order_Date]],"mmmm")</f>
        <v>February</v>
      </c>
      <c r="AJ392" s="9" t="str">
        <f>"Q"&amp;ROUNDUP(MONTH(Cleaned_data[[#This Row],[Order_Date]])/3,0)</f>
        <v>Q1</v>
      </c>
    </row>
    <row r="393" spans="1:36">
      <c r="A393" t="s">
        <v>878</v>
      </c>
      <c r="B393" s="9">
        <v>45708</v>
      </c>
      <c r="C393" s="9">
        <v>45718</v>
      </c>
      <c r="D393" t="s">
        <v>258</v>
      </c>
      <c r="E393" t="s">
        <v>259</v>
      </c>
      <c r="F393" t="s">
        <v>152</v>
      </c>
      <c r="G393" t="s">
        <v>194</v>
      </c>
      <c r="H393" t="s">
        <v>225</v>
      </c>
      <c r="I393" t="s">
        <v>226</v>
      </c>
      <c r="J393" t="s">
        <v>109</v>
      </c>
      <c r="K393" t="s">
        <v>100</v>
      </c>
      <c r="L393" t="s">
        <v>197</v>
      </c>
      <c r="M393" t="s">
        <v>198</v>
      </c>
      <c r="N393" t="s">
        <v>120</v>
      </c>
      <c r="O393" t="s">
        <v>121</v>
      </c>
      <c r="P393" s="8">
        <v>1</v>
      </c>
      <c r="Q393" s="10">
        <v>557.70000000000005</v>
      </c>
      <c r="R393" s="11">
        <v>0.33</v>
      </c>
      <c r="S393" s="10">
        <v>5.41</v>
      </c>
      <c r="T393" t="s">
        <v>84</v>
      </c>
      <c r="U393" t="s">
        <v>85</v>
      </c>
      <c r="V393" s="8">
        <v>3</v>
      </c>
      <c r="W393" t="s">
        <v>1270</v>
      </c>
      <c r="X393" t="str">
        <f>_xlfn.XLOOKUP(Cleaned_data[[#This Row],[Customer_ID]],Customers[S],Customers[Loyalty_Tier])</f>
        <v>Gold</v>
      </c>
      <c r="Y393" s="9">
        <f>_xlfn.XLOOKUP(Cleaned_data[[#This Row],[Customer_ID]],Customers[S],Customers[Signup_Date])</f>
        <v>45514</v>
      </c>
      <c r="Z393" s="12">
        <f>_xlfn.XLOOKUP(Cleaned_data[[#This Row],[SKU]],Products[SKU],Products[Standard_Cost])</f>
        <v>310</v>
      </c>
      <c r="AA393" s="10">
        <f>Cleaned_data[[#This Row],[Quantity]]*Cleaned_data[[#This Row],[Unit_Price]]</f>
        <v>557.70000000000005</v>
      </c>
      <c r="AB393" s="10">
        <f>Cleaned_data[[#This Row],[Unit_Price]]*Cleaned_data[[#This Row],[Discount_Pct]]</f>
        <v>184.04100000000003</v>
      </c>
      <c r="AC393" s="10">
        <f>Cleaned_data[[#This Row],[Gross Sales]]-Cleaned_data[[#This Row],[Discount amount]]</f>
        <v>373.65899999999999</v>
      </c>
      <c r="AD393" s="10">
        <f>Cleaned_data[[#This Row],[Product Cost]]*Cleaned_data[[#This Row],[Quantity]]</f>
        <v>310</v>
      </c>
      <c r="AE393" s="10">
        <f>Cleaned_data[[#This Row],[Net Sales]]-Cleaned_data[[#This Row],[COGS]]</f>
        <v>63.658999999999992</v>
      </c>
      <c r="AF393" s="11">
        <f>Cleaned_data[[#This Row],[Gross Profit]]/Cleaned_data[[#This Row],[Net Sales]]</f>
        <v>0.17036656416679377</v>
      </c>
      <c r="AG393">
        <f>Cleaned_data[[#This Row],[Ship_Date]]-Cleaned_data[[#This Row],[Order_Date]]</f>
        <v>10</v>
      </c>
      <c r="AH393" t="str">
        <f>IF(Cleaned_data[[#This Row],[Delivery Days]]&gt;10,"late","on time")</f>
        <v>on time</v>
      </c>
      <c r="AI393" t="str">
        <f>TEXT(Cleaned_data[[#This Row],[Order_Date]],"mmmm")</f>
        <v>February</v>
      </c>
      <c r="AJ393" s="9" t="str">
        <f>"Q"&amp;ROUNDUP(MONTH(Cleaned_data[[#This Row],[Order_Date]])/3,0)</f>
        <v>Q1</v>
      </c>
    </row>
    <row r="394" spans="1:36">
      <c r="A394" t="s">
        <v>879</v>
      </c>
      <c r="B394" s="9">
        <v>45709</v>
      </c>
      <c r="C394" s="9">
        <v>45714</v>
      </c>
      <c r="D394" t="s">
        <v>87</v>
      </c>
      <c r="E394" t="s">
        <v>88</v>
      </c>
      <c r="F394" t="s">
        <v>89</v>
      </c>
      <c r="G394" t="s">
        <v>75</v>
      </c>
      <c r="H394" t="s">
        <v>76</v>
      </c>
      <c r="I394" t="s">
        <v>77</v>
      </c>
      <c r="J394" t="s">
        <v>129</v>
      </c>
      <c r="K394" t="s">
        <v>130</v>
      </c>
      <c r="L394" t="s">
        <v>284</v>
      </c>
      <c r="M394" t="s">
        <v>285</v>
      </c>
      <c r="N394" t="s">
        <v>103</v>
      </c>
      <c r="O394" t="s">
        <v>143</v>
      </c>
      <c r="P394" s="8">
        <v>1</v>
      </c>
      <c r="Q394" s="10">
        <v>29.61</v>
      </c>
      <c r="R394" s="11">
        <v>0.08</v>
      </c>
      <c r="S394" s="10">
        <v>16.190000000000001</v>
      </c>
      <c r="T394" t="s">
        <v>84</v>
      </c>
      <c r="U394" t="s">
        <v>85</v>
      </c>
      <c r="V394" s="8">
        <v>2</v>
      </c>
      <c r="W394" t="s">
        <v>1270</v>
      </c>
      <c r="X394" t="str">
        <f>_xlfn.XLOOKUP(Cleaned_data[[#This Row],[Customer_ID]],Customers[S],Customers[Loyalty_Tier])</f>
        <v>Silver</v>
      </c>
      <c r="Y394" s="9">
        <f>_xlfn.XLOOKUP(Cleaned_data[[#This Row],[Customer_ID]],Customers[S],Customers[Signup_Date])</f>
        <v>44736</v>
      </c>
      <c r="Z394" s="12">
        <f>_xlfn.XLOOKUP(Cleaned_data[[#This Row],[SKU]],Products[SKU],Products[Standard_Cost])</f>
        <v>14</v>
      </c>
      <c r="AA394" s="10">
        <f>Cleaned_data[[#This Row],[Quantity]]*Cleaned_data[[#This Row],[Unit_Price]]</f>
        <v>29.61</v>
      </c>
      <c r="AB394" s="10">
        <f>Cleaned_data[[#This Row],[Unit_Price]]*Cleaned_data[[#This Row],[Discount_Pct]]</f>
        <v>2.3687999999999998</v>
      </c>
      <c r="AC394" s="10">
        <f>Cleaned_data[[#This Row],[Gross Sales]]-Cleaned_data[[#This Row],[Discount amount]]</f>
        <v>27.241199999999999</v>
      </c>
      <c r="AD394" s="10">
        <f>Cleaned_data[[#This Row],[Product Cost]]*Cleaned_data[[#This Row],[Quantity]]</f>
        <v>14</v>
      </c>
      <c r="AE394" s="10">
        <f>Cleaned_data[[#This Row],[Net Sales]]-Cleaned_data[[#This Row],[COGS]]</f>
        <v>13.241199999999999</v>
      </c>
      <c r="AF394" s="11">
        <f>Cleaned_data[[#This Row],[Gross Profit]]/Cleaned_data[[#This Row],[Net Sales]]</f>
        <v>0.48607256655360259</v>
      </c>
      <c r="AG394">
        <f>Cleaned_data[[#This Row],[Ship_Date]]-Cleaned_data[[#This Row],[Order_Date]]</f>
        <v>5</v>
      </c>
      <c r="AH394" t="str">
        <f>IF(Cleaned_data[[#This Row],[Delivery Days]]&gt;10,"late","on time")</f>
        <v>on time</v>
      </c>
      <c r="AI394" t="str">
        <f>TEXT(Cleaned_data[[#This Row],[Order_Date]],"mmmm")</f>
        <v>February</v>
      </c>
      <c r="AJ394" s="9" t="str">
        <f>"Q"&amp;ROUNDUP(MONTH(Cleaned_data[[#This Row],[Order_Date]])/3,0)</f>
        <v>Q1</v>
      </c>
    </row>
    <row r="395" spans="1:36">
      <c r="A395" t="s">
        <v>880</v>
      </c>
      <c r="B395" s="9">
        <v>45709</v>
      </c>
      <c r="C395" s="9">
        <v>45710</v>
      </c>
      <c r="D395" t="s">
        <v>598</v>
      </c>
      <c r="E395" t="s">
        <v>599</v>
      </c>
      <c r="F395" t="s">
        <v>89</v>
      </c>
      <c r="G395" t="s">
        <v>138</v>
      </c>
      <c r="H395" t="s">
        <v>457</v>
      </c>
      <c r="I395" t="s">
        <v>458</v>
      </c>
      <c r="J395" t="s">
        <v>78</v>
      </c>
      <c r="K395" t="s">
        <v>168</v>
      </c>
      <c r="L395" t="s">
        <v>242</v>
      </c>
      <c r="M395" t="s">
        <v>243</v>
      </c>
      <c r="N395" t="s">
        <v>120</v>
      </c>
      <c r="O395" t="s">
        <v>133</v>
      </c>
      <c r="P395" s="8">
        <v>2</v>
      </c>
      <c r="Q395" s="10">
        <v>190.15</v>
      </c>
      <c r="R395" s="11">
        <v>0.01</v>
      </c>
      <c r="S395" s="10">
        <v>22.27</v>
      </c>
      <c r="T395" t="s">
        <v>122</v>
      </c>
      <c r="U395" t="s">
        <v>85</v>
      </c>
      <c r="V395" s="8">
        <v>1</v>
      </c>
      <c r="W395" t="s">
        <v>1270</v>
      </c>
      <c r="X395" t="str">
        <f>_xlfn.XLOOKUP(Cleaned_data[[#This Row],[Customer_ID]],Customers[S],Customers[Loyalty_Tier])</f>
        <v>Platinum</v>
      </c>
      <c r="Y395" s="9">
        <f>_xlfn.XLOOKUP(Cleaned_data[[#This Row],[Customer_ID]],Customers[S],Customers[Signup_Date])</f>
        <v>45908</v>
      </c>
      <c r="Z395" s="12">
        <f>_xlfn.XLOOKUP(Cleaned_data[[#This Row],[SKU]],Products[SKU],Products[Standard_Cost])</f>
        <v>96</v>
      </c>
      <c r="AA395" s="10">
        <f>Cleaned_data[[#This Row],[Quantity]]*Cleaned_data[[#This Row],[Unit_Price]]</f>
        <v>380.3</v>
      </c>
      <c r="AB395" s="10">
        <f>Cleaned_data[[#This Row],[Unit_Price]]*Cleaned_data[[#This Row],[Discount_Pct]]</f>
        <v>1.9015000000000002</v>
      </c>
      <c r="AC395" s="10">
        <f>Cleaned_data[[#This Row],[Gross Sales]]-Cleaned_data[[#This Row],[Discount amount]]</f>
        <v>378.39850000000001</v>
      </c>
      <c r="AD395" s="10">
        <f>Cleaned_data[[#This Row],[Product Cost]]*Cleaned_data[[#This Row],[Quantity]]</f>
        <v>192</v>
      </c>
      <c r="AE395" s="10">
        <f>Cleaned_data[[#This Row],[Net Sales]]-Cleaned_data[[#This Row],[COGS]]</f>
        <v>186.39850000000001</v>
      </c>
      <c r="AF395" s="11">
        <f>Cleaned_data[[#This Row],[Gross Profit]]/Cleaned_data[[#This Row],[Net Sales]]</f>
        <v>0.49259841146304756</v>
      </c>
      <c r="AG395">
        <f>Cleaned_data[[#This Row],[Ship_Date]]-Cleaned_data[[#This Row],[Order_Date]]</f>
        <v>1</v>
      </c>
      <c r="AH395" t="str">
        <f>IF(Cleaned_data[[#This Row],[Delivery Days]]&gt;10,"late","on time")</f>
        <v>on time</v>
      </c>
      <c r="AI395" t="str">
        <f>TEXT(Cleaned_data[[#This Row],[Order_Date]],"mmmm")</f>
        <v>February</v>
      </c>
      <c r="AJ395" s="9" t="str">
        <f>"Q"&amp;ROUNDUP(MONTH(Cleaned_data[[#This Row],[Order_Date]])/3,0)</f>
        <v>Q1</v>
      </c>
    </row>
    <row r="396" spans="1:36">
      <c r="A396" t="s">
        <v>881</v>
      </c>
      <c r="B396" s="9">
        <v>45710</v>
      </c>
      <c r="C396" s="9">
        <v>45716</v>
      </c>
      <c r="D396" t="s">
        <v>332</v>
      </c>
      <c r="E396" t="s">
        <v>333</v>
      </c>
      <c r="F396" t="s">
        <v>74</v>
      </c>
      <c r="G396" t="s">
        <v>126</v>
      </c>
      <c r="H396" t="s">
        <v>127</v>
      </c>
      <c r="I396" t="s">
        <v>128</v>
      </c>
      <c r="J396" t="s">
        <v>78</v>
      </c>
      <c r="K396" t="s">
        <v>100</v>
      </c>
      <c r="L396" t="s">
        <v>207</v>
      </c>
      <c r="M396" t="s">
        <v>208</v>
      </c>
      <c r="N396" t="s">
        <v>120</v>
      </c>
      <c r="O396" t="s">
        <v>164</v>
      </c>
      <c r="P396" s="8">
        <v>3</v>
      </c>
      <c r="Q396" s="10">
        <v>1372.24</v>
      </c>
      <c r="R396" s="11">
        <v>0.05</v>
      </c>
      <c r="S396" s="10">
        <v>7.09</v>
      </c>
      <c r="T396" t="s">
        <v>84</v>
      </c>
      <c r="U396" t="s">
        <v>85</v>
      </c>
      <c r="V396" s="8">
        <v>2</v>
      </c>
      <c r="W396" t="s">
        <v>1270</v>
      </c>
      <c r="X396" t="str">
        <f>_xlfn.XLOOKUP(Cleaned_data[[#This Row],[Customer_ID]],Customers[S],Customers[Loyalty_Tier])</f>
        <v>Silver</v>
      </c>
      <c r="Y396" s="9">
        <f>_xlfn.XLOOKUP(Cleaned_data[[#This Row],[Customer_ID]],Customers[S],Customers[Signup_Date])</f>
        <v>45373</v>
      </c>
      <c r="Z396" s="12">
        <f>_xlfn.XLOOKUP(Cleaned_data[[#This Row],[SKU]],Products[SKU],Products[Standard_Cost])</f>
        <v>885</v>
      </c>
      <c r="AA396" s="10">
        <f>Cleaned_data[[#This Row],[Quantity]]*Cleaned_data[[#This Row],[Unit_Price]]</f>
        <v>4116.72</v>
      </c>
      <c r="AB396" s="10">
        <f>Cleaned_data[[#This Row],[Unit_Price]]*Cleaned_data[[#This Row],[Discount_Pct]]</f>
        <v>68.612000000000009</v>
      </c>
      <c r="AC396" s="10">
        <f>Cleaned_data[[#This Row],[Gross Sales]]-Cleaned_data[[#This Row],[Discount amount]]</f>
        <v>4048.1080000000002</v>
      </c>
      <c r="AD396" s="10">
        <f>Cleaned_data[[#This Row],[Product Cost]]*Cleaned_data[[#This Row],[Quantity]]</f>
        <v>2655</v>
      </c>
      <c r="AE396" s="10">
        <f>Cleaned_data[[#This Row],[Net Sales]]-Cleaned_data[[#This Row],[COGS]]</f>
        <v>1393.1080000000002</v>
      </c>
      <c r="AF396" s="11">
        <f>Cleaned_data[[#This Row],[Gross Profit]]/Cleaned_data[[#This Row],[Net Sales]]</f>
        <v>0.34413805165277211</v>
      </c>
      <c r="AG396">
        <f>Cleaned_data[[#This Row],[Ship_Date]]-Cleaned_data[[#This Row],[Order_Date]]</f>
        <v>6</v>
      </c>
      <c r="AH396" t="str">
        <f>IF(Cleaned_data[[#This Row],[Delivery Days]]&gt;10,"late","on time")</f>
        <v>on time</v>
      </c>
      <c r="AI396" t="str">
        <f>TEXT(Cleaned_data[[#This Row],[Order_Date]],"mmmm")</f>
        <v>February</v>
      </c>
      <c r="AJ396" s="9" t="str">
        <f>"Q"&amp;ROUNDUP(MONTH(Cleaned_data[[#This Row],[Order_Date]])/3,0)</f>
        <v>Q1</v>
      </c>
    </row>
    <row r="397" spans="1:36">
      <c r="A397" t="s">
        <v>882</v>
      </c>
      <c r="B397" s="9">
        <v>45711</v>
      </c>
      <c r="C397" s="9">
        <v>45715</v>
      </c>
      <c r="D397" t="s">
        <v>150</v>
      </c>
      <c r="E397" t="s">
        <v>151</v>
      </c>
      <c r="F397" t="s">
        <v>152</v>
      </c>
      <c r="G397" t="s">
        <v>138</v>
      </c>
      <c r="H397" t="s">
        <v>153</v>
      </c>
      <c r="I397" t="s">
        <v>154</v>
      </c>
      <c r="J397" t="s">
        <v>78</v>
      </c>
      <c r="K397" t="s">
        <v>100</v>
      </c>
      <c r="L397" t="s">
        <v>242</v>
      </c>
      <c r="M397" t="s">
        <v>243</v>
      </c>
      <c r="N397" t="s">
        <v>120</v>
      </c>
      <c r="O397" t="s">
        <v>133</v>
      </c>
      <c r="P397" s="8">
        <v>3</v>
      </c>
      <c r="Q397" s="10">
        <v>188.7</v>
      </c>
      <c r="R397" s="11">
        <v>0.12</v>
      </c>
      <c r="S397" s="10">
        <v>6.3</v>
      </c>
      <c r="T397" t="s">
        <v>122</v>
      </c>
      <c r="U397" t="s">
        <v>85</v>
      </c>
      <c r="V397" s="8">
        <v>3</v>
      </c>
      <c r="W397" t="s">
        <v>1270</v>
      </c>
      <c r="X397" t="str">
        <f>_xlfn.XLOOKUP(Cleaned_data[[#This Row],[Customer_ID]],Customers[S],Customers[Loyalty_Tier])</f>
        <v>Platinum</v>
      </c>
      <c r="Y397" s="9">
        <f>_xlfn.XLOOKUP(Cleaned_data[[#This Row],[Customer_ID]],Customers[S],Customers[Signup_Date])</f>
        <v>45858</v>
      </c>
      <c r="Z397" s="12">
        <f>_xlfn.XLOOKUP(Cleaned_data[[#This Row],[SKU]],Products[SKU],Products[Standard_Cost])</f>
        <v>96</v>
      </c>
      <c r="AA397" s="10">
        <f>Cleaned_data[[#This Row],[Quantity]]*Cleaned_data[[#This Row],[Unit_Price]]</f>
        <v>566.09999999999991</v>
      </c>
      <c r="AB397" s="10">
        <f>Cleaned_data[[#This Row],[Unit_Price]]*Cleaned_data[[#This Row],[Discount_Pct]]</f>
        <v>22.643999999999998</v>
      </c>
      <c r="AC397" s="10">
        <f>Cleaned_data[[#This Row],[Gross Sales]]-Cleaned_data[[#This Row],[Discount amount]]</f>
        <v>543.4559999999999</v>
      </c>
      <c r="AD397" s="10">
        <f>Cleaned_data[[#This Row],[Product Cost]]*Cleaned_data[[#This Row],[Quantity]]</f>
        <v>288</v>
      </c>
      <c r="AE397" s="10">
        <f>Cleaned_data[[#This Row],[Net Sales]]-Cleaned_data[[#This Row],[COGS]]</f>
        <v>255.4559999999999</v>
      </c>
      <c r="AF397" s="11">
        <f>Cleaned_data[[#This Row],[Gross Profit]]/Cleaned_data[[#This Row],[Net Sales]]</f>
        <v>0.47005829358770523</v>
      </c>
      <c r="AG397">
        <f>Cleaned_data[[#This Row],[Ship_Date]]-Cleaned_data[[#This Row],[Order_Date]]</f>
        <v>4</v>
      </c>
      <c r="AH397" t="str">
        <f>IF(Cleaned_data[[#This Row],[Delivery Days]]&gt;10,"late","on time")</f>
        <v>on time</v>
      </c>
      <c r="AI397" t="str">
        <f>TEXT(Cleaned_data[[#This Row],[Order_Date]],"mmmm")</f>
        <v>February</v>
      </c>
      <c r="AJ397" s="9" t="str">
        <f>"Q"&amp;ROUNDUP(MONTH(Cleaned_data[[#This Row],[Order_Date]])/3,0)</f>
        <v>Q1</v>
      </c>
    </row>
    <row r="398" spans="1:36">
      <c r="A398" t="s">
        <v>883</v>
      </c>
      <c r="B398" s="9">
        <v>45712</v>
      </c>
      <c r="C398" s="9">
        <v>45722</v>
      </c>
      <c r="D398" t="s">
        <v>145</v>
      </c>
      <c r="E398" t="s">
        <v>146</v>
      </c>
      <c r="F398" t="s">
        <v>74</v>
      </c>
      <c r="G398" t="s">
        <v>75</v>
      </c>
      <c r="H398" t="s">
        <v>116</v>
      </c>
      <c r="I398" t="s">
        <v>117</v>
      </c>
      <c r="J398" t="s">
        <v>109</v>
      </c>
      <c r="K398" t="s">
        <v>79</v>
      </c>
      <c r="L398" t="s">
        <v>91</v>
      </c>
      <c r="M398" t="s">
        <v>92</v>
      </c>
      <c r="N398" t="s">
        <v>93</v>
      </c>
      <c r="O398" t="s">
        <v>94</v>
      </c>
      <c r="P398" s="8">
        <v>2</v>
      </c>
      <c r="Q398" s="10">
        <v>311.25</v>
      </c>
      <c r="R398" s="11">
        <v>0</v>
      </c>
      <c r="S398" s="10">
        <v>20.260000000000002</v>
      </c>
      <c r="T398" t="s">
        <v>105</v>
      </c>
      <c r="U398" t="s">
        <v>1276</v>
      </c>
      <c r="V398" s="8">
        <v>2</v>
      </c>
      <c r="W398" t="s">
        <v>1281</v>
      </c>
      <c r="X398" t="str">
        <f>_xlfn.XLOOKUP(Cleaned_data[[#This Row],[Customer_ID]],Customers[S],Customers[Loyalty_Tier])</f>
        <v>Platinum</v>
      </c>
      <c r="Y398" s="9">
        <f>_xlfn.XLOOKUP(Cleaned_data[[#This Row],[Customer_ID]],Customers[S],Customers[Signup_Date])</f>
        <v>44668</v>
      </c>
      <c r="Z398" s="12">
        <f>_xlfn.XLOOKUP(Cleaned_data[[#This Row],[SKU]],Products[SKU],Products[Standard_Cost])</f>
        <v>184</v>
      </c>
      <c r="AA398" s="10">
        <f>Cleaned_data[[#This Row],[Quantity]]*Cleaned_data[[#This Row],[Unit_Price]]</f>
        <v>622.5</v>
      </c>
      <c r="AB398" s="10">
        <f>Cleaned_data[[#This Row],[Unit_Price]]*Cleaned_data[[#This Row],[Discount_Pct]]</f>
        <v>0</v>
      </c>
      <c r="AC398" s="10">
        <f>Cleaned_data[[#This Row],[Gross Sales]]-Cleaned_data[[#This Row],[Discount amount]]</f>
        <v>622.5</v>
      </c>
      <c r="AD398" s="10">
        <f>Cleaned_data[[#This Row],[Product Cost]]*Cleaned_data[[#This Row],[Quantity]]</f>
        <v>368</v>
      </c>
      <c r="AE398" s="10">
        <f>Cleaned_data[[#This Row],[Net Sales]]-Cleaned_data[[#This Row],[COGS]]</f>
        <v>254.5</v>
      </c>
      <c r="AF398" s="11">
        <f>Cleaned_data[[#This Row],[Gross Profit]]/Cleaned_data[[#This Row],[Net Sales]]</f>
        <v>0.40883534136546185</v>
      </c>
      <c r="AG398">
        <f>Cleaned_data[[#This Row],[Ship_Date]]-Cleaned_data[[#This Row],[Order_Date]]</f>
        <v>10</v>
      </c>
      <c r="AH398" t="str">
        <f>IF(Cleaned_data[[#This Row],[Delivery Days]]&gt;10,"late","on time")</f>
        <v>on time</v>
      </c>
      <c r="AI398" t="str">
        <f>TEXT(Cleaned_data[[#This Row],[Order_Date]],"mmmm")</f>
        <v>February</v>
      </c>
      <c r="AJ398" s="9" t="str">
        <f>"Q"&amp;ROUNDUP(MONTH(Cleaned_data[[#This Row],[Order_Date]])/3,0)</f>
        <v>Q1</v>
      </c>
    </row>
    <row r="399" spans="1:36">
      <c r="A399" t="s">
        <v>884</v>
      </c>
      <c r="B399" s="9">
        <v>45714</v>
      </c>
      <c r="C399" s="9">
        <v>45722</v>
      </c>
      <c r="D399" t="s">
        <v>487</v>
      </c>
      <c r="E399" t="s">
        <v>470</v>
      </c>
      <c r="F399" t="s">
        <v>152</v>
      </c>
      <c r="G399" t="s">
        <v>75</v>
      </c>
      <c r="H399" t="s">
        <v>98</v>
      </c>
      <c r="I399" t="s">
        <v>99</v>
      </c>
      <c r="J399" t="s">
        <v>78</v>
      </c>
      <c r="K399" t="s">
        <v>147</v>
      </c>
      <c r="L399" t="s">
        <v>162</v>
      </c>
      <c r="M399" t="s">
        <v>163</v>
      </c>
      <c r="N399" t="s">
        <v>120</v>
      </c>
      <c r="O399" t="s">
        <v>164</v>
      </c>
      <c r="P399" s="8">
        <v>4</v>
      </c>
      <c r="Q399" s="10">
        <v>868.26</v>
      </c>
      <c r="R399" s="11">
        <v>0</v>
      </c>
      <c r="S399" s="10">
        <v>20.420000000000002</v>
      </c>
      <c r="T399" t="s">
        <v>134</v>
      </c>
      <c r="U399" t="s">
        <v>85</v>
      </c>
      <c r="W399" t="s">
        <v>1270</v>
      </c>
      <c r="X399" t="str">
        <f>_xlfn.XLOOKUP(Cleaned_data[[#This Row],[Customer_ID]],Customers[S],Customers[Loyalty_Tier])</f>
        <v>Gold</v>
      </c>
      <c r="Y399" s="9">
        <f>_xlfn.XLOOKUP(Cleaned_data[[#This Row],[Customer_ID]],Customers[S],Customers[Signup_Date])</f>
        <v>44199</v>
      </c>
      <c r="Z399" s="12">
        <f>_xlfn.XLOOKUP(Cleaned_data[[#This Row],[SKU]],Products[SKU],Products[Standard_Cost])</f>
        <v>585</v>
      </c>
      <c r="AA399" s="10">
        <f>Cleaned_data[[#This Row],[Quantity]]*Cleaned_data[[#This Row],[Unit_Price]]</f>
        <v>3473.04</v>
      </c>
      <c r="AB399" s="10">
        <f>Cleaned_data[[#This Row],[Unit_Price]]*Cleaned_data[[#This Row],[Discount_Pct]]</f>
        <v>0</v>
      </c>
      <c r="AC399" s="10">
        <f>Cleaned_data[[#This Row],[Gross Sales]]-Cleaned_data[[#This Row],[Discount amount]]</f>
        <v>3473.04</v>
      </c>
      <c r="AD399" s="10">
        <f>Cleaned_data[[#This Row],[Product Cost]]*Cleaned_data[[#This Row],[Quantity]]</f>
        <v>2340</v>
      </c>
      <c r="AE399" s="10">
        <f>Cleaned_data[[#This Row],[Net Sales]]-Cleaned_data[[#This Row],[COGS]]</f>
        <v>1133.04</v>
      </c>
      <c r="AF399" s="11">
        <f>Cleaned_data[[#This Row],[Gross Profit]]/Cleaned_data[[#This Row],[Net Sales]]</f>
        <v>0.3262386842650819</v>
      </c>
      <c r="AG399">
        <f>Cleaned_data[[#This Row],[Ship_Date]]-Cleaned_data[[#This Row],[Order_Date]]</f>
        <v>8</v>
      </c>
      <c r="AH399" t="str">
        <f>IF(Cleaned_data[[#This Row],[Delivery Days]]&gt;10,"late","on time")</f>
        <v>on time</v>
      </c>
      <c r="AI399" t="str">
        <f>TEXT(Cleaned_data[[#This Row],[Order_Date]],"mmmm")</f>
        <v>February</v>
      </c>
      <c r="AJ399" s="9" t="str">
        <f>"Q"&amp;ROUNDUP(MONTH(Cleaned_data[[#This Row],[Order_Date]])/3,0)</f>
        <v>Q1</v>
      </c>
    </row>
    <row r="400" spans="1:36">
      <c r="A400" t="s">
        <v>885</v>
      </c>
      <c r="B400" s="9">
        <v>45718</v>
      </c>
      <c r="C400" s="9">
        <v>45724</v>
      </c>
      <c r="D400" t="s">
        <v>663</v>
      </c>
      <c r="E400" t="s">
        <v>664</v>
      </c>
      <c r="F400" t="s">
        <v>89</v>
      </c>
      <c r="G400" t="s">
        <v>194</v>
      </c>
      <c r="H400" t="s">
        <v>230</v>
      </c>
      <c r="I400" t="s">
        <v>231</v>
      </c>
      <c r="J400" t="s">
        <v>109</v>
      </c>
      <c r="K400" t="s">
        <v>147</v>
      </c>
      <c r="L400" t="s">
        <v>141</v>
      </c>
      <c r="M400" t="s">
        <v>142</v>
      </c>
      <c r="N400" t="s">
        <v>103</v>
      </c>
      <c r="O400" t="s">
        <v>143</v>
      </c>
      <c r="P400" s="8">
        <v>10</v>
      </c>
      <c r="Q400" s="10">
        <v>34.4</v>
      </c>
      <c r="R400" s="11">
        <v>0.02</v>
      </c>
      <c r="S400" s="10">
        <v>6.93</v>
      </c>
      <c r="T400" t="s">
        <v>84</v>
      </c>
      <c r="U400" t="s">
        <v>85</v>
      </c>
      <c r="V400" s="8">
        <v>2</v>
      </c>
      <c r="W400" t="s">
        <v>1270</v>
      </c>
      <c r="X400" t="str">
        <f>_xlfn.XLOOKUP(Cleaned_data[[#This Row],[Customer_ID]],Customers[S],Customers[Loyalty_Tier])</f>
        <v>Bronze</v>
      </c>
      <c r="Y400" s="9">
        <f>_xlfn.XLOOKUP(Cleaned_data[[#This Row],[Customer_ID]],Customers[S],Customers[Signup_Date])</f>
        <v>44975</v>
      </c>
      <c r="Z400" s="12">
        <f>_xlfn.XLOOKUP(Cleaned_data[[#This Row],[SKU]],Products[SKU],Products[Standard_Cost])</f>
        <v>18</v>
      </c>
      <c r="AA400" s="10">
        <f>Cleaned_data[[#This Row],[Quantity]]*Cleaned_data[[#This Row],[Unit_Price]]</f>
        <v>344</v>
      </c>
      <c r="AB400" s="10">
        <f>Cleaned_data[[#This Row],[Unit_Price]]*Cleaned_data[[#This Row],[Discount_Pct]]</f>
        <v>0.68799999999999994</v>
      </c>
      <c r="AC400" s="10">
        <f>Cleaned_data[[#This Row],[Gross Sales]]-Cleaned_data[[#This Row],[Discount amount]]</f>
        <v>343.31200000000001</v>
      </c>
      <c r="AD400" s="10">
        <f>Cleaned_data[[#This Row],[Product Cost]]*Cleaned_data[[#This Row],[Quantity]]</f>
        <v>180</v>
      </c>
      <c r="AE400" s="10">
        <f>Cleaned_data[[#This Row],[Net Sales]]-Cleaned_data[[#This Row],[COGS]]</f>
        <v>163.31200000000001</v>
      </c>
      <c r="AF400" s="11">
        <f>Cleaned_data[[#This Row],[Gross Profit]]/Cleaned_data[[#This Row],[Net Sales]]</f>
        <v>0.47569557720091349</v>
      </c>
      <c r="AG400">
        <f>Cleaned_data[[#This Row],[Ship_Date]]-Cleaned_data[[#This Row],[Order_Date]]</f>
        <v>6</v>
      </c>
      <c r="AH400" t="str">
        <f>IF(Cleaned_data[[#This Row],[Delivery Days]]&gt;10,"late","on time")</f>
        <v>on time</v>
      </c>
      <c r="AI400" t="str">
        <f>TEXT(Cleaned_data[[#This Row],[Order_Date]],"mmmm")</f>
        <v>March</v>
      </c>
      <c r="AJ400" s="9" t="str">
        <f>"Q"&amp;ROUNDUP(MONTH(Cleaned_data[[#This Row],[Order_Date]])/3,0)</f>
        <v>Q1</v>
      </c>
    </row>
    <row r="401" spans="1:36">
      <c r="A401" t="s">
        <v>886</v>
      </c>
      <c r="B401" s="9">
        <v>45720</v>
      </c>
      <c r="C401" s="9">
        <v>45730</v>
      </c>
      <c r="D401" t="s">
        <v>372</v>
      </c>
      <c r="E401" t="s">
        <v>373</v>
      </c>
      <c r="F401" t="s">
        <v>89</v>
      </c>
      <c r="G401" t="s">
        <v>138</v>
      </c>
      <c r="H401" t="s">
        <v>347</v>
      </c>
      <c r="I401" t="s">
        <v>348</v>
      </c>
      <c r="J401" t="s">
        <v>109</v>
      </c>
      <c r="K401" t="s">
        <v>90</v>
      </c>
      <c r="L401" t="s">
        <v>234</v>
      </c>
      <c r="M401" t="s">
        <v>235</v>
      </c>
      <c r="N401" t="s">
        <v>93</v>
      </c>
      <c r="O401" t="s">
        <v>236</v>
      </c>
      <c r="P401" s="8">
        <v>3</v>
      </c>
      <c r="Q401" s="10">
        <v>145.72999999999999</v>
      </c>
      <c r="R401" s="11">
        <v>0.05</v>
      </c>
      <c r="S401" s="10">
        <v>28.51</v>
      </c>
      <c r="T401" t="s">
        <v>105</v>
      </c>
      <c r="U401" t="s">
        <v>85</v>
      </c>
      <c r="V401" s="8">
        <v>5</v>
      </c>
      <c r="W401" t="s">
        <v>1270</v>
      </c>
      <c r="X401" t="str">
        <f>_xlfn.XLOOKUP(Cleaned_data[[#This Row],[Customer_ID]],Customers[S],Customers[Loyalty_Tier])</f>
        <v>Platinum</v>
      </c>
      <c r="Y401" s="9">
        <f>_xlfn.XLOOKUP(Cleaned_data[[#This Row],[Customer_ID]],Customers[S],Customers[Signup_Date])</f>
        <v>45697</v>
      </c>
      <c r="Z401" s="12">
        <f>_xlfn.XLOOKUP(Cleaned_data[[#This Row],[SKU]],Products[SKU],Products[Standard_Cost])</f>
        <v>82</v>
      </c>
      <c r="AA401" s="10">
        <f>Cleaned_data[[#This Row],[Quantity]]*Cleaned_data[[#This Row],[Unit_Price]]</f>
        <v>437.18999999999994</v>
      </c>
      <c r="AB401" s="10">
        <f>Cleaned_data[[#This Row],[Unit_Price]]*Cleaned_data[[#This Row],[Discount_Pct]]</f>
        <v>7.2865000000000002</v>
      </c>
      <c r="AC401" s="10">
        <f>Cleaned_data[[#This Row],[Gross Sales]]-Cleaned_data[[#This Row],[Discount amount]]</f>
        <v>429.90349999999995</v>
      </c>
      <c r="AD401" s="10">
        <f>Cleaned_data[[#This Row],[Product Cost]]*Cleaned_data[[#This Row],[Quantity]]</f>
        <v>246</v>
      </c>
      <c r="AE401" s="10">
        <f>Cleaned_data[[#This Row],[Net Sales]]-Cleaned_data[[#This Row],[COGS]]</f>
        <v>183.90349999999995</v>
      </c>
      <c r="AF401" s="11">
        <f>Cleaned_data[[#This Row],[Gross Profit]]/Cleaned_data[[#This Row],[Net Sales]]</f>
        <v>0.42777855960698152</v>
      </c>
      <c r="AG401">
        <f>Cleaned_data[[#This Row],[Ship_Date]]-Cleaned_data[[#This Row],[Order_Date]]</f>
        <v>10</v>
      </c>
      <c r="AH401" t="str">
        <f>IF(Cleaned_data[[#This Row],[Delivery Days]]&gt;10,"late","on time")</f>
        <v>on time</v>
      </c>
      <c r="AI401" t="str">
        <f>TEXT(Cleaned_data[[#This Row],[Order_Date]],"mmmm")</f>
        <v>March</v>
      </c>
      <c r="AJ401" s="9" t="str">
        <f>"Q"&amp;ROUNDUP(MONTH(Cleaned_data[[#This Row],[Order_Date]])/3,0)</f>
        <v>Q1</v>
      </c>
    </row>
    <row r="402" spans="1:36">
      <c r="A402" t="s">
        <v>887</v>
      </c>
      <c r="B402" s="9">
        <v>45722</v>
      </c>
      <c r="C402" s="9">
        <v>45727</v>
      </c>
      <c r="D402" t="s">
        <v>372</v>
      </c>
      <c r="E402" t="s">
        <v>373</v>
      </c>
      <c r="F402" t="s">
        <v>89</v>
      </c>
      <c r="G402" t="s">
        <v>138</v>
      </c>
      <c r="H402" t="s">
        <v>347</v>
      </c>
      <c r="I402" t="s">
        <v>348</v>
      </c>
      <c r="J402" t="s">
        <v>129</v>
      </c>
      <c r="K402" t="s">
        <v>147</v>
      </c>
      <c r="L402" t="s">
        <v>214</v>
      </c>
      <c r="M402" t="s">
        <v>215</v>
      </c>
      <c r="N402" t="s">
        <v>103</v>
      </c>
      <c r="O402" t="s">
        <v>171</v>
      </c>
      <c r="P402" s="8">
        <v>2</v>
      </c>
      <c r="Q402" s="10">
        <v>12.72</v>
      </c>
      <c r="R402" s="11">
        <v>0.08</v>
      </c>
      <c r="S402" s="10">
        <v>15.35</v>
      </c>
      <c r="T402" t="s">
        <v>84</v>
      </c>
      <c r="U402" t="s">
        <v>85</v>
      </c>
      <c r="V402" s="8">
        <v>5</v>
      </c>
      <c r="W402" t="s">
        <v>1270</v>
      </c>
      <c r="X402" t="str">
        <f>_xlfn.XLOOKUP(Cleaned_data[[#This Row],[Customer_ID]],Customers[S],Customers[Loyalty_Tier])</f>
        <v>Platinum</v>
      </c>
      <c r="Y402" s="9">
        <f>_xlfn.XLOOKUP(Cleaned_data[[#This Row],[Customer_ID]],Customers[S],Customers[Signup_Date])</f>
        <v>45697</v>
      </c>
      <c r="Z402" s="12">
        <f>_xlfn.XLOOKUP(Cleaned_data[[#This Row],[SKU]],Products[SKU],Products[Standard_Cost])</f>
        <v>5</v>
      </c>
      <c r="AA402" s="10">
        <f>Cleaned_data[[#This Row],[Quantity]]*Cleaned_data[[#This Row],[Unit_Price]]</f>
        <v>25.44</v>
      </c>
      <c r="AB402" s="10">
        <f>Cleaned_data[[#This Row],[Unit_Price]]*Cleaned_data[[#This Row],[Discount_Pct]]</f>
        <v>1.0176000000000001</v>
      </c>
      <c r="AC402" s="10">
        <f>Cleaned_data[[#This Row],[Gross Sales]]-Cleaned_data[[#This Row],[Discount amount]]</f>
        <v>24.4224</v>
      </c>
      <c r="AD402" s="10">
        <f>Cleaned_data[[#This Row],[Product Cost]]*Cleaned_data[[#This Row],[Quantity]]</f>
        <v>10</v>
      </c>
      <c r="AE402" s="10">
        <f>Cleaned_data[[#This Row],[Net Sales]]-Cleaned_data[[#This Row],[COGS]]</f>
        <v>14.4224</v>
      </c>
      <c r="AF402" s="11">
        <f>Cleaned_data[[#This Row],[Gross Profit]]/Cleaned_data[[#This Row],[Net Sales]]</f>
        <v>0.59053983228511531</v>
      </c>
      <c r="AG402">
        <f>Cleaned_data[[#This Row],[Ship_Date]]-Cleaned_data[[#This Row],[Order_Date]]</f>
        <v>5</v>
      </c>
      <c r="AH402" t="str">
        <f>IF(Cleaned_data[[#This Row],[Delivery Days]]&gt;10,"late","on time")</f>
        <v>on time</v>
      </c>
      <c r="AI402" t="str">
        <f>TEXT(Cleaned_data[[#This Row],[Order_Date]],"mmmm")</f>
        <v>March</v>
      </c>
      <c r="AJ402" s="9" t="str">
        <f>"Q"&amp;ROUNDUP(MONTH(Cleaned_data[[#This Row],[Order_Date]])/3,0)</f>
        <v>Q1</v>
      </c>
    </row>
    <row r="403" spans="1:36">
      <c r="A403" t="s">
        <v>888</v>
      </c>
      <c r="B403" s="9">
        <v>45722</v>
      </c>
      <c r="C403" s="9">
        <v>45725</v>
      </c>
      <c r="D403" t="s">
        <v>677</v>
      </c>
      <c r="E403" t="s">
        <v>678</v>
      </c>
      <c r="F403" t="s">
        <v>152</v>
      </c>
      <c r="G403" t="s">
        <v>138</v>
      </c>
      <c r="H403" t="s">
        <v>347</v>
      </c>
      <c r="I403" t="s">
        <v>348</v>
      </c>
      <c r="J403" t="s">
        <v>109</v>
      </c>
      <c r="K403" t="s">
        <v>168</v>
      </c>
      <c r="L403" t="s">
        <v>220</v>
      </c>
      <c r="M403" t="s">
        <v>221</v>
      </c>
      <c r="N403" t="s">
        <v>93</v>
      </c>
      <c r="O403" t="s">
        <v>177</v>
      </c>
      <c r="P403" s="8">
        <v>3</v>
      </c>
      <c r="Q403" s="10">
        <v>220.44</v>
      </c>
      <c r="R403" s="11">
        <v>0.08</v>
      </c>
      <c r="S403" s="10">
        <v>21.17</v>
      </c>
      <c r="T403" t="s">
        <v>105</v>
      </c>
      <c r="U403" t="s">
        <v>85</v>
      </c>
      <c r="V403" s="8">
        <v>5</v>
      </c>
      <c r="W403" t="s">
        <v>1270</v>
      </c>
      <c r="X403" t="str">
        <f>_xlfn.XLOOKUP(Cleaned_data[[#This Row],[Customer_ID]],Customers[S],Customers[Loyalty_Tier])</f>
        <v>Platinum</v>
      </c>
      <c r="Y403" s="9">
        <f>_xlfn.XLOOKUP(Cleaned_data[[#This Row],[Customer_ID]],Customers[S],Customers[Signup_Date])</f>
        <v>44219</v>
      </c>
      <c r="Z403" s="12">
        <f>_xlfn.XLOOKUP(Cleaned_data[[#This Row],[SKU]],Products[SKU],Products[Standard_Cost])</f>
        <v>118</v>
      </c>
      <c r="AA403" s="10">
        <f>Cleaned_data[[#This Row],[Quantity]]*Cleaned_data[[#This Row],[Unit_Price]]</f>
        <v>661.31999999999994</v>
      </c>
      <c r="AB403" s="10">
        <f>Cleaned_data[[#This Row],[Unit_Price]]*Cleaned_data[[#This Row],[Discount_Pct]]</f>
        <v>17.635200000000001</v>
      </c>
      <c r="AC403" s="10">
        <f>Cleaned_data[[#This Row],[Gross Sales]]-Cleaned_data[[#This Row],[Discount amount]]</f>
        <v>643.68479999999988</v>
      </c>
      <c r="AD403" s="10">
        <f>Cleaned_data[[#This Row],[Product Cost]]*Cleaned_data[[#This Row],[Quantity]]</f>
        <v>354</v>
      </c>
      <c r="AE403" s="10">
        <f>Cleaned_data[[#This Row],[Net Sales]]-Cleaned_data[[#This Row],[COGS]]</f>
        <v>289.68479999999988</v>
      </c>
      <c r="AF403" s="11">
        <f>Cleaned_data[[#This Row],[Gross Profit]]/Cleaned_data[[#This Row],[Net Sales]]</f>
        <v>0.45004138671598265</v>
      </c>
      <c r="AG403">
        <f>Cleaned_data[[#This Row],[Ship_Date]]-Cleaned_data[[#This Row],[Order_Date]]</f>
        <v>3</v>
      </c>
      <c r="AH403" t="str">
        <f>IF(Cleaned_data[[#This Row],[Delivery Days]]&gt;10,"late","on time")</f>
        <v>on time</v>
      </c>
      <c r="AI403" t="str">
        <f>TEXT(Cleaned_data[[#This Row],[Order_Date]],"mmmm")</f>
        <v>March</v>
      </c>
      <c r="AJ403" s="9" t="str">
        <f>"Q"&amp;ROUNDUP(MONTH(Cleaned_data[[#This Row],[Order_Date]])/3,0)</f>
        <v>Q1</v>
      </c>
    </row>
    <row r="404" spans="1:36">
      <c r="A404" t="s">
        <v>889</v>
      </c>
      <c r="B404" s="9">
        <v>45723</v>
      </c>
      <c r="C404" s="9">
        <v>45724</v>
      </c>
      <c r="D404" t="s">
        <v>812</v>
      </c>
      <c r="E404" t="s">
        <v>813</v>
      </c>
      <c r="F404" t="s">
        <v>152</v>
      </c>
      <c r="G404" t="s">
        <v>75</v>
      </c>
      <c r="H404" t="s">
        <v>273</v>
      </c>
      <c r="I404" t="s">
        <v>274</v>
      </c>
      <c r="J404" t="s">
        <v>78</v>
      </c>
      <c r="K404" t="s">
        <v>147</v>
      </c>
      <c r="L404" t="s">
        <v>254</v>
      </c>
      <c r="M404" t="s">
        <v>255</v>
      </c>
      <c r="N404" t="s">
        <v>82</v>
      </c>
      <c r="O404" t="s">
        <v>83</v>
      </c>
      <c r="P404" s="8">
        <v>1</v>
      </c>
      <c r="Q404" s="10">
        <v>93.43</v>
      </c>
      <c r="R404" s="11">
        <v>7.0000000000000007E-2</v>
      </c>
      <c r="S404" s="10">
        <v>7.57</v>
      </c>
      <c r="T404" t="s">
        <v>134</v>
      </c>
      <c r="U404" t="s">
        <v>85</v>
      </c>
      <c r="V404" s="8">
        <v>5</v>
      </c>
      <c r="W404" t="s">
        <v>1270</v>
      </c>
      <c r="X404" t="str">
        <f>_xlfn.XLOOKUP(Cleaned_data[[#This Row],[Customer_ID]],Customers[S],Customers[Loyalty_Tier])</f>
        <v>Platinum</v>
      </c>
      <c r="Y404" s="9">
        <f>_xlfn.XLOOKUP(Cleaned_data[[#This Row],[Customer_ID]],Customers[S],Customers[Signup_Date])</f>
        <v>45828</v>
      </c>
      <c r="Z404" s="12">
        <f>_xlfn.XLOOKUP(Cleaned_data[[#This Row],[SKU]],Products[SKU],Products[Standard_Cost])</f>
        <v>48</v>
      </c>
      <c r="AA404" s="10">
        <f>Cleaned_data[[#This Row],[Quantity]]*Cleaned_data[[#This Row],[Unit_Price]]</f>
        <v>93.43</v>
      </c>
      <c r="AB404" s="10">
        <f>Cleaned_data[[#This Row],[Unit_Price]]*Cleaned_data[[#This Row],[Discount_Pct]]</f>
        <v>6.5401000000000007</v>
      </c>
      <c r="AC404" s="10">
        <f>Cleaned_data[[#This Row],[Gross Sales]]-Cleaned_data[[#This Row],[Discount amount]]</f>
        <v>86.889900000000011</v>
      </c>
      <c r="AD404" s="10">
        <f>Cleaned_data[[#This Row],[Product Cost]]*Cleaned_data[[#This Row],[Quantity]]</f>
        <v>48</v>
      </c>
      <c r="AE404" s="10">
        <f>Cleaned_data[[#This Row],[Net Sales]]-Cleaned_data[[#This Row],[COGS]]</f>
        <v>38.889900000000011</v>
      </c>
      <c r="AF404" s="11">
        <f>Cleaned_data[[#This Row],[Gross Profit]]/Cleaned_data[[#This Row],[Net Sales]]</f>
        <v>0.44757676093539073</v>
      </c>
      <c r="AG404">
        <f>Cleaned_data[[#This Row],[Ship_Date]]-Cleaned_data[[#This Row],[Order_Date]]</f>
        <v>1</v>
      </c>
      <c r="AH404" t="str">
        <f>IF(Cleaned_data[[#This Row],[Delivery Days]]&gt;10,"late","on time")</f>
        <v>on time</v>
      </c>
      <c r="AI404" t="str">
        <f>TEXT(Cleaned_data[[#This Row],[Order_Date]],"mmmm")</f>
        <v>March</v>
      </c>
      <c r="AJ404" s="9" t="str">
        <f>"Q"&amp;ROUNDUP(MONTH(Cleaned_data[[#This Row],[Order_Date]])/3,0)</f>
        <v>Q1</v>
      </c>
    </row>
    <row r="405" spans="1:36">
      <c r="A405" t="s">
        <v>890</v>
      </c>
      <c r="B405" s="9">
        <v>45723</v>
      </c>
      <c r="C405" s="9">
        <v>45727</v>
      </c>
      <c r="D405" t="s">
        <v>345</v>
      </c>
      <c r="E405" t="s">
        <v>346</v>
      </c>
      <c r="F405" t="s">
        <v>89</v>
      </c>
      <c r="G405" t="s">
        <v>138</v>
      </c>
      <c r="H405" t="s">
        <v>347</v>
      </c>
      <c r="I405" t="s">
        <v>348</v>
      </c>
      <c r="J405" t="s">
        <v>219</v>
      </c>
      <c r="K405" t="s">
        <v>147</v>
      </c>
      <c r="L405" t="s">
        <v>220</v>
      </c>
      <c r="M405" t="s">
        <v>221</v>
      </c>
      <c r="N405" t="s">
        <v>93</v>
      </c>
      <c r="O405" t="s">
        <v>177</v>
      </c>
      <c r="P405" s="8">
        <v>4</v>
      </c>
      <c r="Q405" s="10">
        <v>233.42</v>
      </c>
      <c r="R405" s="11">
        <v>0.02</v>
      </c>
      <c r="S405" s="10">
        <v>18.78</v>
      </c>
      <c r="T405" t="s">
        <v>122</v>
      </c>
      <c r="U405" t="s">
        <v>148</v>
      </c>
      <c r="V405" s="8">
        <v>1</v>
      </c>
      <c r="W405" t="s">
        <v>1270</v>
      </c>
      <c r="X405" t="str">
        <f>_xlfn.XLOOKUP(Cleaned_data[[#This Row],[Customer_ID]],Customers[S],Customers[Loyalty_Tier])</f>
        <v>Gold</v>
      </c>
      <c r="Y405" s="9">
        <f>_xlfn.XLOOKUP(Cleaned_data[[#This Row],[Customer_ID]],Customers[S],Customers[Signup_Date])</f>
        <v>45997</v>
      </c>
      <c r="Z405" s="12">
        <f>_xlfn.XLOOKUP(Cleaned_data[[#This Row],[SKU]],Products[SKU],Products[Standard_Cost])</f>
        <v>118</v>
      </c>
      <c r="AA405" s="10">
        <f>Cleaned_data[[#This Row],[Quantity]]*Cleaned_data[[#This Row],[Unit_Price]]</f>
        <v>933.68</v>
      </c>
      <c r="AB405" s="10">
        <f>Cleaned_data[[#This Row],[Unit_Price]]*Cleaned_data[[#This Row],[Discount_Pct]]</f>
        <v>4.6684000000000001</v>
      </c>
      <c r="AC405" s="10">
        <f>Cleaned_data[[#This Row],[Gross Sales]]-Cleaned_data[[#This Row],[Discount amount]]</f>
        <v>929.01159999999993</v>
      </c>
      <c r="AD405" s="10">
        <f>Cleaned_data[[#This Row],[Product Cost]]*Cleaned_data[[#This Row],[Quantity]]</f>
        <v>472</v>
      </c>
      <c r="AE405" s="10">
        <f>Cleaned_data[[#This Row],[Net Sales]]-Cleaned_data[[#This Row],[COGS]]</f>
        <v>457.01159999999993</v>
      </c>
      <c r="AF405" s="11">
        <f>Cleaned_data[[#This Row],[Gross Profit]]/Cleaned_data[[#This Row],[Net Sales]]</f>
        <v>0.49193314701344953</v>
      </c>
      <c r="AG405">
        <f>Cleaned_data[[#This Row],[Ship_Date]]-Cleaned_data[[#This Row],[Order_Date]]</f>
        <v>4</v>
      </c>
      <c r="AH405" t="str">
        <f>IF(Cleaned_data[[#This Row],[Delivery Days]]&gt;10,"late","on time")</f>
        <v>on time</v>
      </c>
      <c r="AI405" t="str">
        <f>TEXT(Cleaned_data[[#This Row],[Order_Date]],"mmmm")</f>
        <v>March</v>
      </c>
      <c r="AJ405" s="9" t="str">
        <f>"Q"&amp;ROUNDUP(MONTH(Cleaned_data[[#This Row],[Order_Date]])/3,0)</f>
        <v>Q1</v>
      </c>
    </row>
    <row r="406" spans="1:36">
      <c r="A406" t="s">
        <v>891</v>
      </c>
      <c r="B406" s="9">
        <v>45723</v>
      </c>
      <c r="C406" s="9">
        <v>45728</v>
      </c>
      <c r="D406" t="s">
        <v>410</v>
      </c>
      <c r="E406" t="s">
        <v>411</v>
      </c>
      <c r="F406" t="s">
        <v>74</v>
      </c>
      <c r="G406" t="s">
        <v>126</v>
      </c>
      <c r="H406" t="s">
        <v>291</v>
      </c>
      <c r="I406" t="s">
        <v>292</v>
      </c>
      <c r="J406" t="s">
        <v>219</v>
      </c>
      <c r="K406" t="s">
        <v>100</v>
      </c>
      <c r="L406" t="s">
        <v>141</v>
      </c>
      <c r="M406" t="s">
        <v>142</v>
      </c>
      <c r="N406" t="s">
        <v>103</v>
      </c>
      <c r="O406" t="s">
        <v>143</v>
      </c>
      <c r="P406" s="8">
        <v>7</v>
      </c>
      <c r="Q406" s="10">
        <v>34.340000000000003</v>
      </c>
      <c r="R406" s="11">
        <v>0</v>
      </c>
      <c r="S406" s="10">
        <v>16.7</v>
      </c>
      <c r="T406" t="s">
        <v>122</v>
      </c>
      <c r="U406" t="s">
        <v>85</v>
      </c>
      <c r="V406" s="8">
        <v>3</v>
      </c>
      <c r="W406" t="s">
        <v>1270</v>
      </c>
      <c r="X406" t="str">
        <f>_xlfn.XLOOKUP(Cleaned_data[[#This Row],[Customer_ID]],Customers[S],Customers[Loyalty_Tier])</f>
        <v>Platinum</v>
      </c>
      <c r="Y406" s="9">
        <f>_xlfn.XLOOKUP(Cleaned_data[[#This Row],[Customer_ID]],Customers[S],Customers[Signup_Date])</f>
        <v>44421</v>
      </c>
      <c r="Z406" s="12">
        <f>_xlfn.XLOOKUP(Cleaned_data[[#This Row],[SKU]],Products[SKU],Products[Standard_Cost])</f>
        <v>18</v>
      </c>
      <c r="AA406" s="10">
        <f>Cleaned_data[[#This Row],[Quantity]]*Cleaned_data[[#This Row],[Unit_Price]]</f>
        <v>240.38000000000002</v>
      </c>
      <c r="AB406" s="10">
        <f>Cleaned_data[[#This Row],[Unit_Price]]*Cleaned_data[[#This Row],[Discount_Pct]]</f>
        <v>0</v>
      </c>
      <c r="AC406" s="10">
        <f>Cleaned_data[[#This Row],[Gross Sales]]-Cleaned_data[[#This Row],[Discount amount]]</f>
        <v>240.38000000000002</v>
      </c>
      <c r="AD406" s="10">
        <f>Cleaned_data[[#This Row],[Product Cost]]*Cleaned_data[[#This Row],[Quantity]]</f>
        <v>126</v>
      </c>
      <c r="AE406" s="10">
        <f>Cleaned_data[[#This Row],[Net Sales]]-Cleaned_data[[#This Row],[COGS]]</f>
        <v>114.38000000000002</v>
      </c>
      <c r="AF406" s="11">
        <f>Cleaned_data[[#This Row],[Gross Profit]]/Cleaned_data[[#This Row],[Net Sales]]</f>
        <v>0.47582993593477002</v>
      </c>
      <c r="AG406">
        <f>Cleaned_data[[#This Row],[Ship_Date]]-Cleaned_data[[#This Row],[Order_Date]]</f>
        <v>5</v>
      </c>
      <c r="AH406" t="str">
        <f>IF(Cleaned_data[[#This Row],[Delivery Days]]&gt;10,"late","on time")</f>
        <v>on time</v>
      </c>
      <c r="AI406" t="str">
        <f>TEXT(Cleaned_data[[#This Row],[Order_Date]],"mmmm")</f>
        <v>March</v>
      </c>
      <c r="AJ406" s="9" t="str">
        <f>"Q"&amp;ROUNDUP(MONTH(Cleaned_data[[#This Row],[Order_Date]])/3,0)</f>
        <v>Q1</v>
      </c>
    </row>
    <row r="407" spans="1:36">
      <c r="A407" t="s">
        <v>892</v>
      </c>
      <c r="B407" s="9">
        <v>45724</v>
      </c>
      <c r="C407" s="9">
        <v>45728</v>
      </c>
      <c r="D407" t="s">
        <v>248</v>
      </c>
      <c r="E407" t="s">
        <v>137</v>
      </c>
      <c r="F407" t="s">
        <v>74</v>
      </c>
      <c r="G407" t="s">
        <v>75</v>
      </c>
      <c r="H407" t="s">
        <v>98</v>
      </c>
      <c r="I407" t="s">
        <v>99</v>
      </c>
      <c r="J407" t="s">
        <v>129</v>
      </c>
      <c r="K407" t="s">
        <v>130</v>
      </c>
      <c r="L407" t="s">
        <v>359</v>
      </c>
      <c r="M407" t="s">
        <v>360</v>
      </c>
      <c r="N407" t="s">
        <v>93</v>
      </c>
      <c r="O407" t="s">
        <v>94</v>
      </c>
      <c r="P407" s="8">
        <v>3</v>
      </c>
      <c r="Q407" s="10">
        <v>452.04</v>
      </c>
      <c r="R407" s="11">
        <v>0.01</v>
      </c>
      <c r="S407" s="10">
        <v>18.87</v>
      </c>
      <c r="T407" t="s">
        <v>105</v>
      </c>
      <c r="U407" t="s">
        <v>85</v>
      </c>
      <c r="V407" s="8">
        <v>5</v>
      </c>
      <c r="W407" t="s">
        <v>1270</v>
      </c>
      <c r="X407" t="str">
        <f>_xlfn.XLOOKUP(Cleaned_data[[#This Row],[Customer_ID]],Customers[S],Customers[Loyalty_Tier])</f>
        <v>Gold</v>
      </c>
      <c r="Y407" s="9">
        <f>_xlfn.XLOOKUP(Cleaned_data[[#This Row],[Customer_ID]],Customers[S],Customers[Signup_Date])</f>
        <v>45204</v>
      </c>
      <c r="Z407" s="12">
        <f>_xlfn.XLOOKUP(Cleaned_data[[#This Row],[SKU]],Products[SKU],Products[Standard_Cost])</f>
        <v>265</v>
      </c>
      <c r="AA407" s="10">
        <f>Cleaned_data[[#This Row],[Quantity]]*Cleaned_data[[#This Row],[Unit_Price]]</f>
        <v>1356.1200000000001</v>
      </c>
      <c r="AB407" s="10">
        <f>Cleaned_data[[#This Row],[Unit_Price]]*Cleaned_data[[#This Row],[Discount_Pct]]</f>
        <v>4.5204000000000004</v>
      </c>
      <c r="AC407" s="10">
        <f>Cleaned_data[[#This Row],[Gross Sales]]-Cleaned_data[[#This Row],[Discount amount]]</f>
        <v>1351.5996</v>
      </c>
      <c r="AD407" s="10">
        <f>Cleaned_data[[#This Row],[Product Cost]]*Cleaned_data[[#This Row],[Quantity]]</f>
        <v>795</v>
      </c>
      <c r="AE407" s="10">
        <f>Cleaned_data[[#This Row],[Net Sales]]-Cleaned_data[[#This Row],[COGS]]</f>
        <v>556.59960000000001</v>
      </c>
      <c r="AF407" s="11">
        <f>Cleaned_data[[#This Row],[Gross Profit]]/Cleaned_data[[#This Row],[Net Sales]]</f>
        <v>0.41180805321339248</v>
      </c>
      <c r="AG407">
        <f>Cleaned_data[[#This Row],[Ship_Date]]-Cleaned_data[[#This Row],[Order_Date]]</f>
        <v>4</v>
      </c>
      <c r="AH407" t="str">
        <f>IF(Cleaned_data[[#This Row],[Delivery Days]]&gt;10,"late","on time")</f>
        <v>on time</v>
      </c>
      <c r="AI407" t="str">
        <f>TEXT(Cleaned_data[[#This Row],[Order_Date]],"mmmm")</f>
        <v>March</v>
      </c>
      <c r="AJ407" s="9" t="str">
        <f>"Q"&amp;ROUNDUP(MONTH(Cleaned_data[[#This Row],[Order_Date]])/3,0)</f>
        <v>Q1</v>
      </c>
    </row>
    <row r="408" spans="1:36">
      <c r="A408" t="s">
        <v>893</v>
      </c>
      <c r="B408" s="9">
        <v>45725</v>
      </c>
      <c r="C408" s="9">
        <v>45735</v>
      </c>
      <c r="D408" t="s">
        <v>550</v>
      </c>
      <c r="E408" t="s">
        <v>218</v>
      </c>
      <c r="F408" t="s">
        <v>152</v>
      </c>
      <c r="G408" t="s">
        <v>126</v>
      </c>
      <c r="H408" t="s">
        <v>127</v>
      </c>
      <c r="I408" t="s">
        <v>128</v>
      </c>
      <c r="J408" t="s">
        <v>219</v>
      </c>
      <c r="K408" t="s">
        <v>147</v>
      </c>
      <c r="L408" t="s">
        <v>197</v>
      </c>
      <c r="M408" t="s">
        <v>198</v>
      </c>
      <c r="N408" t="s">
        <v>120</v>
      </c>
      <c r="O408" t="s">
        <v>121</v>
      </c>
      <c r="P408" s="8">
        <v>2</v>
      </c>
      <c r="Q408" s="10">
        <v>526.04</v>
      </c>
      <c r="R408" s="11">
        <v>0.02</v>
      </c>
      <c r="S408" s="10">
        <v>11.6</v>
      </c>
      <c r="T408" t="s">
        <v>122</v>
      </c>
      <c r="U408" t="s">
        <v>85</v>
      </c>
      <c r="V408" s="8">
        <v>1</v>
      </c>
      <c r="W408" t="s">
        <v>1270</v>
      </c>
      <c r="X408" t="str">
        <f>_xlfn.XLOOKUP(Cleaned_data[[#This Row],[Customer_ID]],Customers[S],Customers[Loyalty_Tier])</f>
        <v>Platinum</v>
      </c>
      <c r="Y408" s="9">
        <f>_xlfn.XLOOKUP(Cleaned_data[[#This Row],[Customer_ID]],Customers[S],Customers[Signup_Date])</f>
        <v>44903</v>
      </c>
      <c r="Z408" s="12">
        <f>_xlfn.XLOOKUP(Cleaned_data[[#This Row],[SKU]],Products[SKU],Products[Standard_Cost])</f>
        <v>310</v>
      </c>
      <c r="AA408" s="10">
        <f>Cleaned_data[[#This Row],[Quantity]]*Cleaned_data[[#This Row],[Unit_Price]]</f>
        <v>1052.08</v>
      </c>
      <c r="AB408" s="10">
        <f>Cleaned_data[[#This Row],[Unit_Price]]*Cleaned_data[[#This Row],[Discount_Pct]]</f>
        <v>10.520799999999999</v>
      </c>
      <c r="AC408" s="10">
        <f>Cleaned_data[[#This Row],[Gross Sales]]-Cleaned_data[[#This Row],[Discount amount]]</f>
        <v>1041.5591999999999</v>
      </c>
      <c r="AD408" s="10">
        <f>Cleaned_data[[#This Row],[Product Cost]]*Cleaned_data[[#This Row],[Quantity]]</f>
        <v>620</v>
      </c>
      <c r="AE408" s="10">
        <f>Cleaned_data[[#This Row],[Net Sales]]-Cleaned_data[[#This Row],[COGS]]</f>
        <v>421.55919999999992</v>
      </c>
      <c r="AF408" s="11">
        <f>Cleaned_data[[#This Row],[Gross Profit]]/Cleaned_data[[#This Row],[Net Sales]]</f>
        <v>0.40473858807065405</v>
      </c>
      <c r="AG408">
        <f>Cleaned_data[[#This Row],[Ship_Date]]-Cleaned_data[[#This Row],[Order_Date]]</f>
        <v>10</v>
      </c>
      <c r="AH408" t="str">
        <f>IF(Cleaned_data[[#This Row],[Delivery Days]]&gt;10,"late","on time")</f>
        <v>on time</v>
      </c>
      <c r="AI408" t="str">
        <f>TEXT(Cleaned_data[[#This Row],[Order_Date]],"mmmm")</f>
        <v>March</v>
      </c>
      <c r="AJ408" s="9" t="str">
        <f>"Q"&amp;ROUNDUP(MONTH(Cleaned_data[[#This Row],[Order_Date]])/3,0)</f>
        <v>Q1</v>
      </c>
    </row>
    <row r="409" spans="1:36">
      <c r="A409" t="s">
        <v>894</v>
      </c>
      <c r="B409" s="9">
        <v>45725</v>
      </c>
      <c r="C409" s="9">
        <v>45732</v>
      </c>
      <c r="D409" t="s">
        <v>474</v>
      </c>
      <c r="E409" t="s">
        <v>475</v>
      </c>
      <c r="F409" t="s">
        <v>74</v>
      </c>
      <c r="G409" t="s">
        <v>138</v>
      </c>
      <c r="H409" t="s">
        <v>153</v>
      </c>
      <c r="I409" t="s">
        <v>154</v>
      </c>
      <c r="J409" t="s">
        <v>78</v>
      </c>
      <c r="K409" t="s">
        <v>130</v>
      </c>
      <c r="L409" t="s">
        <v>91</v>
      </c>
      <c r="M409" t="s">
        <v>92</v>
      </c>
      <c r="N409" t="s">
        <v>93</v>
      </c>
      <c r="O409" t="s">
        <v>94</v>
      </c>
      <c r="P409" s="8">
        <v>4</v>
      </c>
      <c r="Q409" s="10">
        <v>348.63</v>
      </c>
      <c r="R409" s="11">
        <v>0.34</v>
      </c>
      <c r="S409" s="10">
        <v>18.16</v>
      </c>
      <c r="T409" t="s">
        <v>134</v>
      </c>
      <c r="U409" t="s">
        <v>85</v>
      </c>
      <c r="V409" s="8">
        <v>4</v>
      </c>
      <c r="W409" t="s">
        <v>1270</v>
      </c>
      <c r="X409" t="str">
        <f>_xlfn.XLOOKUP(Cleaned_data[[#This Row],[Customer_ID]],Customers[S],Customers[Loyalty_Tier])</f>
        <v>Platinum</v>
      </c>
      <c r="Y409" s="9">
        <f>_xlfn.XLOOKUP(Cleaned_data[[#This Row],[Customer_ID]],Customers[S],Customers[Signup_Date])</f>
        <v>45020</v>
      </c>
      <c r="Z409" s="12">
        <f>_xlfn.XLOOKUP(Cleaned_data[[#This Row],[SKU]],Products[SKU],Products[Standard_Cost])</f>
        <v>184</v>
      </c>
      <c r="AA409" s="10">
        <f>Cleaned_data[[#This Row],[Quantity]]*Cleaned_data[[#This Row],[Unit_Price]]</f>
        <v>1394.52</v>
      </c>
      <c r="AB409" s="10">
        <f>Cleaned_data[[#This Row],[Unit_Price]]*Cleaned_data[[#This Row],[Discount_Pct]]</f>
        <v>118.53420000000001</v>
      </c>
      <c r="AC409" s="10">
        <f>Cleaned_data[[#This Row],[Gross Sales]]-Cleaned_data[[#This Row],[Discount amount]]</f>
        <v>1275.9857999999999</v>
      </c>
      <c r="AD409" s="10">
        <f>Cleaned_data[[#This Row],[Product Cost]]*Cleaned_data[[#This Row],[Quantity]]</f>
        <v>736</v>
      </c>
      <c r="AE409" s="10">
        <f>Cleaned_data[[#This Row],[Net Sales]]-Cleaned_data[[#This Row],[COGS]]</f>
        <v>539.98579999999993</v>
      </c>
      <c r="AF409" s="11">
        <f>Cleaned_data[[#This Row],[Gross Profit]]/Cleaned_data[[#This Row],[Net Sales]]</f>
        <v>0.42319107312949716</v>
      </c>
      <c r="AG409">
        <f>Cleaned_data[[#This Row],[Ship_Date]]-Cleaned_data[[#This Row],[Order_Date]]</f>
        <v>7</v>
      </c>
      <c r="AH409" t="str">
        <f>IF(Cleaned_data[[#This Row],[Delivery Days]]&gt;10,"late","on time")</f>
        <v>on time</v>
      </c>
      <c r="AI409" t="str">
        <f>TEXT(Cleaned_data[[#This Row],[Order_Date]],"mmmm")</f>
        <v>March</v>
      </c>
      <c r="AJ409" s="9" t="str">
        <f>"Q"&amp;ROUNDUP(MONTH(Cleaned_data[[#This Row],[Order_Date]])/3,0)</f>
        <v>Q1</v>
      </c>
    </row>
    <row r="410" spans="1:36">
      <c r="A410" t="s">
        <v>895</v>
      </c>
      <c r="B410" s="9">
        <v>45725</v>
      </c>
      <c r="C410" s="9">
        <v>45731</v>
      </c>
      <c r="D410" t="s">
        <v>264</v>
      </c>
      <c r="E410" t="s">
        <v>265</v>
      </c>
      <c r="F410" t="s">
        <v>74</v>
      </c>
      <c r="G410" t="s">
        <v>194</v>
      </c>
      <c r="H410" t="s">
        <v>230</v>
      </c>
      <c r="I410" t="s">
        <v>231</v>
      </c>
      <c r="J410" t="s">
        <v>129</v>
      </c>
      <c r="K410" t="s">
        <v>79</v>
      </c>
      <c r="L410" t="s">
        <v>261</v>
      </c>
      <c r="M410" t="s">
        <v>262</v>
      </c>
      <c r="N410" t="s">
        <v>103</v>
      </c>
      <c r="O410" t="s">
        <v>104</v>
      </c>
      <c r="P410" s="8">
        <v>3</v>
      </c>
      <c r="Q410" s="10">
        <v>27.74</v>
      </c>
      <c r="R410" s="11">
        <v>0.05</v>
      </c>
      <c r="S410" s="10">
        <v>9.42</v>
      </c>
      <c r="T410" t="s">
        <v>105</v>
      </c>
      <c r="U410" t="s">
        <v>85</v>
      </c>
      <c r="V410" s="8">
        <v>2</v>
      </c>
      <c r="W410" t="s">
        <v>1270</v>
      </c>
      <c r="X410" t="str">
        <f>_xlfn.XLOOKUP(Cleaned_data[[#This Row],[Customer_ID]],Customers[S],Customers[Loyalty_Tier])</f>
        <v>Silver</v>
      </c>
      <c r="Y410" s="9">
        <f>_xlfn.XLOOKUP(Cleaned_data[[#This Row],[Customer_ID]],Customers[S],Customers[Signup_Date])</f>
        <v>45913</v>
      </c>
      <c r="Z410" s="12">
        <f>_xlfn.XLOOKUP(Cleaned_data[[#This Row],[SKU]],Products[SKU],Products[Standard_Cost])</f>
        <v>12</v>
      </c>
      <c r="AA410" s="10">
        <f>Cleaned_data[[#This Row],[Quantity]]*Cleaned_data[[#This Row],[Unit_Price]]</f>
        <v>83.22</v>
      </c>
      <c r="AB410" s="10">
        <f>Cleaned_data[[#This Row],[Unit_Price]]*Cleaned_data[[#This Row],[Discount_Pct]]</f>
        <v>1.387</v>
      </c>
      <c r="AC410" s="10">
        <f>Cleaned_data[[#This Row],[Gross Sales]]-Cleaned_data[[#This Row],[Discount amount]]</f>
        <v>81.832999999999998</v>
      </c>
      <c r="AD410" s="10">
        <f>Cleaned_data[[#This Row],[Product Cost]]*Cleaned_data[[#This Row],[Quantity]]</f>
        <v>36</v>
      </c>
      <c r="AE410" s="10">
        <f>Cleaned_data[[#This Row],[Net Sales]]-Cleaned_data[[#This Row],[COGS]]</f>
        <v>45.832999999999998</v>
      </c>
      <c r="AF410" s="11">
        <f>Cleaned_data[[#This Row],[Gross Profit]]/Cleaned_data[[#This Row],[Net Sales]]</f>
        <v>0.56007967445895912</v>
      </c>
      <c r="AG410">
        <f>Cleaned_data[[#This Row],[Ship_Date]]-Cleaned_data[[#This Row],[Order_Date]]</f>
        <v>6</v>
      </c>
      <c r="AH410" t="str">
        <f>IF(Cleaned_data[[#This Row],[Delivery Days]]&gt;10,"late","on time")</f>
        <v>on time</v>
      </c>
      <c r="AI410" t="str">
        <f>TEXT(Cleaned_data[[#This Row],[Order_Date]],"mmmm")</f>
        <v>March</v>
      </c>
      <c r="AJ410" s="9" t="str">
        <f>"Q"&amp;ROUNDUP(MONTH(Cleaned_data[[#This Row],[Order_Date]])/3,0)</f>
        <v>Q1</v>
      </c>
    </row>
    <row r="411" spans="1:36">
      <c r="A411" t="s">
        <v>896</v>
      </c>
      <c r="B411" s="9">
        <v>45726</v>
      </c>
      <c r="C411" s="9">
        <v>45741</v>
      </c>
      <c r="D411" t="s">
        <v>500</v>
      </c>
      <c r="E411" t="s">
        <v>501</v>
      </c>
      <c r="F411" t="s">
        <v>152</v>
      </c>
      <c r="G411" t="s">
        <v>194</v>
      </c>
      <c r="H411" t="s">
        <v>202</v>
      </c>
      <c r="I411" t="s">
        <v>203</v>
      </c>
      <c r="J411" t="s">
        <v>109</v>
      </c>
      <c r="K411" t="s">
        <v>168</v>
      </c>
      <c r="L411" t="s">
        <v>254</v>
      </c>
      <c r="M411" t="s">
        <v>255</v>
      </c>
      <c r="N411" t="s">
        <v>82</v>
      </c>
      <c r="O411" t="s">
        <v>83</v>
      </c>
      <c r="P411" s="8">
        <v>3</v>
      </c>
      <c r="Q411" s="10">
        <v>97.79</v>
      </c>
      <c r="R411" s="11">
        <v>0.11</v>
      </c>
      <c r="S411" s="10">
        <v>5.3</v>
      </c>
      <c r="T411" t="s">
        <v>122</v>
      </c>
      <c r="U411" t="s">
        <v>85</v>
      </c>
      <c r="V411" s="8">
        <v>5</v>
      </c>
      <c r="W411" t="s">
        <v>1270</v>
      </c>
      <c r="X411" t="str">
        <f>_xlfn.XLOOKUP(Cleaned_data[[#This Row],[Customer_ID]],Customers[S],Customers[Loyalty_Tier])</f>
        <v>Gold</v>
      </c>
      <c r="Y411" s="9">
        <f>_xlfn.XLOOKUP(Cleaned_data[[#This Row],[Customer_ID]],Customers[S],Customers[Signup_Date])</f>
        <v>44897</v>
      </c>
      <c r="Z411" s="12">
        <f>_xlfn.XLOOKUP(Cleaned_data[[#This Row],[SKU]],Products[SKU],Products[Standard_Cost])</f>
        <v>48</v>
      </c>
      <c r="AA411" s="10">
        <f>Cleaned_data[[#This Row],[Quantity]]*Cleaned_data[[#This Row],[Unit_Price]]</f>
        <v>293.37</v>
      </c>
      <c r="AB411" s="10">
        <f>Cleaned_data[[#This Row],[Unit_Price]]*Cleaned_data[[#This Row],[Discount_Pct]]</f>
        <v>10.7569</v>
      </c>
      <c r="AC411" s="10">
        <f>Cleaned_data[[#This Row],[Gross Sales]]-Cleaned_data[[#This Row],[Discount amount]]</f>
        <v>282.61310000000003</v>
      </c>
      <c r="AD411" s="10">
        <f>Cleaned_data[[#This Row],[Product Cost]]*Cleaned_data[[#This Row],[Quantity]]</f>
        <v>144</v>
      </c>
      <c r="AE411" s="10">
        <f>Cleaned_data[[#This Row],[Net Sales]]-Cleaned_data[[#This Row],[COGS]]</f>
        <v>138.61310000000003</v>
      </c>
      <c r="AF411" s="11">
        <f>Cleaned_data[[#This Row],[Gross Profit]]/Cleaned_data[[#This Row],[Net Sales]]</f>
        <v>0.49046947929873036</v>
      </c>
      <c r="AG411">
        <f>Cleaned_data[[#This Row],[Ship_Date]]-Cleaned_data[[#This Row],[Order_Date]]</f>
        <v>15</v>
      </c>
      <c r="AH411" t="str">
        <f>IF(Cleaned_data[[#This Row],[Delivery Days]]&gt;10,"late","on time")</f>
        <v>late</v>
      </c>
      <c r="AI411" t="str">
        <f>TEXT(Cleaned_data[[#This Row],[Order_Date]],"mmmm")</f>
        <v>March</v>
      </c>
      <c r="AJ411" s="9" t="str">
        <f>"Q"&amp;ROUNDUP(MONTH(Cleaned_data[[#This Row],[Order_Date]])/3,0)</f>
        <v>Q1</v>
      </c>
    </row>
    <row r="412" spans="1:36">
      <c r="A412" t="s">
        <v>897</v>
      </c>
      <c r="B412" s="9">
        <v>45726</v>
      </c>
      <c r="C412" s="9">
        <v>45736</v>
      </c>
      <c r="D412" t="s">
        <v>406</v>
      </c>
      <c r="E412" t="s">
        <v>407</v>
      </c>
      <c r="F412" t="s">
        <v>89</v>
      </c>
      <c r="G412" t="s">
        <v>75</v>
      </c>
      <c r="H412" t="s">
        <v>116</v>
      </c>
      <c r="I412" t="s">
        <v>117</v>
      </c>
      <c r="J412" t="s">
        <v>109</v>
      </c>
      <c r="K412" t="s">
        <v>130</v>
      </c>
      <c r="L412" t="s">
        <v>214</v>
      </c>
      <c r="M412" t="s">
        <v>215</v>
      </c>
      <c r="N412" t="s">
        <v>103</v>
      </c>
      <c r="O412" t="s">
        <v>171</v>
      </c>
      <c r="P412" s="8">
        <v>2</v>
      </c>
      <c r="Q412" s="10">
        <v>11.53</v>
      </c>
      <c r="R412" s="11">
        <v>0.11</v>
      </c>
      <c r="S412" s="10">
        <v>5.0199999999999996</v>
      </c>
      <c r="T412" t="s">
        <v>105</v>
      </c>
      <c r="U412" t="s">
        <v>85</v>
      </c>
      <c r="V412" s="8">
        <v>1</v>
      </c>
      <c r="W412" t="s">
        <v>1270</v>
      </c>
      <c r="X412" t="str">
        <f>_xlfn.XLOOKUP(Cleaned_data[[#This Row],[Customer_ID]],Customers[S],Customers[Loyalty_Tier])</f>
        <v>Bronze</v>
      </c>
      <c r="Y412" s="9">
        <f>_xlfn.XLOOKUP(Cleaned_data[[#This Row],[Customer_ID]],Customers[S],Customers[Signup_Date])</f>
        <v>45879</v>
      </c>
      <c r="Z412" s="12">
        <f>_xlfn.XLOOKUP(Cleaned_data[[#This Row],[SKU]],Products[SKU],Products[Standard_Cost])</f>
        <v>5</v>
      </c>
      <c r="AA412" s="10">
        <f>Cleaned_data[[#This Row],[Quantity]]*Cleaned_data[[#This Row],[Unit_Price]]</f>
        <v>23.06</v>
      </c>
      <c r="AB412" s="10">
        <f>Cleaned_data[[#This Row],[Unit_Price]]*Cleaned_data[[#This Row],[Discount_Pct]]</f>
        <v>1.2683</v>
      </c>
      <c r="AC412" s="10">
        <f>Cleaned_data[[#This Row],[Gross Sales]]-Cleaned_data[[#This Row],[Discount amount]]</f>
        <v>21.791699999999999</v>
      </c>
      <c r="AD412" s="10">
        <f>Cleaned_data[[#This Row],[Product Cost]]*Cleaned_data[[#This Row],[Quantity]]</f>
        <v>10</v>
      </c>
      <c r="AE412" s="10">
        <f>Cleaned_data[[#This Row],[Net Sales]]-Cleaned_data[[#This Row],[COGS]]</f>
        <v>11.791699999999999</v>
      </c>
      <c r="AF412" s="11">
        <f>Cleaned_data[[#This Row],[Gross Profit]]/Cleaned_data[[#This Row],[Net Sales]]</f>
        <v>0.54110968855114561</v>
      </c>
      <c r="AG412">
        <f>Cleaned_data[[#This Row],[Ship_Date]]-Cleaned_data[[#This Row],[Order_Date]]</f>
        <v>10</v>
      </c>
      <c r="AH412" t="str">
        <f>IF(Cleaned_data[[#This Row],[Delivery Days]]&gt;10,"late","on time")</f>
        <v>on time</v>
      </c>
      <c r="AI412" t="str">
        <f>TEXT(Cleaned_data[[#This Row],[Order_Date]],"mmmm")</f>
        <v>March</v>
      </c>
      <c r="AJ412" s="9" t="str">
        <f>"Q"&amp;ROUNDUP(MONTH(Cleaned_data[[#This Row],[Order_Date]])/3,0)</f>
        <v>Q1</v>
      </c>
    </row>
    <row r="413" spans="1:36">
      <c r="A413" t="s">
        <v>898</v>
      </c>
      <c r="B413" s="9">
        <v>45728</v>
      </c>
      <c r="C413" s="9">
        <v>45738</v>
      </c>
      <c r="D413" t="s">
        <v>451</v>
      </c>
      <c r="E413" t="s">
        <v>452</v>
      </c>
      <c r="F413" t="s">
        <v>89</v>
      </c>
      <c r="G413" t="s">
        <v>126</v>
      </c>
      <c r="H413" t="s">
        <v>160</v>
      </c>
      <c r="I413" t="s">
        <v>161</v>
      </c>
      <c r="J413" t="s">
        <v>129</v>
      </c>
      <c r="K413" t="s">
        <v>100</v>
      </c>
      <c r="L413" t="s">
        <v>284</v>
      </c>
      <c r="M413" t="s">
        <v>285</v>
      </c>
      <c r="N413" t="s">
        <v>103</v>
      </c>
      <c r="O413" t="s">
        <v>143</v>
      </c>
      <c r="P413" s="8">
        <v>3</v>
      </c>
      <c r="Q413" s="10">
        <v>29.51</v>
      </c>
      <c r="R413" s="11">
        <v>0.11</v>
      </c>
      <c r="S413" s="10">
        <v>16.62</v>
      </c>
      <c r="T413" t="s">
        <v>105</v>
      </c>
      <c r="U413" t="s">
        <v>85</v>
      </c>
      <c r="W413" t="s">
        <v>1270</v>
      </c>
      <c r="X413" t="str">
        <f>_xlfn.XLOOKUP(Cleaned_data[[#This Row],[Customer_ID]],Customers[S],Customers[Loyalty_Tier])</f>
        <v>Silver</v>
      </c>
      <c r="Y413" s="9">
        <f>_xlfn.XLOOKUP(Cleaned_data[[#This Row],[Customer_ID]],Customers[S],Customers[Signup_Date])</f>
        <v>45495</v>
      </c>
      <c r="Z413" s="12">
        <f>_xlfn.XLOOKUP(Cleaned_data[[#This Row],[SKU]],Products[SKU],Products[Standard_Cost])</f>
        <v>14</v>
      </c>
      <c r="AA413" s="10">
        <f>Cleaned_data[[#This Row],[Quantity]]*Cleaned_data[[#This Row],[Unit_Price]]</f>
        <v>88.53</v>
      </c>
      <c r="AB413" s="10">
        <f>Cleaned_data[[#This Row],[Unit_Price]]*Cleaned_data[[#This Row],[Discount_Pct]]</f>
        <v>3.2461000000000002</v>
      </c>
      <c r="AC413" s="10">
        <f>Cleaned_data[[#This Row],[Gross Sales]]-Cleaned_data[[#This Row],[Discount amount]]</f>
        <v>85.283900000000003</v>
      </c>
      <c r="AD413" s="10">
        <f>Cleaned_data[[#This Row],[Product Cost]]*Cleaned_data[[#This Row],[Quantity]]</f>
        <v>42</v>
      </c>
      <c r="AE413" s="10">
        <f>Cleaned_data[[#This Row],[Net Sales]]-Cleaned_data[[#This Row],[COGS]]</f>
        <v>43.283900000000003</v>
      </c>
      <c r="AF413" s="11">
        <f>Cleaned_data[[#This Row],[Gross Profit]]/Cleaned_data[[#This Row],[Net Sales]]</f>
        <v>0.50752721205291973</v>
      </c>
      <c r="AG413">
        <f>Cleaned_data[[#This Row],[Ship_Date]]-Cleaned_data[[#This Row],[Order_Date]]</f>
        <v>10</v>
      </c>
      <c r="AH413" t="str">
        <f>IF(Cleaned_data[[#This Row],[Delivery Days]]&gt;10,"late","on time")</f>
        <v>on time</v>
      </c>
      <c r="AI413" t="str">
        <f>TEXT(Cleaned_data[[#This Row],[Order_Date]],"mmmm")</f>
        <v>March</v>
      </c>
      <c r="AJ413" s="9" t="str">
        <f>"Q"&amp;ROUNDUP(MONTH(Cleaned_data[[#This Row],[Order_Date]])/3,0)</f>
        <v>Q1</v>
      </c>
    </row>
    <row r="414" spans="1:36">
      <c r="A414" t="s">
        <v>899</v>
      </c>
      <c r="B414" s="9">
        <v>45728</v>
      </c>
      <c r="C414" s="9">
        <v>45734</v>
      </c>
      <c r="D414" t="s">
        <v>490</v>
      </c>
      <c r="E414" t="s">
        <v>491</v>
      </c>
      <c r="F414" t="s">
        <v>152</v>
      </c>
      <c r="G414" t="s">
        <v>194</v>
      </c>
      <c r="H414" t="s">
        <v>202</v>
      </c>
      <c r="I414" t="s">
        <v>203</v>
      </c>
      <c r="J414" t="s">
        <v>129</v>
      </c>
      <c r="K414" t="s">
        <v>79</v>
      </c>
      <c r="L414" t="s">
        <v>359</v>
      </c>
      <c r="M414" t="s">
        <v>360</v>
      </c>
      <c r="N414" t="s">
        <v>93</v>
      </c>
      <c r="O414" t="s">
        <v>94</v>
      </c>
      <c r="P414" s="8">
        <v>1</v>
      </c>
      <c r="Q414" s="10">
        <v>443.87</v>
      </c>
      <c r="R414" s="11">
        <v>0.11</v>
      </c>
      <c r="S414" s="10">
        <v>24.78</v>
      </c>
      <c r="T414" t="s">
        <v>134</v>
      </c>
      <c r="U414" t="s">
        <v>85</v>
      </c>
      <c r="V414" s="8">
        <v>4</v>
      </c>
      <c r="W414" t="s">
        <v>1270</v>
      </c>
      <c r="X414" t="str">
        <f>_xlfn.XLOOKUP(Cleaned_data[[#This Row],[Customer_ID]],Customers[S],Customers[Loyalty_Tier])</f>
        <v>Gold</v>
      </c>
      <c r="Y414" s="9">
        <f>_xlfn.XLOOKUP(Cleaned_data[[#This Row],[Customer_ID]],Customers[S],Customers[Signup_Date])</f>
        <v>44414</v>
      </c>
      <c r="Z414" s="12">
        <f>_xlfn.XLOOKUP(Cleaned_data[[#This Row],[SKU]],Products[SKU],Products[Standard_Cost])</f>
        <v>265</v>
      </c>
      <c r="AA414" s="10">
        <f>Cleaned_data[[#This Row],[Quantity]]*Cleaned_data[[#This Row],[Unit_Price]]</f>
        <v>443.87</v>
      </c>
      <c r="AB414" s="10">
        <f>Cleaned_data[[#This Row],[Unit_Price]]*Cleaned_data[[#This Row],[Discount_Pct]]</f>
        <v>48.825699999999998</v>
      </c>
      <c r="AC414" s="10">
        <f>Cleaned_data[[#This Row],[Gross Sales]]-Cleaned_data[[#This Row],[Discount amount]]</f>
        <v>395.04430000000002</v>
      </c>
      <c r="AD414" s="10">
        <f>Cleaned_data[[#This Row],[Product Cost]]*Cleaned_data[[#This Row],[Quantity]]</f>
        <v>265</v>
      </c>
      <c r="AE414" s="10">
        <f>Cleaned_data[[#This Row],[Net Sales]]-Cleaned_data[[#This Row],[COGS]]</f>
        <v>130.04430000000002</v>
      </c>
      <c r="AF414" s="11">
        <f>Cleaned_data[[#This Row],[Gross Profit]]/Cleaned_data[[#This Row],[Net Sales]]</f>
        <v>0.32918915676039373</v>
      </c>
      <c r="AG414">
        <f>Cleaned_data[[#This Row],[Ship_Date]]-Cleaned_data[[#This Row],[Order_Date]]</f>
        <v>6</v>
      </c>
      <c r="AH414" t="str">
        <f>IF(Cleaned_data[[#This Row],[Delivery Days]]&gt;10,"late","on time")</f>
        <v>on time</v>
      </c>
      <c r="AI414" t="str">
        <f>TEXT(Cleaned_data[[#This Row],[Order_Date]],"mmmm")</f>
        <v>March</v>
      </c>
      <c r="AJ414" s="9" t="str">
        <f>"Q"&amp;ROUNDUP(MONTH(Cleaned_data[[#This Row],[Order_Date]])/3,0)</f>
        <v>Q1</v>
      </c>
    </row>
    <row r="415" spans="1:36">
      <c r="A415" t="s">
        <v>900</v>
      </c>
      <c r="B415" s="9">
        <v>45730</v>
      </c>
      <c r="C415" s="9">
        <v>45732</v>
      </c>
      <c r="D415" t="s">
        <v>424</v>
      </c>
      <c r="E415" t="s">
        <v>425</v>
      </c>
      <c r="F415" t="s">
        <v>152</v>
      </c>
      <c r="G415" t="s">
        <v>138</v>
      </c>
      <c r="H415" t="s">
        <v>347</v>
      </c>
      <c r="I415" t="s">
        <v>348</v>
      </c>
      <c r="J415" t="s">
        <v>78</v>
      </c>
      <c r="K415" t="s">
        <v>90</v>
      </c>
      <c r="L415" t="s">
        <v>101</v>
      </c>
      <c r="M415" t="s">
        <v>102</v>
      </c>
      <c r="N415" t="s">
        <v>103</v>
      </c>
      <c r="O415" t="s">
        <v>104</v>
      </c>
      <c r="P415" s="8">
        <v>5</v>
      </c>
      <c r="Q415" s="10">
        <v>75.5</v>
      </c>
      <c r="R415" s="11">
        <v>0.08</v>
      </c>
      <c r="S415" s="10">
        <v>16.98</v>
      </c>
      <c r="T415" t="s">
        <v>84</v>
      </c>
      <c r="U415" t="s">
        <v>85</v>
      </c>
      <c r="V415" s="8">
        <v>1</v>
      </c>
      <c r="W415" t="s">
        <v>1270</v>
      </c>
      <c r="X415" t="str">
        <f>_xlfn.XLOOKUP(Cleaned_data[[#This Row],[Customer_ID]],Customers[S],Customers[Loyalty_Tier])</f>
        <v>Bronze</v>
      </c>
      <c r="Y415" s="9">
        <f>_xlfn.XLOOKUP(Cleaned_data[[#This Row],[Customer_ID]],Customers[S],Customers[Signup_Date])</f>
        <v>45859</v>
      </c>
      <c r="Z415" s="12">
        <f>_xlfn.XLOOKUP(Cleaned_data[[#This Row],[SKU]],Products[SKU],Products[Standard_Cost])</f>
        <v>36</v>
      </c>
      <c r="AA415" s="10">
        <f>Cleaned_data[[#This Row],[Quantity]]*Cleaned_data[[#This Row],[Unit_Price]]</f>
        <v>377.5</v>
      </c>
      <c r="AB415" s="10">
        <f>Cleaned_data[[#This Row],[Unit_Price]]*Cleaned_data[[#This Row],[Discount_Pct]]</f>
        <v>6.04</v>
      </c>
      <c r="AC415" s="10">
        <f>Cleaned_data[[#This Row],[Gross Sales]]-Cleaned_data[[#This Row],[Discount amount]]</f>
        <v>371.46</v>
      </c>
      <c r="AD415" s="10">
        <f>Cleaned_data[[#This Row],[Product Cost]]*Cleaned_data[[#This Row],[Quantity]]</f>
        <v>180</v>
      </c>
      <c r="AE415" s="10">
        <f>Cleaned_data[[#This Row],[Net Sales]]-Cleaned_data[[#This Row],[COGS]]</f>
        <v>191.45999999999998</v>
      </c>
      <c r="AF415" s="11">
        <f>Cleaned_data[[#This Row],[Gross Profit]]/Cleaned_data[[#This Row],[Net Sales]]</f>
        <v>0.5154256178323372</v>
      </c>
      <c r="AG415">
        <f>Cleaned_data[[#This Row],[Ship_Date]]-Cleaned_data[[#This Row],[Order_Date]]</f>
        <v>2</v>
      </c>
      <c r="AH415" t="str">
        <f>IF(Cleaned_data[[#This Row],[Delivery Days]]&gt;10,"late","on time")</f>
        <v>on time</v>
      </c>
      <c r="AI415" t="str">
        <f>TEXT(Cleaned_data[[#This Row],[Order_Date]],"mmmm")</f>
        <v>March</v>
      </c>
      <c r="AJ415" s="9" t="str">
        <f>"Q"&amp;ROUNDUP(MONTH(Cleaned_data[[#This Row],[Order_Date]])/3,0)</f>
        <v>Q1</v>
      </c>
    </row>
    <row r="416" spans="1:36">
      <c r="A416" t="s">
        <v>901</v>
      </c>
      <c r="B416" s="9">
        <v>45733</v>
      </c>
      <c r="C416" s="9">
        <v>45743</v>
      </c>
      <c r="D416" t="s">
        <v>350</v>
      </c>
      <c r="E416" t="s">
        <v>351</v>
      </c>
      <c r="F416" t="s">
        <v>152</v>
      </c>
      <c r="G416" t="s">
        <v>126</v>
      </c>
      <c r="H416" t="s">
        <v>160</v>
      </c>
      <c r="I416" t="s">
        <v>182</v>
      </c>
      <c r="J416" t="s">
        <v>219</v>
      </c>
      <c r="K416" t="s">
        <v>100</v>
      </c>
      <c r="L416" t="s">
        <v>261</v>
      </c>
      <c r="M416" t="s">
        <v>262</v>
      </c>
      <c r="N416" t="s">
        <v>103</v>
      </c>
      <c r="O416" t="s">
        <v>104</v>
      </c>
      <c r="P416" s="8">
        <v>3</v>
      </c>
      <c r="Q416" s="10">
        <v>27.08</v>
      </c>
      <c r="R416" s="11">
        <v>7.0000000000000007E-2</v>
      </c>
      <c r="S416" s="10">
        <v>11.13</v>
      </c>
      <c r="T416" t="s">
        <v>105</v>
      </c>
      <c r="U416" t="s">
        <v>85</v>
      </c>
      <c r="V416" s="8">
        <v>1</v>
      </c>
      <c r="W416" t="s">
        <v>1270</v>
      </c>
      <c r="X416" t="str">
        <f>_xlfn.XLOOKUP(Cleaned_data[[#This Row],[Customer_ID]],Customers[S],Customers[Loyalty_Tier])</f>
        <v>Bronze</v>
      </c>
      <c r="Y416" s="9">
        <f>_xlfn.XLOOKUP(Cleaned_data[[#This Row],[Customer_ID]],Customers[S],Customers[Signup_Date])</f>
        <v>45115</v>
      </c>
      <c r="Z416" s="12">
        <f>_xlfn.XLOOKUP(Cleaned_data[[#This Row],[SKU]],Products[SKU],Products[Standard_Cost])</f>
        <v>12</v>
      </c>
      <c r="AA416" s="10">
        <f>Cleaned_data[[#This Row],[Quantity]]*Cleaned_data[[#This Row],[Unit_Price]]</f>
        <v>81.239999999999995</v>
      </c>
      <c r="AB416" s="10">
        <f>Cleaned_data[[#This Row],[Unit_Price]]*Cleaned_data[[#This Row],[Discount_Pct]]</f>
        <v>1.8956</v>
      </c>
      <c r="AC416" s="10">
        <f>Cleaned_data[[#This Row],[Gross Sales]]-Cleaned_data[[#This Row],[Discount amount]]</f>
        <v>79.344399999999993</v>
      </c>
      <c r="AD416" s="10">
        <f>Cleaned_data[[#This Row],[Product Cost]]*Cleaned_data[[#This Row],[Quantity]]</f>
        <v>36</v>
      </c>
      <c r="AE416" s="10">
        <f>Cleaned_data[[#This Row],[Net Sales]]-Cleaned_data[[#This Row],[COGS]]</f>
        <v>43.344399999999993</v>
      </c>
      <c r="AF416" s="11">
        <f>Cleaned_data[[#This Row],[Gross Profit]]/Cleaned_data[[#This Row],[Net Sales]]</f>
        <v>0.54628177918038323</v>
      </c>
      <c r="AG416">
        <f>Cleaned_data[[#This Row],[Ship_Date]]-Cleaned_data[[#This Row],[Order_Date]]</f>
        <v>10</v>
      </c>
      <c r="AH416" t="str">
        <f>IF(Cleaned_data[[#This Row],[Delivery Days]]&gt;10,"late","on time")</f>
        <v>on time</v>
      </c>
      <c r="AI416" t="str">
        <f>TEXT(Cleaned_data[[#This Row],[Order_Date]],"mmmm")</f>
        <v>March</v>
      </c>
      <c r="AJ416" s="9" t="str">
        <f>"Q"&amp;ROUNDUP(MONTH(Cleaned_data[[#This Row],[Order_Date]])/3,0)</f>
        <v>Q1</v>
      </c>
    </row>
    <row r="417" spans="1:36">
      <c r="A417" t="s">
        <v>902</v>
      </c>
      <c r="B417" s="9">
        <v>45733</v>
      </c>
      <c r="C417" s="9">
        <v>45742</v>
      </c>
      <c r="D417" t="s">
        <v>482</v>
      </c>
      <c r="E417" t="s">
        <v>483</v>
      </c>
      <c r="F417" t="s">
        <v>74</v>
      </c>
      <c r="G417" t="s">
        <v>194</v>
      </c>
      <c r="H417" t="s">
        <v>240</v>
      </c>
      <c r="I417" t="s">
        <v>241</v>
      </c>
      <c r="J417" t="s">
        <v>78</v>
      </c>
      <c r="K417" t="s">
        <v>147</v>
      </c>
      <c r="L417" t="s">
        <v>197</v>
      </c>
      <c r="M417" t="s">
        <v>198</v>
      </c>
      <c r="N417" t="s">
        <v>120</v>
      </c>
      <c r="O417" t="s">
        <v>121</v>
      </c>
      <c r="P417" s="8">
        <v>3</v>
      </c>
      <c r="Q417" s="10">
        <v>500.65</v>
      </c>
      <c r="R417" s="11">
        <v>0.12</v>
      </c>
      <c r="S417" s="10">
        <v>19.190000000000001</v>
      </c>
      <c r="T417" t="s">
        <v>134</v>
      </c>
      <c r="U417" t="s">
        <v>85</v>
      </c>
      <c r="V417" s="8">
        <v>4</v>
      </c>
      <c r="W417" t="s">
        <v>1270</v>
      </c>
      <c r="X417" t="str">
        <f>_xlfn.XLOOKUP(Cleaned_data[[#This Row],[Customer_ID]],Customers[S],Customers[Loyalty_Tier])</f>
        <v>Platinum</v>
      </c>
      <c r="Y417" s="9">
        <f>_xlfn.XLOOKUP(Cleaned_data[[#This Row],[Customer_ID]],Customers[S],Customers[Signup_Date])</f>
        <v>44396</v>
      </c>
      <c r="Z417" s="12">
        <f>_xlfn.XLOOKUP(Cleaned_data[[#This Row],[SKU]],Products[SKU],Products[Standard_Cost])</f>
        <v>310</v>
      </c>
      <c r="AA417" s="10">
        <f>Cleaned_data[[#This Row],[Quantity]]*Cleaned_data[[#This Row],[Unit_Price]]</f>
        <v>1501.9499999999998</v>
      </c>
      <c r="AB417" s="10">
        <f>Cleaned_data[[#This Row],[Unit_Price]]*Cleaned_data[[#This Row],[Discount_Pct]]</f>
        <v>60.077999999999996</v>
      </c>
      <c r="AC417" s="10">
        <f>Cleaned_data[[#This Row],[Gross Sales]]-Cleaned_data[[#This Row],[Discount amount]]</f>
        <v>1441.8719999999998</v>
      </c>
      <c r="AD417" s="10">
        <f>Cleaned_data[[#This Row],[Product Cost]]*Cleaned_data[[#This Row],[Quantity]]</f>
        <v>930</v>
      </c>
      <c r="AE417" s="10">
        <f>Cleaned_data[[#This Row],[Net Sales]]-Cleaned_data[[#This Row],[COGS]]</f>
        <v>511.87199999999984</v>
      </c>
      <c r="AF417" s="11">
        <f>Cleaned_data[[#This Row],[Gross Profit]]/Cleaned_data[[#This Row],[Net Sales]]</f>
        <v>0.35500515995872028</v>
      </c>
      <c r="AG417">
        <f>Cleaned_data[[#This Row],[Ship_Date]]-Cleaned_data[[#This Row],[Order_Date]]</f>
        <v>9</v>
      </c>
      <c r="AH417" t="str">
        <f>IF(Cleaned_data[[#This Row],[Delivery Days]]&gt;10,"late","on time")</f>
        <v>on time</v>
      </c>
      <c r="AI417" t="str">
        <f>TEXT(Cleaned_data[[#This Row],[Order_Date]],"mmmm")</f>
        <v>March</v>
      </c>
      <c r="AJ417" s="9" t="str">
        <f>"Q"&amp;ROUNDUP(MONTH(Cleaned_data[[#This Row],[Order_Date]])/3,0)</f>
        <v>Q1</v>
      </c>
    </row>
    <row r="418" spans="1:36">
      <c r="A418" t="s">
        <v>903</v>
      </c>
      <c r="B418" s="9">
        <v>45734</v>
      </c>
      <c r="C418" s="9">
        <v>45739</v>
      </c>
      <c r="D418" t="s">
        <v>904</v>
      </c>
      <c r="E418" t="s">
        <v>449</v>
      </c>
      <c r="F418" t="s">
        <v>152</v>
      </c>
      <c r="G418" t="s">
        <v>75</v>
      </c>
      <c r="H418" t="s">
        <v>212</v>
      </c>
      <c r="I418" t="s">
        <v>213</v>
      </c>
      <c r="J418" t="s">
        <v>78</v>
      </c>
      <c r="K418" t="s">
        <v>90</v>
      </c>
      <c r="L418" t="s">
        <v>91</v>
      </c>
      <c r="M418" t="s">
        <v>92</v>
      </c>
      <c r="N418" t="s">
        <v>93</v>
      </c>
      <c r="O418" t="s">
        <v>94</v>
      </c>
      <c r="P418" s="8">
        <v>4</v>
      </c>
      <c r="Q418" s="10">
        <v>314.27</v>
      </c>
      <c r="R418" s="11">
        <v>7.0000000000000007E-2</v>
      </c>
      <c r="S418" s="10">
        <v>20.88</v>
      </c>
      <c r="T418" t="s">
        <v>134</v>
      </c>
      <c r="U418" t="s">
        <v>85</v>
      </c>
      <c r="V418" s="8">
        <v>1</v>
      </c>
      <c r="W418" t="s">
        <v>1270</v>
      </c>
      <c r="X418" t="str">
        <f>_xlfn.XLOOKUP(Cleaned_data[[#This Row],[Customer_ID]],Customers[S],Customers[Loyalty_Tier])</f>
        <v>Silver</v>
      </c>
      <c r="Y418" s="9">
        <f>_xlfn.XLOOKUP(Cleaned_data[[#This Row],[Customer_ID]],Customers[S],Customers[Signup_Date])</f>
        <v>44735</v>
      </c>
      <c r="Z418" s="12">
        <f>_xlfn.XLOOKUP(Cleaned_data[[#This Row],[SKU]],Products[SKU],Products[Standard_Cost])</f>
        <v>184</v>
      </c>
      <c r="AA418" s="10">
        <f>Cleaned_data[[#This Row],[Quantity]]*Cleaned_data[[#This Row],[Unit_Price]]</f>
        <v>1257.08</v>
      </c>
      <c r="AB418" s="10">
        <f>Cleaned_data[[#This Row],[Unit_Price]]*Cleaned_data[[#This Row],[Discount_Pct]]</f>
        <v>21.998900000000003</v>
      </c>
      <c r="AC418" s="10">
        <f>Cleaned_data[[#This Row],[Gross Sales]]-Cleaned_data[[#This Row],[Discount amount]]</f>
        <v>1235.0810999999999</v>
      </c>
      <c r="AD418" s="10">
        <f>Cleaned_data[[#This Row],[Product Cost]]*Cleaned_data[[#This Row],[Quantity]]</f>
        <v>736</v>
      </c>
      <c r="AE418" s="10">
        <f>Cleaned_data[[#This Row],[Net Sales]]-Cleaned_data[[#This Row],[COGS]]</f>
        <v>499.08109999999988</v>
      </c>
      <c r="AF418" s="11">
        <f>Cleaned_data[[#This Row],[Gross Profit]]/Cleaned_data[[#This Row],[Net Sales]]</f>
        <v>0.40408771537350863</v>
      </c>
      <c r="AG418">
        <f>Cleaned_data[[#This Row],[Ship_Date]]-Cleaned_data[[#This Row],[Order_Date]]</f>
        <v>5</v>
      </c>
      <c r="AH418" t="str">
        <f>IF(Cleaned_data[[#This Row],[Delivery Days]]&gt;10,"late","on time")</f>
        <v>on time</v>
      </c>
      <c r="AI418" t="str">
        <f>TEXT(Cleaned_data[[#This Row],[Order_Date]],"mmmm")</f>
        <v>March</v>
      </c>
      <c r="AJ418" s="9" t="str">
        <f>"Q"&amp;ROUNDUP(MONTH(Cleaned_data[[#This Row],[Order_Date]])/3,0)</f>
        <v>Q1</v>
      </c>
    </row>
    <row r="419" spans="1:36">
      <c r="A419" t="s">
        <v>905</v>
      </c>
      <c r="B419" s="9">
        <v>45736</v>
      </c>
      <c r="C419" s="9">
        <v>45738</v>
      </c>
      <c r="D419" t="s">
        <v>556</v>
      </c>
      <c r="E419" t="s">
        <v>557</v>
      </c>
      <c r="F419" t="s">
        <v>152</v>
      </c>
      <c r="G419" t="s">
        <v>75</v>
      </c>
      <c r="H419" t="s">
        <v>212</v>
      </c>
      <c r="I419" t="s">
        <v>213</v>
      </c>
      <c r="J419" t="s">
        <v>78</v>
      </c>
      <c r="K419" t="s">
        <v>147</v>
      </c>
      <c r="L419" t="s">
        <v>242</v>
      </c>
      <c r="M419" t="s">
        <v>243</v>
      </c>
      <c r="N419" t="s">
        <v>120</v>
      </c>
      <c r="O419" t="s">
        <v>133</v>
      </c>
      <c r="P419" s="8">
        <v>3</v>
      </c>
      <c r="Q419" s="10">
        <v>192.02</v>
      </c>
      <c r="R419" s="11">
        <v>0.05</v>
      </c>
      <c r="S419" s="10">
        <v>8.9600000000000009</v>
      </c>
      <c r="T419" t="s">
        <v>122</v>
      </c>
      <c r="U419" t="s">
        <v>85</v>
      </c>
      <c r="V419" s="8">
        <v>3</v>
      </c>
      <c r="W419" t="s">
        <v>1270</v>
      </c>
      <c r="X419" t="str">
        <f>_xlfn.XLOOKUP(Cleaned_data[[#This Row],[Customer_ID]],Customers[S],Customers[Loyalty_Tier])</f>
        <v>Platinum</v>
      </c>
      <c r="Y419" s="9">
        <f>_xlfn.XLOOKUP(Cleaned_data[[#This Row],[Customer_ID]],Customers[S],Customers[Signup_Date])</f>
        <v>44341</v>
      </c>
      <c r="Z419" s="12">
        <f>_xlfn.XLOOKUP(Cleaned_data[[#This Row],[SKU]],Products[SKU],Products[Standard_Cost])</f>
        <v>96</v>
      </c>
      <c r="AA419" s="10">
        <f>Cleaned_data[[#This Row],[Quantity]]*Cleaned_data[[#This Row],[Unit_Price]]</f>
        <v>576.06000000000006</v>
      </c>
      <c r="AB419" s="10">
        <f>Cleaned_data[[#This Row],[Unit_Price]]*Cleaned_data[[#This Row],[Discount_Pct]]</f>
        <v>9.6010000000000009</v>
      </c>
      <c r="AC419" s="10">
        <f>Cleaned_data[[#This Row],[Gross Sales]]-Cleaned_data[[#This Row],[Discount amount]]</f>
        <v>566.45900000000006</v>
      </c>
      <c r="AD419" s="10">
        <f>Cleaned_data[[#This Row],[Product Cost]]*Cleaned_data[[#This Row],[Quantity]]</f>
        <v>288</v>
      </c>
      <c r="AE419" s="10">
        <f>Cleaned_data[[#This Row],[Net Sales]]-Cleaned_data[[#This Row],[COGS]]</f>
        <v>278.45900000000006</v>
      </c>
      <c r="AF419" s="11">
        <f>Cleaned_data[[#This Row],[Gross Profit]]/Cleaned_data[[#This Row],[Net Sales]]</f>
        <v>0.49157838431378093</v>
      </c>
      <c r="AG419">
        <f>Cleaned_data[[#This Row],[Ship_Date]]-Cleaned_data[[#This Row],[Order_Date]]</f>
        <v>2</v>
      </c>
      <c r="AH419" t="str">
        <f>IF(Cleaned_data[[#This Row],[Delivery Days]]&gt;10,"late","on time")</f>
        <v>on time</v>
      </c>
      <c r="AI419" t="str">
        <f>TEXT(Cleaned_data[[#This Row],[Order_Date]],"mmmm")</f>
        <v>March</v>
      </c>
      <c r="AJ419" s="9" t="str">
        <f>"Q"&amp;ROUNDUP(MONTH(Cleaned_data[[#This Row],[Order_Date]])/3,0)</f>
        <v>Q1</v>
      </c>
    </row>
    <row r="420" spans="1:36">
      <c r="A420" t="s">
        <v>906</v>
      </c>
      <c r="B420" s="9">
        <v>45737</v>
      </c>
      <c r="C420" s="9">
        <v>45743</v>
      </c>
      <c r="D420" t="s">
        <v>646</v>
      </c>
      <c r="E420" t="s">
        <v>647</v>
      </c>
      <c r="F420" t="s">
        <v>89</v>
      </c>
      <c r="G420" t="s">
        <v>126</v>
      </c>
      <c r="H420" t="s">
        <v>127</v>
      </c>
      <c r="I420" t="s">
        <v>128</v>
      </c>
      <c r="J420" t="s">
        <v>78</v>
      </c>
      <c r="K420" t="s">
        <v>168</v>
      </c>
      <c r="L420" t="s">
        <v>141</v>
      </c>
      <c r="M420" t="s">
        <v>142</v>
      </c>
      <c r="N420" t="s">
        <v>103</v>
      </c>
      <c r="O420" t="s">
        <v>143</v>
      </c>
      <c r="P420" s="8">
        <v>10</v>
      </c>
      <c r="Q420" s="10">
        <v>37.31</v>
      </c>
      <c r="R420" s="11">
        <v>7.0000000000000007E-2</v>
      </c>
      <c r="S420" s="10">
        <v>16.87</v>
      </c>
      <c r="T420" t="s">
        <v>84</v>
      </c>
      <c r="U420" t="s">
        <v>85</v>
      </c>
      <c r="V420" s="8">
        <v>1</v>
      </c>
      <c r="W420" t="s">
        <v>1270</v>
      </c>
      <c r="X420" t="str">
        <f>_xlfn.XLOOKUP(Cleaned_data[[#This Row],[Customer_ID]],Customers[S],Customers[Loyalty_Tier])</f>
        <v>Bronze</v>
      </c>
      <c r="Y420" s="9">
        <f>_xlfn.XLOOKUP(Cleaned_data[[#This Row],[Customer_ID]],Customers[S],Customers[Signup_Date])</f>
        <v>44201</v>
      </c>
      <c r="Z420" s="12">
        <f>_xlfn.XLOOKUP(Cleaned_data[[#This Row],[SKU]],Products[SKU],Products[Standard_Cost])</f>
        <v>18</v>
      </c>
      <c r="AA420" s="10">
        <f>Cleaned_data[[#This Row],[Quantity]]*Cleaned_data[[#This Row],[Unit_Price]]</f>
        <v>373.1</v>
      </c>
      <c r="AB420" s="10">
        <f>Cleaned_data[[#This Row],[Unit_Price]]*Cleaned_data[[#This Row],[Discount_Pct]]</f>
        <v>2.6117000000000004</v>
      </c>
      <c r="AC420" s="10">
        <f>Cleaned_data[[#This Row],[Gross Sales]]-Cleaned_data[[#This Row],[Discount amount]]</f>
        <v>370.48830000000004</v>
      </c>
      <c r="AD420" s="10">
        <f>Cleaned_data[[#This Row],[Product Cost]]*Cleaned_data[[#This Row],[Quantity]]</f>
        <v>180</v>
      </c>
      <c r="AE420" s="10">
        <f>Cleaned_data[[#This Row],[Net Sales]]-Cleaned_data[[#This Row],[COGS]]</f>
        <v>190.48830000000004</v>
      </c>
      <c r="AF420" s="11">
        <f>Cleaned_data[[#This Row],[Gross Profit]]/Cleaned_data[[#This Row],[Net Sales]]</f>
        <v>0.51415469800260905</v>
      </c>
      <c r="AG420">
        <f>Cleaned_data[[#This Row],[Ship_Date]]-Cleaned_data[[#This Row],[Order_Date]]</f>
        <v>6</v>
      </c>
      <c r="AH420" t="str">
        <f>IF(Cleaned_data[[#This Row],[Delivery Days]]&gt;10,"late","on time")</f>
        <v>on time</v>
      </c>
      <c r="AI420" t="str">
        <f>TEXT(Cleaned_data[[#This Row],[Order_Date]],"mmmm")</f>
        <v>March</v>
      </c>
      <c r="AJ420" s="9" t="str">
        <f>"Q"&amp;ROUNDUP(MONTH(Cleaned_data[[#This Row],[Order_Date]])/3,0)</f>
        <v>Q1</v>
      </c>
    </row>
    <row r="421" spans="1:36">
      <c r="A421" t="s">
        <v>907</v>
      </c>
      <c r="B421" s="9">
        <v>45737</v>
      </c>
      <c r="C421" s="9">
        <v>45745</v>
      </c>
      <c r="D421" t="s">
        <v>362</v>
      </c>
      <c r="E421" t="s">
        <v>363</v>
      </c>
      <c r="F421" t="s">
        <v>89</v>
      </c>
      <c r="G421" t="s">
        <v>194</v>
      </c>
      <c r="H421" t="s">
        <v>240</v>
      </c>
      <c r="I421" t="s">
        <v>241</v>
      </c>
      <c r="J421" t="s">
        <v>129</v>
      </c>
      <c r="K421" t="s">
        <v>79</v>
      </c>
      <c r="L421" t="s">
        <v>101</v>
      </c>
      <c r="M421" t="s">
        <v>102</v>
      </c>
      <c r="N421" t="s">
        <v>120</v>
      </c>
      <c r="O421" t="s">
        <v>104</v>
      </c>
      <c r="P421" s="8">
        <v>1</v>
      </c>
      <c r="Q421" s="10">
        <v>77.25</v>
      </c>
      <c r="R421" s="11">
        <v>7.0000000000000007E-2</v>
      </c>
      <c r="S421" s="10">
        <v>14.79</v>
      </c>
      <c r="T421" t="s">
        <v>84</v>
      </c>
      <c r="U421" t="s">
        <v>85</v>
      </c>
      <c r="V421" s="8">
        <v>2</v>
      </c>
      <c r="W421" t="s">
        <v>1270</v>
      </c>
      <c r="X421" t="str">
        <f>_xlfn.XLOOKUP(Cleaned_data[[#This Row],[Customer_ID]],Customers[S],Customers[Loyalty_Tier])</f>
        <v>Silver</v>
      </c>
      <c r="Y421" s="9">
        <f>_xlfn.XLOOKUP(Cleaned_data[[#This Row],[Customer_ID]],Customers[S],Customers[Signup_Date])</f>
        <v>45026</v>
      </c>
      <c r="Z421" s="12">
        <f>_xlfn.XLOOKUP(Cleaned_data[[#This Row],[SKU]],Products[SKU],Products[Standard_Cost])</f>
        <v>36</v>
      </c>
      <c r="AA421" s="10">
        <f>Cleaned_data[[#This Row],[Quantity]]*Cleaned_data[[#This Row],[Unit_Price]]</f>
        <v>77.25</v>
      </c>
      <c r="AB421" s="10">
        <f>Cleaned_data[[#This Row],[Unit_Price]]*Cleaned_data[[#This Row],[Discount_Pct]]</f>
        <v>5.4075000000000006</v>
      </c>
      <c r="AC421" s="10">
        <f>Cleaned_data[[#This Row],[Gross Sales]]-Cleaned_data[[#This Row],[Discount amount]]</f>
        <v>71.842500000000001</v>
      </c>
      <c r="AD421" s="10">
        <f>Cleaned_data[[#This Row],[Product Cost]]*Cleaned_data[[#This Row],[Quantity]]</f>
        <v>36</v>
      </c>
      <c r="AE421" s="10">
        <f>Cleaned_data[[#This Row],[Net Sales]]-Cleaned_data[[#This Row],[COGS]]</f>
        <v>35.842500000000001</v>
      </c>
      <c r="AF421" s="11">
        <f>Cleaned_data[[#This Row],[Gross Profit]]/Cleaned_data[[#This Row],[Net Sales]]</f>
        <v>0.49890385217663641</v>
      </c>
      <c r="AG421">
        <f>Cleaned_data[[#This Row],[Ship_Date]]-Cleaned_data[[#This Row],[Order_Date]]</f>
        <v>8</v>
      </c>
      <c r="AH421" t="str">
        <f>IF(Cleaned_data[[#This Row],[Delivery Days]]&gt;10,"late","on time")</f>
        <v>on time</v>
      </c>
      <c r="AI421" t="str">
        <f>TEXT(Cleaned_data[[#This Row],[Order_Date]],"mmmm")</f>
        <v>March</v>
      </c>
      <c r="AJ421" s="9" t="str">
        <f>"Q"&amp;ROUNDUP(MONTH(Cleaned_data[[#This Row],[Order_Date]])/3,0)</f>
        <v>Q1</v>
      </c>
    </row>
    <row r="422" spans="1:36">
      <c r="A422" t="s">
        <v>908</v>
      </c>
      <c r="B422" s="9">
        <v>45739</v>
      </c>
      <c r="C422" s="9">
        <v>45743</v>
      </c>
      <c r="D422" t="s">
        <v>714</v>
      </c>
      <c r="E422" t="s">
        <v>715</v>
      </c>
      <c r="F422" t="s">
        <v>89</v>
      </c>
      <c r="G422" t="s">
        <v>126</v>
      </c>
      <c r="H422" t="s">
        <v>160</v>
      </c>
      <c r="I422" t="s">
        <v>161</v>
      </c>
      <c r="J422" t="s">
        <v>129</v>
      </c>
      <c r="K422" t="s">
        <v>168</v>
      </c>
      <c r="L422" t="s">
        <v>249</v>
      </c>
      <c r="M422" t="s">
        <v>250</v>
      </c>
      <c r="N422" t="s">
        <v>103</v>
      </c>
      <c r="O422" t="s">
        <v>251</v>
      </c>
      <c r="P422" s="8">
        <v>2</v>
      </c>
      <c r="Q422" s="10">
        <v>21.68</v>
      </c>
      <c r="R422" s="11">
        <v>0.1</v>
      </c>
      <c r="S422" s="10">
        <v>12.79</v>
      </c>
      <c r="T422" t="s">
        <v>134</v>
      </c>
      <c r="U422" t="s">
        <v>85</v>
      </c>
      <c r="V422" s="8">
        <v>3</v>
      </c>
      <c r="W422" t="s">
        <v>1270</v>
      </c>
      <c r="X422" t="str">
        <f>_xlfn.XLOOKUP(Cleaned_data[[#This Row],[Customer_ID]],Customers[S],Customers[Loyalty_Tier])</f>
        <v>Bronze</v>
      </c>
      <c r="Y422" s="9">
        <f>_xlfn.XLOOKUP(Cleaned_data[[#This Row],[Customer_ID]],Customers[S],Customers[Signup_Date])</f>
        <v>45844</v>
      </c>
      <c r="Z422" s="12">
        <f>_xlfn.XLOOKUP(Cleaned_data[[#This Row],[SKU]],Products[SKU],Products[Standard_Cost])</f>
        <v>10</v>
      </c>
      <c r="AA422" s="10">
        <f>Cleaned_data[[#This Row],[Quantity]]*Cleaned_data[[#This Row],[Unit_Price]]</f>
        <v>43.36</v>
      </c>
      <c r="AB422" s="10">
        <f>Cleaned_data[[#This Row],[Unit_Price]]*Cleaned_data[[#This Row],[Discount_Pct]]</f>
        <v>2.1680000000000001</v>
      </c>
      <c r="AC422" s="10">
        <f>Cleaned_data[[#This Row],[Gross Sales]]-Cleaned_data[[#This Row],[Discount amount]]</f>
        <v>41.192</v>
      </c>
      <c r="AD422" s="10">
        <f>Cleaned_data[[#This Row],[Product Cost]]*Cleaned_data[[#This Row],[Quantity]]</f>
        <v>20</v>
      </c>
      <c r="AE422" s="10">
        <f>Cleaned_data[[#This Row],[Net Sales]]-Cleaned_data[[#This Row],[COGS]]</f>
        <v>21.192</v>
      </c>
      <c r="AF422" s="11">
        <f>Cleaned_data[[#This Row],[Gross Profit]]/Cleaned_data[[#This Row],[Net Sales]]</f>
        <v>0.51446882889881529</v>
      </c>
      <c r="AG422">
        <f>Cleaned_data[[#This Row],[Ship_Date]]-Cleaned_data[[#This Row],[Order_Date]]</f>
        <v>4</v>
      </c>
      <c r="AH422" t="str">
        <f>IF(Cleaned_data[[#This Row],[Delivery Days]]&gt;10,"late","on time")</f>
        <v>on time</v>
      </c>
      <c r="AI422" t="str">
        <f>TEXT(Cleaned_data[[#This Row],[Order_Date]],"mmmm")</f>
        <v>March</v>
      </c>
      <c r="AJ422" s="9" t="str">
        <f>"Q"&amp;ROUNDUP(MONTH(Cleaned_data[[#This Row],[Order_Date]])/3,0)</f>
        <v>Q1</v>
      </c>
    </row>
    <row r="423" spans="1:36">
      <c r="A423" t="s">
        <v>909</v>
      </c>
      <c r="B423" s="9">
        <v>45740</v>
      </c>
      <c r="C423" s="9">
        <v>45745</v>
      </c>
      <c r="D423" t="s">
        <v>332</v>
      </c>
      <c r="E423" t="s">
        <v>333</v>
      </c>
      <c r="F423" t="s">
        <v>74</v>
      </c>
      <c r="G423" t="s">
        <v>126</v>
      </c>
      <c r="H423" t="s">
        <v>127</v>
      </c>
      <c r="I423" t="s">
        <v>128</v>
      </c>
      <c r="J423" t="s">
        <v>109</v>
      </c>
      <c r="K423" t="s">
        <v>100</v>
      </c>
      <c r="L423" t="s">
        <v>242</v>
      </c>
      <c r="M423" t="s">
        <v>243</v>
      </c>
      <c r="N423" t="s">
        <v>120</v>
      </c>
      <c r="O423" t="s">
        <v>133</v>
      </c>
      <c r="P423" s="8">
        <v>1</v>
      </c>
      <c r="Q423" s="10">
        <v>192.11</v>
      </c>
      <c r="R423" s="11">
        <v>0.04</v>
      </c>
      <c r="S423" s="10">
        <v>22.49</v>
      </c>
      <c r="T423" t="s">
        <v>122</v>
      </c>
      <c r="U423" t="s">
        <v>85</v>
      </c>
      <c r="V423" s="8">
        <v>1</v>
      </c>
      <c r="W423" t="s">
        <v>1270</v>
      </c>
      <c r="X423" t="str">
        <f>_xlfn.XLOOKUP(Cleaned_data[[#This Row],[Customer_ID]],Customers[S],Customers[Loyalty_Tier])</f>
        <v>Silver</v>
      </c>
      <c r="Y423" s="9">
        <f>_xlfn.XLOOKUP(Cleaned_data[[#This Row],[Customer_ID]],Customers[S],Customers[Signup_Date])</f>
        <v>45373</v>
      </c>
      <c r="Z423" s="12">
        <f>_xlfn.XLOOKUP(Cleaned_data[[#This Row],[SKU]],Products[SKU],Products[Standard_Cost])</f>
        <v>96</v>
      </c>
      <c r="AA423" s="10">
        <f>Cleaned_data[[#This Row],[Quantity]]*Cleaned_data[[#This Row],[Unit_Price]]</f>
        <v>192.11</v>
      </c>
      <c r="AB423" s="10">
        <f>Cleaned_data[[#This Row],[Unit_Price]]*Cleaned_data[[#This Row],[Discount_Pct]]</f>
        <v>7.684400000000001</v>
      </c>
      <c r="AC423" s="10">
        <f>Cleaned_data[[#This Row],[Gross Sales]]-Cleaned_data[[#This Row],[Discount amount]]</f>
        <v>184.4256</v>
      </c>
      <c r="AD423" s="10">
        <f>Cleaned_data[[#This Row],[Product Cost]]*Cleaned_data[[#This Row],[Quantity]]</f>
        <v>96</v>
      </c>
      <c r="AE423" s="10">
        <f>Cleaned_data[[#This Row],[Net Sales]]-Cleaned_data[[#This Row],[COGS]]</f>
        <v>88.425600000000003</v>
      </c>
      <c r="AF423" s="11">
        <f>Cleaned_data[[#This Row],[Gross Profit]]/Cleaned_data[[#This Row],[Net Sales]]</f>
        <v>0.47946488990682423</v>
      </c>
      <c r="AG423">
        <f>Cleaned_data[[#This Row],[Ship_Date]]-Cleaned_data[[#This Row],[Order_Date]]</f>
        <v>5</v>
      </c>
      <c r="AH423" t="str">
        <f>IF(Cleaned_data[[#This Row],[Delivery Days]]&gt;10,"late","on time")</f>
        <v>on time</v>
      </c>
      <c r="AI423" t="str">
        <f>TEXT(Cleaned_data[[#This Row],[Order_Date]],"mmmm")</f>
        <v>March</v>
      </c>
      <c r="AJ423" s="9" t="str">
        <f>"Q"&amp;ROUNDUP(MONTH(Cleaned_data[[#This Row],[Order_Date]])/3,0)</f>
        <v>Q1</v>
      </c>
    </row>
    <row r="424" spans="1:36">
      <c r="A424" t="s">
        <v>910</v>
      </c>
      <c r="B424" s="9">
        <v>45740</v>
      </c>
      <c r="C424" s="9">
        <v>45744</v>
      </c>
      <c r="D424" t="s">
        <v>714</v>
      </c>
      <c r="E424" t="s">
        <v>715</v>
      </c>
      <c r="F424" t="s">
        <v>89</v>
      </c>
      <c r="G424" t="s">
        <v>126</v>
      </c>
      <c r="H424" t="s">
        <v>160</v>
      </c>
      <c r="I424" t="s">
        <v>161</v>
      </c>
      <c r="J424" t="s">
        <v>129</v>
      </c>
      <c r="K424" t="s">
        <v>147</v>
      </c>
      <c r="L424" t="s">
        <v>284</v>
      </c>
      <c r="M424" t="s">
        <v>285</v>
      </c>
      <c r="N424" t="s">
        <v>103</v>
      </c>
      <c r="O424" t="s">
        <v>143</v>
      </c>
      <c r="P424" s="8">
        <v>8</v>
      </c>
      <c r="Q424" s="10">
        <v>29.26</v>
      </c>
      <c r="R424" s="11">
        <v>0.11</v>
      </c>
      <c r="S424" s="10">
        <v>5.58</v>
      </c>
      <c r="T424" t="s">
        <v>122</v>
      </c>
      <c r="U424" t="s">
        <v>85</v>
      </c>
      <c r="V424" s="8">
        <v>2</v>
      </c>
      <c r="W424" t="s">
        <v>1270</v>
      </c>
      <c r="X424" t="str">
        <f>_xlfn.XLOOKUP(Cleaned_data[[#This Row],[Customer_ID]],Customers[S],Customers[Loyalty_Tier])</f>
        <v>Bronze</v>
      </c>
      <c r="Y424" s="9">
        <f>_xlfn.XLOOKUP(Cleaned_data[[#This Row],[Customer_ID]],Customers[S],Customers[Signup_Date])</f>
        <v>45844</v>
      </c>
      <c r="Z424" s="12">
        <f>_xlfn.XLOOKUP(Cleaned_data[[#This Row],[SKU]],Products[SKU],Products[Standard_Cost])</f>
        <v>14</v>
      </c>
      <c r="AA424" s="10">
        <f>Cleaned_data[[#This Row],[Quantity]]*Cleaned_data[[#This Row],[Unit_Price]]</f>
        <v>234.08</v>
      </c>
      <c r="AB424" s="10">
        <f>Cleaned_data[[#This Row],[Unit_Price]]*Cleaned_data[[#This Row],[Discount_Pct]]</f>
        <v>3.2186000000000003</v>
      </c>
      <c r="AC424" s="10">
        <f>Cleaned_data[[#This Row],[Gross Sales]]-Cleaned_data[[#This Row],[Discount amount]]</f>
        <v>230.8614</v>
      </c>
      <c r="AD424" s="10">
        <f>Cleaned_data[[#This Row],[Product Cost]]*Cleaned_data[[#This Row],[Quantity]]</f>
        <v>112</v>
      </c>
      <c r="AE424" s="10">
        <f>Cleaned_data[[#This Row],[Net Sales]]-Cleaned_data[[#This Row],[COGS]]</f>
        <v>118.8614</v>
      </c>
      <c r="AF424" s="11">
        <f>Cleaned_data[[#This Row],[Gross Profit]]/Cleaned_data[[#This Row],[Net Sales]]</f>
        <v>0.51486043141036142</v>
      </c>
      <c r="AG424">
        <f>Cleaned_data[[#This Row],[Ship_Date]]-Cleaned_data[[#This Row],[Order_Date]]</f>
        <v>4</v>
      </c>
      <c r="AH424" t="str">
        <f>IF(Cleaned_data[[#This Row],[Delivery Days]]&gt;10,"late","on time")</f>
        <v>on time</v>
      </c>
      <c r="AI424" t="str">
        <f>TEXT(Cleaned_data[[#This Row],[Order_Date]],"mmmm")</f>
        <v>March</v>
      </c>
      <c r="AJ424" s="9" t="str">
        <f>"Q"&amp;ROUNDUP(MONTH(Cleaned_data[[#This Row],[Order_Date]])/3,0)</f>
        <v>Q1</v>
      </c>
    </row>
    <row r="425" spans="1:36">
      <c r="A425" t="s">
        <v>911</v>
      </c>
      <c r="B425" s="9">
        <v>45741</v>
      </c>
      <c r="C425" s="9">
        <v>45751</v>
      </c>
      <c r="D425" t="s">
        <v>210</v>
      </c>
      <c r="E425" t="s">
        <v>211</v>
      </c>
      <c r="F425" t="s">
        <v>89</v>
      </c>
      <c r="G425" t="s">
        <v>75</v>
      </c>
      <c r="H425" t="s">
        <v>212</v>
      </c>
      <c r="I425" t="s">
        <v>213</v>
      </c>
      <c r="J425" t="s">
        <v>109</v>
      </c>
      <c r="K425" t="s">
        <v>90</v>
      </c>
      <c r="L425" t="s">
        <v>197</v>
      </c>
      <c r="M425" t="s">
        <v>198</v>
      </c>
      <c r="N425" t="s">
        <v>120</v>
      </c>
      <c r="O425" t="s">
        <v>121</v>
      </c>
      <c r="P425" s="8">
        <v>4</v>
      </c>
      <c r="Q425" s="10">
        <v>508.72</v>
      </c>
      <c r="R425" s="11">
        <v>0.05</v>
      </c>
      <c r="S425" s="10">
        <v>5.15</v>
      </c>
      <c r="T425" t="s">
        <v>105</v>
      </c>
      <c r="U425" t="s">
        <v>85</v>
      </c>
      <c r="V425" s="8">
        <v>3</v>
      </c>
      <c r="W425" t="s">
        <v>1270</v>
      </c>
      <c r="X425" t="str">
        <f>_xlfn.XLOOKUP(Cleaned_data[[#This Row],[Customer_ID]],Customers[S],Customers[Loyalty_Tier])</f>
        <v>Platinum</v>
      </c>
      <c r="Y425" s="9">
        <f>_xlfn.XLOOKUP(Cleaned_data[[#This Row],[Customer_ID]],Customers[S],Customers[Signup_Date])</f>
        <v>45059</v>
      </c>
      <c r="Z425" s="12">
        <f>_xlfn.XLOOKUP(Cleaned_data[[#This Row],[SKU]],Products[SKU],Products[Standard_Cost])</f>
        <v>310</v>
      </c>
      <c r="AA425" s="10">
        <f>Cleaned_data[[#This Row],[Quantity]]*Cleaned_data[[#This Row],[Unit_Price]]</f>
        <v>2034.88</v>
      </c>
      <c r="AB425" s="10">
        <f>Cleaned_data[[#This Row],[Unit_Price]]*Cleaned_data[[#This Row],[Discount_Pct]]</f>
        <v>25.436000000000003</v>
      </c>
      <c r="AC425" s="10">
        <f>Cleaned_data[[#This Row],[Gross Sales]]-Cleaned_data[[#This Row],[Discount amount]]</f>
        <v>2009.4440000000002</v>
      </c>
      <c r="AD425" s="10">
        <f>Cleaned_data[[#This Row],[Product Cost]]*Cleaned_data[[#This Row],[Quantity]]</f>
        <v>1240</v>
      </c>
      <c r="AE425" s="10">
        <f>Cleaned_data[[#This Row],[Net Sales]]-Cleaned_data[[#This Row],[COGS]]</f>
        <v>769.44400000000019</v>
      </c>
      <c r="AF425" s="11">
        <f>Cleaned_data[[#This Row],[Gross Profit]]/Cleaned_data[[#This Row],[Net Sales]]</f>
        <v>0.3829138806555446</v>
      </c>
      <c r="AG425">
        <f>Cleaned_data[[#This Row],[Ship_Date]]-Cleaned_data[[#This Row],[Order_Date]]</f>
        <v>10</v>
      </c>
      <c r="AH425" t="str">
        <f>IF(Cleaned_data[[#This Row],[Delivery Days]]&gt;10,"late","on time")</f>
        <v>on time</v>
      </c>
      <c r="AI425" t="str">
        <f>TEXT(Cleaned_data[[#This Row],[Order_Date]],"mmmm")</f>
        <v>March</v>
      </c>
      <c r="AJ425" s="9" t="str">
        <f>"Q"&amp;ROUNDUP(MONTH(Cleaned_data[[#This Row],[Order_Date]])/3,0)</f>
        <v>Q1</v>
      </c>
    </row>
    <row r="426" spans="1:36">
      <c r="A426" t="s">
        <v>912</v>
      </c>
      <c r="B426" s="9">
        <v>45742</v>
      </c>
      <c r="C426" s="9">
        <v>45745</v>
      </c>
      <c r="D426" t="s">
        <v>913</v>
      </c>
      <c r="E426" t="s">
        <v>914</v>
      </c>
      <c r="F426" t="s">
        <v>74</v>
      </c>
      <c r="G426" t="s">
        <v>138</v>
      </c>
      <c r="H426" t="s">
        <v>153</v>
      </c>
      <c r="I426" t="s">
        <v>154</v>
      </c>
      <c r="J426" t="s">
        <v>78</v>
      </c>
      <c r="K426" t="s">
        <v>130</v>
      </c>
      <c r="L426" t="s">
        <v>220</v>
      </c>
      <c r="M426" t="s">
        <v>221</v>
      </c>
      <c r="N426" t="s">
        <v>93</v>
      </c>
      <c r="O426" t="s">
        <v>177</v>
      </c>
      <c r="P426" s="8">
        <v>3</v>
      </c>
      <c r="Q426" s="10">
        <v>237.56</v>
      </c>
      <c r="R426" s="11">
        <v>0.06</v>
      </c>
      <c r="S426" s="10">
        <v>21.95</v>
      </c>
      <c r="T426" t="s">
        <v>105</v>
      </c>
      <c r="U426" t="s">
        <v>85</v>
      </c>
      <c r="V426" s="8">
        <v>4</v>
      </c>
      <c r="W426" t="s">
        <v>1270</v>
      </c>
      <c r="X426" t="str">
        <f>_xlfn.XLOOKUP(Cleaned_data[[#This Row],[Customer_ID]],Customers[S],Customers[Loyalty_Tier])</f>
        <v>Gold</v>
      </c>
      <c r="Y426" s="9">
        <f>_xlfn.XLOOKUP(Cleaned_data[[#This Row],[Customer_ID]],Customers[S],Customers[Signup_Date])</f>
        <v>45217</v>
      </c>
      <c r="Z426" s="12">
        <f>_xlfn.XLOOKUP(Cleaned_data[[#This Row],[SKU]],Products[SKU],Products[Standard_Cost])</f>
        <v>118</v>
      </c>
      <c r="AA426" s="10">
        <f>Cleaned_data[[#This Row],[Quantity]]*Cleaned_data[[#This Row],[Unit_Price]]</f>
        <v>712.68000000000006</v>
      </c>
      <c r="AB426" s="10">
        <f>Cleaned_data[[#This Row],[Unit_Price]]*Cleaned_data[[#This Row],[Discount_Pct]]</f>
        <v>14.2536</v>
      </c>
      <c r="AC426" s="10">
        <f>Cleaned_data[[#This Row],[Gross Sales]]-Cleaned_data[[#This Row],[Discount amount]]</f>
        <v>698.42640000000006</v>
      </c>
      <c r="AD426" s="10">
        <f>Cleaned_data[[#This Row],[Product Cost]]*Cleaned_data[[#This Row],[Quantity]]</f>
        <v>354</v>
      </c>
      <c r="AE426" s="10">
        <f>Cleaned_data[[#This Row],[Net Sales]]-Cleaned_data[[#This Row],[COGS]]</f>
        <v>344.42640000000006</v>
      </c>
      <c r="AF426" s="11">
        <f>Cleaned_data[[#This Row],[Gross Profit]]/Cleaned_data[[#This Row],[Net Sales]]</f>
        <v>0.49314630718426455</v>
      </c>
      <c r="AG426">
        <f>Cleaned_data[[#This Row],[Ship_Date]]-Cleaned_data[[#This Row],[Order_Date]]</f>
        <v>3</v>
      </c>
      <c r="AH426" t="str">
        <f>IF(Cleaned_data[[#This Row],[Delivery Days]]&gt;10,"late","on time")</f>
        <v>on time</v>
      </c>
      <c r="AI426" t="str">
        <f>TEXT(Cleaned_data[[#This Row],[Order_Date]],"mmmm")</f>
        <v>March</v>
      </c>
      <c r="AJ426" s="9" t="str">
        <f>"Q"&amp;ROUNDUP(MONTH(Cleaned_data[[#This Row],[Order_Date]])/3,0)</f>
        <v>Q1</v>
      </c>
    </row>
    <row r="427" spans="1:36">
      <c r="A427" t="s">
        <v>915</v>
      </c>
      <c r="B427" s="9">
        <v>45742</v>
      </c>
      <c r="C427" s="9">
        <v>45744</v>
      </c>
      <c r="D427" t="s">
        <v>441</v>
      </c>
      <c r="E427" t="s">
        <v>442</v>
      </c>
      <c r="F427" t="s">
        <v>89</v>
      </c>
      <c r="G427" t="s">
        <v>194</v>
      </c>
      <c r="H427" t="s">
        <v>202</v>
      </c>
      <c r="I427" t="s">
        <v>203</v>
      </c>
      <c r="J427" t="s">
        <v>219</v>
      </c>
      <c r="K427" t="s">
        <v>147</v>
      </c>
      <c r="L427" t="s">
        <v>207</v>
      </c>
      <c r="M427" t="s">
        <v>208</v>
      </c>
      <c r="N427" t="s">
        <v>120</v>
      </c>
      <c r="O427" t="s">
        <v>164</v>
      </c>
      <c r="P427" s="8">
        <v>4</v>
      </c>
      <c r="Q427" s="10">
        <v>1353.04</v>
      </c>
      <c r="R427" s="11">
        <v>0.03</v>
      </c>
      <c r="S427" s="10">
        <v>20.57</v>
      </c>
      <c r="T427" t="s">
        <v>84</v>
      </c>
      <c r="U427" t="s">
        <v>85</v>
      </c>
      <c r="V427" s="8">
        <v>3</v>
      </c>
      <c r="W427" t="s">
        <v>1270</v>
      </c>
      <c r="X427" t="str">
        <f>_xlfn.XLOOKUP(Cleaned_data[[#This Row],[Customer_ID]],Customers[S],Customers[Loyalty_Tier])</f>
        <v>Silver</v>
      </c>
      <c r="Y427" s="9">
        <f>_xlfn.XLOOKUP(Cleaned_data[[#This Row],[Customer_ID]],Customers[S],Customers[Signup_Date])</f>
        <v>45142</v>
      </c>
      <c r="Z427" s="12">
        <f>_xlfn.XLOOKUP(Cleaned_data[[#This Row],[SKU]],Products[SKU],Products[Standard_Cost])</f>
        <v>885</v>
      </c>
      <c r="AA427" s="10">
        <f>Cleaned_data[[#This Row],[Quantity]]*Cleaned_data[[#This Row],[Unit_Price]]</f>
        <v>5412.16</v>
      </c>
      <c r="AB427" s="10">
        <f>Cleaned_data[[#This Row],[Unit_Price]]*Cleaned_data[[#This Row],[Discount_Pct]]</f>
        <v>40.591200000000001</v>
      </c>
      <c r="AC427" s="10">
        <f>Cleaned_data[[#This Row],[Gross Sales]]-Cleaned_data[[#This Row],[Discount amount]]</f>
        <v>5371.5688</v>
      </c>
      <c r="AD427" s="10">
        <f>Cleaned_data[[#This Row],[Product Cost]]*Cleaned_data[[#This Row],[Quantity]]</f>
        <v>3540</v>
      </c>
      <c r="AE427" s="10">
        <f>Cleaned_data[[#This Row],[Net Sales]]-Cleaned_data[[#This Row],[COGS]]</f>
        <v>1831.5688</v>
      </c>
      <c r="AF427" s="11">
        <f>Cleaned_data[[#This Row],[Gross Profit]]/Cleaned_data[[#This Row],[Net Sales]]</f>
        <v>0.34097465157664925</v>
      </c>
      <c r="AG427">
        <f>Cleaned_data[[#This Row],[Ship_Date]]-Cleaned_data[[#This Row],[Order_Date]]</f>
        <v>2</v>
      </c>
      <c r="AH427" t="str">
        <f>IF(Cleaned_data[[#This Row],[Delivery Days]]&gt;10,"late","on time")</f>
        <v>on time</v>
      </c>
      <c r="AI427" t="str">
        <f>TEXT(Cleaned_data[[#This Row],[Order_Date]],"mmmm")</f>
        <v>March</v>
      </c>
      <c r="AJ427" s="9" t="str">
        <f>"Q"&amp;ROUNDUP(MONTH(Cleaned_data[[#This Row],[Order_Date]])/3,0)</f>
        <v>Q1</v>
      </c>
    </row>
    <row r="428" spans="1:36">
      <c r="A428" t="s">
        <v>916</v>
      </c>
      <c r="B428" s="9">
        <v>45742</v>
      </c>
      <c r="C428" s="9">
        <v>45744</v>
      </c>
      <c r="D428" t="s">
        <v>598</v>
      </c>
      <c r="E428" t="s">
        <v>599</v>
      </c>
      <c r="F428" t="s">
        <v>89</v>
      </c>
      <c r="G428" t="s">
        <v>138</v>
      </c>
      <c r="H428" t="s">
        <v>457</v>
      </c>
      <c r="I428" t="s">
        <v>458</v>
      </c>
      <c r="J428" t="s">
        <v>129</v>
      </c>
      <c r="K428" t="s">
        <v>130</v>
      </c>
      <c r="L428" t="s">
        <v>80</v>
      </c>
      <c r="M428" t="s">
        <v>81</v>
      </c>
      <c r="N428" t="s">
        <v>82</v>
      </c>
      <c r="O428" t="s">
        <v>83</v>
      </c>
      <c r="P428" s="8">
        <v>3</v>
      </c>
      <c r="Q428" s="10">
        <v>233.03</v>
      </c>
      <c r="R428" s="11">
        <v>0.03</v>
      </c>
      <c r="S428" s="10">
        <v>11.52</v>
      </c>
      <c r="T428" t="s">
        <v>105</v>
      </c>
      <c r="U428" t="s">
        <v>85</v>
      </c>
      <c r="V428" s="8">
        <v>1</v>
      </c>
      <c r="W428" t="s">
        <v>1270</v>
      </c>
      <c r="X428" t="str">
        <f>_xlfn.XLOOKUP(Cleaned_data[[#This Row],[Customer_ID]],Customers[S],Customers[Loyalty_Tier])</f>
        <v>Platinum</v>
      </c>
      <c r="Y428" s="9">
        <f>_xlfn.XLOOKUP(Cleaned_data[[#This Row],[Customer_ID]],Customers[S],Customers[Signup_Date])</f>
        <v>45908</v>
      </c>
      <c r="Z428" s="12">
        <f>_xlfn.XLOOKUP(Cleaned_data[[#This Row],[SKU]],Products[SKU],Products[Standard_Cost])</f>
        <v>125</v>
      </c>
      <c r="AA428" s="10">
        <f>Cleaned_data[[#This Row],[Quantity]]*Cleaned_data[[#This Row],[Unit_Price]]</f>
        <v>699.09</v>
      </c>
      <c r="AB428" s="10">
        <f>Cleaned_data[[#This Row],[Unit_Price]]*Cleaned_data[[#This Row],[Discount_Pct]]</f>
        <v>6.9908999999999999</v>
      </c>
      <c r="AC428" s="10">
        <f>Cleaned_data[[#This Row],[Gross Sales]]-Cleaned_data[[#This Row],[Discount amount]]</f>
        <v>692.09910000000002</v>
      </c>
      <c r="AD428" s="10">
        <f>Cleaned_data[[#This Row],[Product Cost]]*Cleaned_data[[#This Row],[Quantity]]</f>
        <v>375</v>
      </c>
      <c r="AE428" s="10">
        <f>Cleaned_data[[#This Row],[Net Sales]]-Cleaned_data[[#This Row],[COGS]]</f>
        <v>317.09910000000002</v>
      </c>
      <c r="AF428" s="11">
        <f>Cleaned_data[[#This Row],[Gross Profit]]/Cleaned_data[[#This Row],[Net Sales]]</f>
        <v>0.45817007997843084</v>
      </c>
      <c r="AG428">
        <f>Cleaned_data[[#This Row],[Ship_Date]]-Cleaned_data[[#This Row],[Order_Date]]</f>
        <v>2</v>
      </c>
      <c r="AH428" t="str">
        <f>IF(Cleaned_data[[#This Row],[Delivery Days]]&gt;10,"late","on time")</f>
        <v>on time</v>
      </c>
      <c r="AI428" t="str">
        <f>TEXT(Cleaned_data[[#This Row],[Order_Date]],"mmmm")</f>
        <v>March</v>
      </c>
      <c r="AJ428" s="9" t="str">
        <f>"Q"&amp;ROUNDUP(MONTH(Cleaned_data[[#This Row],[Order_Date]])/3,0)</f>
        <v>Q1</v>
      </c>
    </row>
    <row r="429" spans="1:36">
      <c r="A429" t="s">
        <v>917</v>
      </c>
      <c r="B429" s="9">
        <v>45743</v>
      </c>
      <c r="C429" s="9">
        <v>45761</v>
      </c>
      <c r="D429" t="s">
        <v>366</v>
      </c>
      <c r="E429" t="s">
        <v>342</v>
      </c>
      <c r="F429" t="s">
        <v>89</v>
      </c>
      <c r="G429" t="s">
        <v>194</v>
      </c>
      <c r="H429" t="s">
        <v>230</v>
      </c>
      <c r="I429" t="s">
        <v>231</v>
      </c>
      <c r="J429" t="s">
        <v>78</v>
      </c>
      <c r="K429" t="s">
        <v>168</v>
      </c>
      <c r="L429" t="s">
        <v>91</v>
      </c>
      <c r="M429" t="s">
        <v>92</v>
      </c>
      <c r="N429" t="s">
        <v>93</v>
      </c>
      <c r="O429" t="s">
        <v>94</v>
      </c>
      <c r="P429" s="8">
        <v>2</v>
      </c>
      <c r="Q429" s="10">
        <v>324.63</v>
      </c>
      <c r="R429" s="11">
        <v>0.1</v>
      </c>
      <c r="S429" s="10">
        <v>23.64</v>
      </c>
      <c r="T429" t="s">
        <v>105</v>
      </c>
      <c r="U429" t="s">
        <v>85</v>
      </c>
      <c r="V429" s="8">
        <v>1</v>
      </c>
      <c r="W429" t="s">
        <v>1270</v>
      </c>
      <c r="X429" t="str">
        <f>_xlfn.XLOOKUP(Cleaned_data[[#This Row],[Customer_ID]],Customers[S],Customers[Loyalty_Tier])</f>
        <v>Silver</v>
      </c>
      <c r="Y429" s="9">
        <f>_xlfn.XLOOKUP(Cleaned_data[[#This Row],[Customer_ID]],Customers[S],Customers[Signup_Date])</f>
        <v>45549</v>
      </c>
      <c r="Z429" s="12">
        <f>_xlfn.XLOOKUP(Cleaned_data[[#This Row],[SKU]],Products[SKU],Products[Standard_Cost])</f>
        <v>184</v>
      </c>
      <c r="AA429" s="10">
        <f>Cleaned_data[[#This Row],[Quantity]]*Cleaned_data[[#This Row],[Unit_Price]]</f>
        <v>649.26</v>
      </c>
      <c r="AB429" s="10">
        <f>Cleaned_data[[#This Row],[Unit_Price]]*Cleaned_data[[#This Row],[Discount_Pct]]</f>
        <v>32.463000000000001</v>
      </c>
      <c r="AC429" s="10">
        <f>Cleaned_data[[#This Row],[Gross Sales]]-Cleaned_data[[#This Row],[Discount amount]]</f>
        <v>616.79700000000003</v>
      </c>
      <c r="AD429" s="10">
        <f>Cleaned_data[[#This Row],[Product Cost]]*Cleaned_data[[#This Row],[Quantity]]</f>
        <v>368</v>
      </c>
      <c r="AE429" s="10">
        <f>Cleaned_data[[#This Row],[Net Sales]]-Cleaned_data[[#This Row],[COGS]]</f>
        <v>248.79700000000003</v>
      </c>
      <c r="AF429" s="11">
        <f>Cleaned_data[[#This Row],[Gross Profit]]/Cleaned_data[[#This Row],[Net Sales]]</f>
        <v>0.40336934193908208</v>
      </c>
      <c r="AG429">
        <f>Cleaned_data[[#This Row],[Ship_Date]]-Cleaned_data[[#This Row],[Order_Date]]</f>
        <v>18</v>
      </c>
      <c r="AH429" t="str">
        <f>IF(Cleaned_data[[#This Row],[Delivery Days]]&gt;10,"late","on time")</f>
        <v>late</v>
      </c>
      <c r="AI429" t="str">
        <f>TEXT(Cleaned_data[[#This Row],[Order_Date]],"mmmm")</f>
        <v>March</v>
      </c>
      <c r="AJ429" s="9" t="str">
        <f>"Q"&amp;ROUNDUP(MONTH(Cleaned_data[[#This Row],[Order_Date]])/3,0)</f>
        <v>Q1</v>
      </c>
    </row>
    <row r="430" spans="1:36">
      <c r="A430" t="s">
        <v>918</v>
      </c>
      <c r="B430" s="9">
        <v>45743</v>
      </c>
      <c r="C430" s="9">
        <v>45748</v>
      </c>
      <c r="D430" t="s">
        <v>389</v>
      </c>
      <c r="E430" t="s">
        <v>390</v>
      </c>
      <c r="F430" t="s">
        <v>89</v>
      </c>
      <c r="G430" t="s">
        <v>138</v>
      </c>
      <c r="H430" t="s">
        <v>186</v>
      </c>
      <c r="I430" t="s">
        <v>187</v>
      </c>
      <c r="J430" t="s">
        <v>78</v>
      </c>
      <c r="K430" t="s">
        <v>168</v>
      </c>
      <c r="L430" t="s">
        <v>91</v>
      </c>
      <c r="M430" t="s">
        <v>92</v>
      </c>
      <c r="N430" t="s">
        <v>93</v>
      </c>
      <c r="O430" t="s">
        <v>94</v>
      </c>
      <c r="P430" s="8">
        <v>3</v>
      </c>
      <c r="Q430" s="10">
        <v>314.67</v>
      </c>
      <c r="R430" s="11">
        <v>0.06</v>
      </c>
      <c r="S430" s="10">
        <v>25.82</v>
      </c>
      <c r="T430" t="s">
        <v>105</v>
      </c>
      <c r="U430" t="s">
        <v>85</v>
      </c>
      <c r="V430" s="8">
        <v>2</v>
      </c>
      <c r="W430" t="s">
        <v>1270</v>
      </c>
      <c r="X430" t="str">
        <f>_xlfn.XLOOKUP(Cleaned_data[[#This Row],[Customer_ID]],Customers[S],Customers[Loyalty_Tier])</f>
        <v>Bronze</v>
      </c>
      <c r="Y430" s="9">
        <f>_xlfn.XLOOKUP(Cleaned_data[[#This Row],[Customer_ID]],Customers[S],Customers[Signup_Date])</f>
        <v>45493</v>
      </c>
      <c r="Z430" s="12">
        <f>_xlfn.XLOOKUP(Cleaned_data[[#This Row],[SKU]],Products[SKU],Products[Standard_Cost])</f>
        <v>184</v>
      </c>
      <c r="AA430" s="10">
        <f>Cleaned_data[[#This Row],[Quantity]]*Cleaned_data[[#This Row],[Unit_Price]]</f>
        <v>944.01</v>
      </c>
      <c r="AB430" s="10">
        <f>Cleaned_data[[#This Row],[Unit_Price]]*Cleaned_data[[#This Row],[Discount_Pct]]</f>
        <v>18.880199999999999</v>
      </c>
      <c r="AC430" s="10">
        <f>Cleaned_data[[#This Row],[Gross Sales]]-Cleaned_data[[#This Row],[Discount amount]]</f>
        <v>925.12980000000005</v>
      </c>
      <c r="AD430" s="10">
        <f>Cleaned_data[[#This Row],[Product Cost]]*Cleaned_data[[#This Row],[Quantity]]</f>
        <v>552</v>
      </c>
      <c r="AE430" s="10">
        <f>Cleaned_data[[#This Row],[Net Sales]]-Cleaned_data[[#This Row],[COGS]]</f>
        <v>373.12980000000005</v>
      </c>
      <c r="AF430" s="11">
        <f>Cleaned_data[[#This Row],[Gross Profit]]/Cleaned_data[[#This Row],[Net Sales]]</f>
        <v>0.40332697098288267</v>
      </c>
      <c r="AG430">
        <f>Cleaned_data[[#This Row],[Ship_Date]]-Cleaned_data[[#This Row],[Order_Date]]</f>
        <v>5</v>
      </c>
      <c r="AH430" t="str">
        <f>IF(Cleaned_data[[#This Row],[Delivery Days]]&gt;10,"late","on time")</f>
        <v>on time</v>
      </c>
      <c r="AI430" t="str">
        <f>TEXT(Cleaned_data[[#This Row],[Order_Date]],"mmmm")</f>
        <v>March</v>
      </c>
      <c r="AJ430" s="9" t="str">
        <f>"Q"&amp;ROUNDUP(MONTH(Cleaned_data[[#This Row],[Order_Date]])/3,0)</f>
        <v>Q1</v>
      </c>
    </row>
    <row r="431" spans="1:36">
      <c r="A431" t="s">
        <v>919</v>
      </c>
      <c r="B431" s="9">
        <v>45743</v>
      </c>
      <c r="C431" s="9">
        <v>45745</v>
      </c>
      <c r="D431" t="s">
        <v>873</v>
      </c>
      <c r="E431" t="s">
        <v>874</v>
      </c>
      <c r="F431" t="s">
        <v>152</v>
      </c>
      <c r="G431" t="s">
        <v>194</v>
      </c>
      <c r="H431" t="s">
        <v>225</v>
      </c>
      <c r="I431" t="s">
        <v>226</v>
      </c>
      <c r="J431" t="s">
        <v>219</v>
      </c>
      <c r="K431" t="s">
        <v>90</v>
      </c>
      <c r="L431" t="s">
        <v>220</v>
      </c>
      <c r="M431" t="s">
        <v>221</v>
      </c>
      <c r="N431" t="s">
        <v>93</v>
      </c>
      <c r="O431" t="s">
        <v>177</v>
      </c>
      <c r="P431" s="8">
        <v>4</v>
      </c>
      <c r="Q431" s="10">
        <v>229.48</v>
      </c>
      <c r="R431" s="11">
        <v>0.23</v>
      </c>
      <c r="S431" s="10">
        <v>24.62</v>
      </c>
      <c r="T431" t="s">
        <v>122</v>
      </c>
      <c r="U431" t="s">
        <v>85</v>
      </c>
      <c r="V431" s="8">
        <v>5</v>
      </c>
      <c r="W431" t="s">
        <v>1270</v>
      </c>
      <c r="X431" t="str">
        <f>_xlfn.XLOOKUP(Cleaned_data[[#This Row],[Customer_ID]],Customers[S],Customers[Loyalty_Tier])</f>
        <v>Bronze</v>
      </c>
      <c r="Y431" s="9">
        <f>_xlfn.XLOOKUP(Cleaned_data[[#This Row],[Customer_ID]],Customers[S],Customers[Signup_Date])</f>
        <v>45403</v>
      </c>
      <c r="Z431" s="12">
        <f>_xlfn.XLOOKUP(Cleaned_data[[#This Row],[SKU]],Products[SKU],Products[Standard_Cost])</f>
        <v>118</v>
      </c>
      <c r="AA431" s="10">
        <f>Cleaned_data[[#This Row],[Quantity]]*Cleaned_data[[#This Row],[Unit_Price]]</f>
        <v>917.92</v>
      </c>
      <c r="AB431" s="10">
        <f>Cleaned_data[[#This Row],[Unit_Price]]*Cleaned_data[[#This Row],[Discount_Pct]]</f>
        <v>52.7804</v>
      </c>
      <c r="AC431" s="10">
        <f>Cleaned_data[[#This Row],[Gross Sales]]-Cleaned_data[[#This Row],[Discount amount]]</f>
        <v>865.13959999999997</v>
      </c>
      <c r="AD431" s="10">
        <f>Cleaned_data[[#This Row],[Product Cost]]*Cleaned_data[[#This Row],[Quantity]]</f>
        <v>472</v>
      </c>
      <c r="AE431" s="10">
        <f>Cleaned_data[[#This Row],[Net Sales]]-Cleaned_data[[#This Row],[COGS]]</f>
        <v>393.13959999999997</v>
      </c>
      <c r="AF431" s="11">
        <f>Cleaned_data[[#This Row],[Gross Profit]]/Cleaned_data[[#This Row],[Net Sales]]</f>
        <v>0.4544233092555236</v>
      </c>
      <c r="AG431">
        <f>Cleaned_data[[#This Row],[Ship_Date]]-Cleaned_data[[#This Row],[Order_Date]]</f>
        <v>2</v>
      </c>
      <c r="AH431" t="str">
        <f>IF(Cleaned_data[[#This Row],[Delivery Days]]&gt;10,"late","on time")</f>
        <v>on time</v>
      </c>
      <c r="AI431" t="str">
        <f>TEXT(Cleaned_data[[#This Row],[Order_Date]],"mmmm")</f>
        <v>March</v>
      </c>
      <c r="AJ431" s="9" t="str">
        <f>"Q"&amp;ROUNDUP(MONTH(Cleaned_data[[#This Row],[Order_Date]])/3,0)</f>
        <v>Q1</v>
      </c>
    </row>
    <row r="432" spans="1:36">
      <c r="A432" t="s">
        <v>920</v>
      </c>
      <c r="B432" s="9">
        <v>45744</v>
      </c>
      <c r="C432" s="9">
        <v>45750</v>
      </c>
      <c r="D432" t="s">
        <v>576</v>
      </c>
      <c r="E432" t="s">
        <v>577</v>
      </c>
      <c r="F432" t="s">
        <v>89</v>
      </c>
      <c r="G432" t="s">
        <v>126</v>
      </c>
      <c r="H432" t="s">
        <v>291</v>
      </c>
      <c r="I432" t="s">
        <v>292</v>
      </c>
      <c r="J432" t="s">
        <v>129</v>
      </c>
      <c r="K432" t="s">
        <v>79</v>
      </c>
      <c r="L432" t="s">
        <v>220</v>
      </c>
      <c r="M432" t="s">
        <v>221</v>
      </c>
      <c r="N432" t="s">
        <v>93</v>
      </c>
      <c r="O432" t="s">
        <v>177</v>
      </c>
      <c r="P432" s="8">
        <v>2</v>
      </c>
      <c r="Q432" s="10">
        <v>220.29</v>
      </c>
      <c r="R432" s="11">
        <v>0.02</v>
      </c>
      <c r="S432" s="10">
        <v>29.68</v>
      </c>
      <c r="T432" t="s">
        <v>105</v>
      </c>
      <c r="U432" t="s">
        <v>85</v>
      </c>
      <c r="V432" s="8">
        <v>3</v>
      </c>
      <c r="W432" t="s">
        <v>1270</v>
      </c>
      <c r="X432" t="str">
        <f>_xlfn.XLOOKUP(Cleaned_data[[#This Row],[Customer_ID]],Customers[S],Customers[Loyalty_Tier])</f>
        <v>Bronze</v>
      </c>
      <c r="Y432" s="9">
        <f>_xlfn.XLOOKUP(Cleaned_data[[#This Row],[Customer_ID]],Customers[S],Customers[Signup_Date])</f>
        <v>44876</v>
      </c>
      <c r="Z432" s="12">
        <f>_xlfn.XLOOKUP(Cleaned_data[[#This Row],[SKU]],Products[SKU],Products[Standard_Cost])</f>
        <v>118</v>
      </c>
      <c r="AA432" s="10">
        <f>Cleaned_data[[#This Row],[Quantity]]*Cleaned_data[[#This Row],[Unit_Price]]</f>
        <v>440.58</v>
      </c>
      <c r="AB432" s="10">
        <f>Cleaned_data[[#This Row],[Unit_Price]]*Cleaned_data[[#This Row],[Discount_Pct]]</f>
        <v>4.4058000000000002</v>
      </c>
      <c r="AC432" s="10">
        <f>Cleaned_data[[#This Row],[Gross Sales]]-Cleaned_data[[#This Row],[Discount amount]]</f>
        <v>436.17419999999998</v>
      </c>
      <c r="AD432" s="10">
        <f>Cleaned_data[[#This Row],[Product Cost]]*Cleaned_data[[#This Row],[Quantity]]</f>
        <v>236</v>
      </c>
      <c r="AE432" s="10">
        <f>Cleaned_data[[#This Row],[Net Sales]]-Cleaned_data[[#This Row],[COGS]]</f>
        <v>200.17419999999998</v>
      </c>
      <c r="AF432" s="11">
        <f>Cleaned_data[[#This Row],[Gross Profit]]/Cleaned_data[[#This Row],[Net Sales]]</f>
        <v>0.45893177542367247</v>
      </c>
      <c r="AG432">
        <f>Cleaned_data[[#This Row],[Ship_Date]]-Cleaned_data[[#This Row],[Order_Date]]</f>
        <v>6</v>
      </c>
      <c r="AH432" t="str">
        <f>IF(Cleaned_data[[#This Row],[Delivery Days]]&gt;10,"late","on time")</f>
        <v>on time</v>
      </c>
      <c r="AI432" t="str">
        <f>TEXT(Cleaned_data[[#This Row],[Order_Date]],"mmmm")</f>
        <v>March</v>
      </c>
      <c r="AJ432" s="9" t="str">
        <f>"Q"&amp;ROUNDUP(MONTH(Cleaned_data[[#This Row],[Order_Date]])/3,0)</f>
        <v>Q1</v>
      </c>
    </row>
    <row r="433" spans="1:36">
      <c r="A433" t="s">
        <v>921</v>
      </c>
      <c r="B433" s="9">
        <v>45745</v>
      </c>
      <c r="C433" s="9">
        <v>45752</v>
      </c>
      <c r="D433" t="s">
        <v>576</v>
      </c>
      <c r="E433" t="s">
        <v>577</v>
      </c>
      <c r="F433" t="s">
        <v>89</v>
      </c>
      <c r="G433" t="s">
        <v>126</v>
      </c>
      <c r="H433" t="s">
        <v>291</v>
      </c>
      <c r="I433" t="s">
        <v>292</v>
      </c>
      <c r="J433" t="s">
        <v>219</v>
      </c>
      <c r="K433" t="s">
        <v>100</v>
      </c>
      <c r="L433" t="s">
        <v>234</v>
      </c>
      <c r="M433" t="s">
        <v>235</v>
      </c>
      <c r="N433" t="s">
        <v>93</v>
      </c>
      <c r="O433" t="s">
        <v>236</v>
      </c>
      <c r="P433" s="8">
        <v>3</v>
      </c>
      <c r="Q433" s="10">
        <v>142.58000000000001</v>
      </c>
      <c r="R433" s="11">
        <v>0.09</v>
      </c>
      <c r="S433" s="10">
        <v>20.74</v>
      </c>
      <c r="T433" t="s">
        <v>84</v>
      </c>
      <c r="U433" t="s">
        <v>85</v>
      </c>
      <c r="V433" s="8">
        <v>4</v>
      </c>
      <c r="W433" t="s">
        <v>1270</v>
      </c>
      <c r="X433" t="str">
        <f>_xlfn.XLOOKUP(Cleaned_data[[#This Row],[Customer_ID]],Customers[S],Customers[Loyalty_Tier])</f>
        <v>Bronze</v>
      </c>
      <c r="Y433" s="9">
        <f>_xlfn.XLOOKUP(Cleaned_data[[#This Row],[Customer_ID]],Customers[S],Customers[Signup_Date])</f>
        <v>44876</v>
      </c>
      <c r="Z433" s="12">
        <f>_xlfn.XLOOKUP(Cleaned_data[[#This Row],[SKU]],Products[SKU],Products[Standard_Cost])</f>
        <v>82</v>
      </c>
      <c r="AA433" s="10">
        <f>Cleaned_data[[#This Row],[Quantity]]*Cleaned_data[[#This Row],[Unit_Price]]</f>
        <v>427.74</v>
      </c>
      <c r="AB433" s="10">
        <f>Cleaned_data[[#This Row],[Unit_Price]]*Cleaned_data[[#This Row],[Discount_Pct]]</f>
        <v>12.8322</v>
      </c>
      <c r="AC433" s="10">
        <f>Cleaned_data[[#This Row],[Gross Sales]]-Cleaned_data[[#This Row],[Discount amount]]</f>
        <v>414.90780000000001</v>
      </c>
      <c r="AD433" s="10">
        <f>Cleaned_data[[#This Row],[Product Cost]]*Cleaned_data[[#This Row],[Quantity]]</f>
        <v>246</v>
      </c>
      <c r="AE433" s="10">
        <f>Cleaned_data[[#This Row],[Net Sales]]-Cleaned_data[[#This Row],[COGS]]</f>
        <v>168.90780000000001</v>
      </c>
      <c r="AF433" s="11">
        <f>Cleaned_data[[#This Row],[Gross Profit]]/Cleaned_data[[#This Row],[Net Sales]]</f>
        <v>0.40709719123140131</v>
      </c>
      <c r="AG433">
        <f>Cleaned_data[[#This Row],[Ship_Date]]-Cleaned_data[[#This Row],[Order_Date]]</f>
        <v>7</v>
      </c>
      <c r="AH433" t="str">
        <f>IF(Cleaned_data[[#This Row],[Delivery Days]]&gt;10,"late","on time")</f>
        <v>on time</v>
      </c>
      <c r="AI433" t="str">
        <f>TEXT(Cleaned_data[[#This Row],[Order_Date]],"mmmm")</f>
        <v>March</v>
      </c>
      <c r="AJ433" s="9" t="str">
        <f>"Q"&amp;ROUNDUP(MONTH(Cleaned_data[[#This Row],[Order_Date]])/3,0)</f>
        <v>Q1</v>
      </c>
    </row>
    <row r="434" spans="1:36">
      <c r="A434" t="s">
        <v>922</v>
      </c>
      <c r="B434" s="9">
        <v>45745</v>
      </c>
      <c r="C434" s="9">
        <v>45747</v>
      </c>
      <c r="D434" t="s">
        <v>427</v>
      </c>
      <c r="E434" t="s">
        <v>428</v>
      </c>
      <c r="F434" t="s">
        <v>152</v>
      </c>
      <c r="G434" t="s">
        <v>194</v>
      </c>
      <c r="H434" t="s">
        <v>240</v>
      </c>
      <c r="I434" t="s">
        <v>241</v>
      </c>
      <c r="J434" t="s">
        <v>129</v>
      </c>
      <c r="K434" t="s">
        <v>79</v>
      </c>
      <c r="L434" t="s">
        <v>234</v>
      </c>
      <c r="M434" t="s">
        <v>235</v>
      </c>
      <c r="N434" t="s">
        <v>93</v>
      </c>
      <c r="O434" t="s">
        <v>236</v>
      </c>
      <c r="P434" s="8">
        <v>1</v>
      </c>
      <c r="Q434" s="10">
        <v>144.25</v>
      </c>
      <c r="R434" s="11">
        <v>0.1</v>
      </c>
      <c r="S434" s="10">
        <v>28.83</v>
      </c>
      <c r="T434" t="s">
        <v>122</v>
      </c>
      <c r="U434" t="s">
        <v>85</v>
      </c>
      <c r="V434" s="8">
        <v>5</v>
      </c>
      <c r="W434" t="s">
        <v>1270</v>
      </c>
      <c r="X434" t="str">
        <f>_xlfn.XLOOKUP(Cleaned_data[[#This Row],[Customer_ID]],Customers[S],Customers[Loyalty_Tier])</f>
        <v>Gold</v>
      </c>
      <c r="Y434" s="9">
        <f>_xlfn.XLOOKUP(Cleaned_data[[#This Row],[Customer_ID]],Customers[S],Customers[Signup_Date])</f>
        <v>45885</v>
      </c>
      <c r="Z434" s="12">
        <f>_xlfn.XLOOKUP(Cleaned_data[[#This Row],[SKU]],Products[SKU],Products[Standard_Cost])</f>
        <v>82</v>
      </c>
      <c r="AA434" s="10">
        <f>Cleaned_data[[#This Row],[Quantity]]*Cleaned_data[[#This Row],[Unit_Price]]</f>
        <v>144.25</v>
      </c>
      <c r="AB434" s="10">
        <f>Cleaned_data[[#This Row],[Unit_Price]]*Cleaned_data[[#This Row],[Discount_Pct]]</f>
        <v>14.425000000000001</v>
      </c>
      <c r="AC434" s="10">
        <f>Cleaned_data[[#This Row],[Gross Sales]]-Cleaned_data[[#This Row],[Discount amount]]</f>
        <v>129.82499999999999</v>
      </c>
      <c r="AD434" s="10">
        <f>Cleaned_data[[#This Row],[Product Cost]]*Cleaned_data[[#This Row],[Quantity]]</f>
        <v>82</v>
      </c>
      <c r="AE434" s="10">
        <f>Cleaned_data[[#This Row],[Net Sales]]-Cleaned_data[[#This Row],[COGS]]</f>
        <v>47.824999999999989</v>
      </c>
      <c r="AF434" s="11">
        <f>Cleaned_data[[#This Row],[Gross Profit]]/Cleaned_data[[#This Row],[Net Sales]]</f>
        <v>0.36838051222799917</v>
      </c>
      <c r="AG434">
        <f>Cleaned_data[[#This Row],[Ship_Date]]-Cleaned_data[[#This Row],[Order_Date]]</f>
        <v>2</v>
      </c>
      <c r="AH434" t="str">
        <f>IF(Cleaned_data[[#This Row],[Delivery Days]]&gt;10,"late","on time")</f>
        <v>on time</v>
      </c>
      <c r="AI434" t="str">
        <f>TEXT(Cleaned_data[[#This Row],[Order_Date]],"mmmm")</f>
        <v>March</v>
      </c>
      <c r="AJ434" s="9" t="str">
        <f>"Q"&amp;ROUNDUP(MONTH(Cleaned_data[[#This Row],[Order_Date]])/3,0)</f>
        <v>Q1</v>
      </c>
    </row>
    <row r="435" spans="1:36">
      <c r="A435" t="s">
        <v>923</v>
      </c>
      <c r="B435" s="9">
        <v>45745</v>
      </c>
      <c r="C435" s="9">
        <v>45748</v>
      </c>
      <c r="D435" t="s">
        <v>427</v>
      </c>
      <c r="E435" t="s">
        <v>428</v>
      </c>
      <c r="F435" t="s">
        <v>152</v>
      </c>
      <c r="G435" t="s">
        <v>194</v>
      </c>
      <c r="H435" t="s">
        <v>240</v>
      </c>
      <c r="I435" t="s">
        <v>241</v>
      </c>
      <c r="J435" t="s">
        <v>109</v>
      </c>
      <c r="K435" t="s">
        <v>168</v>
      </c>
      <c r="L435" t="s">
        <v>261</v>
      </c>
      <c r="M435" t="s">
        <v>262</v>
      </c>
      <c r="N435" t="s">
        <v>103</v>
      </c>
      <c r="O435" t="s">
        <v>104</v>
      </c>
      <c r="P435" s="8">
        <v>10</v>
      </c>
      <c r="Q435" s="10">
        <v>25.97</v>
      </c>
      <c r="R435" s="11">
        <v>0.11</v>
      </c>
      <c r="S435" s="10">
        <v>14.68</v>
      </c>
      <c r="T435" t="s">
        <v>134</v>
      </c>
      <c r="U435" t="s">
        <v>85</v>
      </c>
      <c r="V435" s="8">
        <v>1</v>
      </c>
      <c r="W435" t="s">
        <v>1270</v>
      </c>
      <c r="X435" t="str">
        <f>_xlfn.XLOOKUP(Cleaned_data[[#This Row],[Customer_ID]],Customers[S],Customers[Loyalty_Tier])</f>
        <v>Gold</v>
      </c>
      <c r="Y435" s="9">
        <f>_xlfn.XLOOKUP(Cleaned_data[[#This Row],[Customer_ID]],Customers[S],Customers[Signup_Date])</f>
        <v>45885</v>
      </c>
      <c r="Z435" s="12">
        <f>_xlfn.XLOOKUP(Cleaned_data[[#This Row],[SKU]],Products[SKU],Products[Standard_Cost])</f>
        <v>12</v>
      </c>
      <c r="AA435" s="10">
        <f>Cleaned_data[[#This Row],[Quantity]]*Cleaned_data[[#This Row],[Unit_Price]]</f>
        <v>259.7</v>
      </c>
      <c r="AB435" s="10">
        <f>Cleaned_data[[#This Row],[Unit_Price]]*Cleaned_data[[#This Row],[Discount_Pct]]</f>
        <v>2.8567</v>
      </c>
      <c r="AC435" s="10">
        <f>Cleaned_data[[#This Row],[Gross Sales]]-Cleaned_data[[#This Row],[Discount amount]]</f>
        <v>256.8433</v>
      </c>
      <c r="AD435" s="10">
        <f>Cleaned_data[[#This Row],[Product Cost]]*Cleaned_data[[#This Row],[Quantity]]</f>
        <v>120</v>
      </c>
      <c r="AE435" s="10">
        <f>Cleaned_data[[#This Row],[Net Sales]]-Cleaned_data[[#This Row],[COGS]]</f>
        <v>136.8433</v>
      </c>
      <c r="AF435" s="11">
        <f>Cleaned_data[[#This Row],[Gross Profit]]/Cleaned_data[[#This Row],[Net Sales]]</f>
        <v>0.53278905854269898</v>
      </c>
      <c r="AG435">
        <f>Cleaned_data[[#This Row],[Ship_Date]]-Cleaned_data[[#This Row],[Order_Date]]</f>
        <v>3</v>
      </c>
      <c r="AH435" t="str">
        <f>IF(Cleaned_data[[#This Row],[Delivery Days]]&gt;10,"late","on time")</f>
        <v>on time</v>
      </c>
      <c r="AI435" t="str">
        <f>TEXT(Cleaned_data[[#This Row],[Order_Date]],"mmmm")</f>
        <v>March</v>
      </c>
      <c r="AJ435" s="9" t="str">
        <f>"Q"&amp;ROUNDUP(MONTH(Cleaned_data[[#This Row],[Order_Date]])/3,0)</f>
        <v>Q1</v>
      </c>
    </row>
    <row r="436" spans="1:36">
      <c r="A436" t="s">
        <v>924</v>
      </c>
      <c r="B436" s="9">
        <v>45746</v>
      </c>
      <c r="C436" s="9">
        <v>45751</v>
      </c>
      <c r="D436" t="s">
        <v>478</v>
      </c>
      <c r="E436" t="s">
        <v>479</v>
      </c>
      <c r="F436" t="s">
        <v>74</v>
      </c>
      <c r="G436" t="s">
        <v>194</v>
      </c>
      <c r="H436" t="s">
        <v>240</v>
      </c>
      <c r="I436" t="s">
        <v>241</v>
      </c>
      <c r="J436" t="s">
        <v>219</v>
      </c>
      <c r="K436" t="s">
        <v>147</v>
      </c>
      <c r="L436" t="s">
        <v>249</v>
      </c>
      <c r="M436" t="s">
        <v>250</v>
      </c>
      <c r="N436" t="s">
        <v>103</v>
      </c>
      <c r="O436" t="s">
        <v>251</v>
      </c>
      <c r="P436" s="8">
        <v>10</v>
      </c>
      <c r="Q436" s="10">
        <v>21.08</v>
      </c>
      <c r="R436" s="11">
        <v>0.34</v>
      </c>
      <c r="S436" s="10">
        <v>7.43</v>
      </c>
      <c r="T436" t="s">
        <v>134</v>
      </c>
      <c r="U436" t="s">
        <v>85</v>
      </c>
      <c r="V436" s="8">
        <v>5</v>
      </c>
      <c r="W436" t="s">
        <v>1270</v>
      </c>
      <c r="X436" t="str">
        <f>_xlfn.XLOOKUP(Cleaned_data[[#This Row],[Customer_ID]],Customers[S],Customers[Loyalty_Tier])</f>
        <v>Gold</v>
      </c>
      <c r="Y436" s="9">
        <f>_xlfn.XLOOKUP(Cleaned_data[[#This Row],[Customer_ID]],Customers[S],Customers[Signup_Date])</f>
        <v>45756</v>
      </c>
      <c r="Z436" s="12">
        <f>_xlfn.XLOOKUP(Cleaned_data[[#This Row],[SKU]],Products[SKU],Products[Standard_Cost])</f>
        <v>10</v>
      </c>
      <c r="AA436" s="10">
        <f>Cleaned_data[[#This Row],[Quantity]]*Cleaned_data[[#This Row],[Unit_Price]]</f>
        <v>210.79999999999998</v>
      </c>
      <c r="AB436" s="10">
        <f>Cleaned_data[[#This Row],[Unit_Price]]*Cleaned_data[[#This Row],[Discount_Pct]]</f>
        <v>7.1672000000000002</v>
      </c>
      <c r="AC436" s="10">
        <f>Cleaned_data[[#This Row],[Gross Sales]]-Cleaned_data[[#This Row],[Discount amount]]</f>
        <v>203.63279999999997</v>
      </c>
      <c r="AD436" s="10">
        <f>Cleaned_data[[#This Row],[Product Cost]]*Cleaned_data[[#This Row],[Quantity]]</f>
        <v>100</v>
      </c>
      <c r="AE436" s="10">
        <f>Cleaned_data[[#This Row],[Net Sales]]-Cleaned_data[[#This Row],[COGS]]</f>
        <v>103.63279999999997</v>
      </c>
      <c r="AF436" s="11">
        <f>Cleaned_data[[#This Row],[Gross Profit]]/Cleaned_data[[#This Row],[Net Sales]]</f>
        <v>0.50891997752817808</v>
      </c>
      <c r="AG436">
        <f>Cleaned_data[[#This Row],[Ship_Date]]-Cleaned_data[[#This Row],[Order_Date]]</f>
        <v>5</v>
      </c>
      <c r="AH436" t="str">
        <f>IF(Cleaned_data[[#This Row],[Delivery Days]]&gt;10,"late","on time")</f>
        <v>on time</v>
      </c>
      <c r="AI436" t="str">
        <f>TEXT(Cleaned_data[[#This Row],[Order_Date]],"mmmm")</f>
        <v>March</v>
      </c>
      <c r="AJ436" s="9" t="str">
        <f>"Q"&amp;ROUNDUP(MONTH(Cleaned_data[[#This Row],[Order_Date]])/3,0)</f>
        <v>Q1</v>
      </c>
    </row>
    <row r="437" spans="1:36">
      <c r="A437" t="s">
        <v>925</v>
      </c>
      <c r="B437" s="9">
        <v>45746</v>
      </c>
      <c r="C437" s="9">
        <v>45751</v>
      </c>
      <c r="D437" t="s">
        <v>748</v>
      </c>
      <c r="E437" t="s">
        <v>749</v>
      </c>
      <c r="F437" t="s">
        <v>152</v>
      </c>
      <c r="G437" t="s">
        <v>138</v>
      </c>
      <c r="H437" t="s">
        <v>153</v>
      </c>
      <c r="I437" t="s">
        <v>154</v>
      </c>
      <c r="J437" t="s">
        <v>109</v>
      </c>
      <c r="K437" t="s">
        <v>168</v>
      </c>
      <c r="L437" t="s">
        <v>254</v>
      </c>
      <c r="M437" t="s">
        <v>255</v>
      </c>
      <c r="N437" t="s">
        <v>82</v>
      </c>
      <c r="O437" t="s">
        <v>83</v>
      </c>
      <c r="P437" s="8">
        <v>5</v>
      </c>
      <c r="Q437" s="10">
        <v>89.68</v>
      </c>
      <c r="R437" s="11">
        <v>0.03</v>
      </c>
      <c r="S437" s="10">
        <v>15.63</v>
      </c>
      <c r="T437" t="s">
        <v>134</v>
      </c>
      <c r="U437" t="s">
        <v>85</v>
      </c>
      <c r="W437" t="s">
        <v>1270</v>
      </c>
      <c r="X437" t="str">
        <f>_xlfn.XLOOKUP(Cleaned_data[[#This Row],[Customer_ID]],Customers[S],Customers[Loyalty_Tier])</f>
        <v>Platinum</v>
      </c>
      <c r="Y437" s="9">
        <f>_xlfn.XLOOKUP(Cleaned_data[[#This Row],[Customer_ID]],Customers[S],Customers[Signup_Date])</f>
        <v>45599</v>
      </c>
      <c r="Z437" s="12">
        <f>_xlfn.XLOOKUP(Cleaned_data[[#This Row],[SKU]],Products[SKU],Products[Standard_Cost])</f>
        <v>48</v>
      </c>
      <c r="AA437" s="10">
        <f>Cleaned_data[[#This Row],[Quantity]]*Cleaned_data[[#This Row],[Unit_Price]]</f>
        <v>448.40000000000003</v>
      </c>
      <c r="AB437" s="10">
        <f>Cleaned_data[[#This Row],[Unit_Price]]*Cleaned_data[[#This Row],[Discount_Pct]]</f>
        <v>2.6903999999999999</v>
      </c>
      <c r="AC437" s="10">
        <f>Cleaned_data[[#This Row],[Gross Sales]]-Cleaned_data[[#This Row],[Discount amount]]</f>
        <v>445.70960000000002</v>
      </c>
      <c r="AD437" s="10">
        <f>Cleaned_data[[#This Row],[Product Cost]]*Cleaned_data[[#This Row],[Quantity]]</f>
        <v>240</v>
      </c>
      <c r="AE437" s="10">
        <f>Cleaned_data[[#This Row],[Net Sales]]-Cleaned_data[[#This Row],[COGS]]</f>
        <v>205.70960000000002</v>
      </c>
      <c r="AF437" s="11">
        <f>Cleaned_data[[#This Row],[Gross Profit]]/Cleaned_data[[#This Row],[Net Sales]]</f>
        <v>0.46153280072944358</v>
      </c>
      <c r="AG437">
        <f>Cleaned_data[[#This Row],[Ship_Date]]-Cleaned_data[[#This Row],[Order_Date]]</f>
        <v>5</v>
      </c>
      <c r="AH437" t="str">
        <f>IF(Cleaned_data[[#This Row],[Delivery Days]]&gt;10,"late","on time")</f>
        <v>on time</v>
      </c>
      <c r="AI437" t="str">
        <f>TEXT(Cleaned_data[[#This Row],[Order_Date]],"mmmm")</f>
        <v>March</v>
      </c>
      <c r="AJ437" s="9" t="str">
        <f>"Q"&amp;ROUNDUP(MONTH(Cleaned_data[[#This Row],[Order_Date]])/3,0)</f>
        <v>Q1</v>
      </c>
    </row>
    <row r="438" spans="1:36">
      <c r="A438" t="s">
        <v>926</v>
      </c>
      <c r="B438" s="9">
        <v>45747</v>
      </c>
      <c r="C438" s="9">
        <v>45750</v>
      </c>
      <c r="D438" t="s">
        <v>720</v>
      </c>
      <c r="E438" t="s">
        <v>721</v>
      </c>
      <c r="F438" t="s">
        <v>89</v>
      </c>
      <c r="G438" t="s">
        <v>75</v>
      </c>
      <c r="H438" t="s">
        <v>1271</v>
      </c>
      <c r="I438" t="s">
        <v>213</v>
      </c>
      <c r="J438" t="s">
        <v>78</v>
      </c>
      <c r="K438" t="s">
        <v>100</v>
      </c>
      <c r="L438" t="s">
        <v>431</v>
      </c>
      <c r="M438" t="s">
        <v>432</v>
      </c>
      <c r="N438" t="s">
        <v>103</v>
      </c>
      <c r="O438" t="s">
        <v>251</v>
      </c>
      <c r="P438" s="8">
        <v>1</v>
      </c>
      <c r="Q438" s="10">
        <v>39.43</v>
      </c>
      <c r="R438" s="11">
        <v>0.04</v>
      </c>
      <c r="S438" s="10">
        <v>14.88</v>
      </c>
      <c r="T438" t="s">
        <v>134</v>
      </c>
      <c r="U438" t="s">
        <v>85</v>
      </c>
      <c r="V438" s="8">
        <v>4</v>
      </c>
      <c r="W438" t="s">
        <v>1279</v>
      </c>
      <c r="X438" t="str">
        <f>_xlfn.XLOOKUP(Cleaned_data[[#This Row],[Customer_ID]],Customers[S],Customers[Loyalty_Tier])</f>
        <v>Gold</v>
      </c>
      <c r="Y438" s="9">
        <f>_xlfn.XLOOKUP(Cleaned_data[[#This Row],[Customer_ID]],Customers[S],Customers[Signup_Date])</f>
        <v>44538</v>
      </c>
      <c r="Z438" s="12">
        <f>_xlfn.XLOOKUP(Cleaned_data[[#This Row],[SKU]],Products[SKU],Products[Standard_Cost])</f>
        <v>20</v>
      </c>
      <c r="AA438" s="10">
        <f>Cleaned_data[[#This Row],[Quantity]]*Cleaned_data[[#This Row],[Unit_Price]]</f>
        <v>39.43</v>
      </c>
      <c r="AB438" s="10">
        <f>Cleaned_data[[#This Row],[Unit_Price]]*Cleaned_data[[#This Row],[Discount_Pct]]</f>
        <v>1.5771999999999999</v>
      </c>
      <c r="AC438" s="10">
        <f>Cleaned_data[[#This Row],[Gross Sales]]-Cleaned_data[[#This Row],[Discount amount]]</f>
        <v>37.852800000000002</v>
      </c>
      <c r="AD438" s="10">
        <f>Cleaned_data[[#This Row],[Product Cost]]*Cleaned_data[[#This Row],[Quantity]]</f>
        <v>20</v>
      </c>
      <c r="AE438" s="10">
        <f>Cleaned_data[[#This Row],[Net Sales]]-Cleaned_data[[#This Row],[COGS]]</f>
        <v>17.852800000000002</v>
      </c>
      <c r="AF438" s="11">
        <f>Cleaned_data[[#This Row],[Gross Profit]]/Cleaned_data[[#This Row],[Net Sales]]</f>
        <v>0.47163750105672503</v>
      </c>
      <c r="AG438">
        <f>Cleaned_data[[#This Row],[Ship_Date]]-Cleaned_data[[#This Row],[Order_Date]]</f>
        <v>3</v>
      </c>
      <c r="AH438" t="str">
        <f>IF(Cleaned_data[[#This Row],[Delivery Days]]&gt;10,"late","on time")</f>
        <v>on time</v>
      </c>
      <c r="AI438" t="str">
        <f>TEXT(Cleaned_data[[#This Row],[Order_Date]],"mmmm")</f>
        <v>March</v>
      </c>
      <c r="AJ438" s="9" t="str">
        <f>"Q"&amp;ROUNDUP(MONTH(Cleaned_data[[#This Row],[Order_Date]])/3,0)</f>
        <v>Q1</v>
      </c>
    </row>
    <row r="439" spans="1:36">
      <c r="A439" t="s">
        <v>927</v>
      </c>
      <c r="B439" s="9">
        <v>45747</v>
      </c>
      <c r="C439" s="9">
        <v>45752</v>
      </c>
      <c r="D439" t="s">
        <v>319</v>
      </c>
      <c r="E439" t="s">
        <v>320</v>
      </c>
      <c r="F439" t="s">
        <v>152</v>
      </c>
      <c r="G439" t="s">
        <v>75</v>
      </c>
      <c r="H439" t="s">
        <v>212</v>
      </c>
      <c r="I439" t="s">
        <v>213</v>
      </c>
      <c r="J439" t="s">
        <v>129</v>
      </c>
      <c r="K439" t="s">
        <v>79</v>
      </c>
      <c r="L439" t="s">
        <v>118</v>
      </c>
      <c r="M439" t="s">
        <v>119</v>
      </c>
      <c r="N439" t="s">
        <v>120</v>
      </c>
      <c r="O439" t="s">
        <v>121</v>
      </c>
      <c r="P439" s="8">
        <v>3</v>
      </c>
      <c r="Q439" s="10">
        <v>273.27</v>
      </c>
      <c r="R439" s="11">
        <v>0.05</v>
      </c>
      <c r="S439" s="10">
        <v>11.53</v>
      </c>
      <c r="T439" t="s">
        <v>122</v>
      </c>
      <c r="U439" t="s">
        <v>85</v>
      </c>
      <c r="V439" s="8">
        <v>4</v>
      </c>
      <c r="W439" t="s">
        <v>1270</v>
      </c>
      <c r="X439" t="str">
        <f>_xlfn.XLOOKUP(Cleaned_data[[#This Row],[Customer_ID]],Customers[S],Customers[Loyalty_Tier])</f>
        <v>Platinum</v>
      </c>
      <c r="Y439" s="9">
        <f>_xlfn.XLOOKUP(Cleaned_data[[#This Row],[Customer_ID]],Customers[S],Customers[Signup_Date])</f>
        <v>44545</v>
      </c>
      <c r="Z439" s="12">
        <f>_xlfn.XLOOKUP(Cleaned_data[[#This Row],[SKU]],Products[SKU],Products[Standard_Cost])</f>
        <v>168</v>
      </c>
      <c r="AA439" s="10">
        <f>Cleaned_data[[#This Row],[Quantity]]*Cleaned_data[[#This Row],[Unit_Price]]</f>
        <v>819.81</v>
      </c>
      <c r="AB439" s="10">
        <f>Cleaned_data[[#This Row],[Unit_Price]]*Cleaned_data[[#This Row],[Discount_Pct]]</f>
        <v>13.663499999999999</v>
      </c>
      <c r="AC439" s="10">
        <f>Cleaned_data[[#This Row],[Gross Sales]]-Cleaned_data[[#This Row],[Discount amount]]</f>
        <v>806.14649999999995</v>
      </c>
      <c r="AD439" s="10">
        <f>Cleaned_data[[#This Row],[Product Cost]]*Cleaned_data[[#This Row],[Quantity]]</f>
        <v>504</v>
      </c>
      <c r="AE439" s="10">
        <f>Cleaned_data[[#This Row],[Net Sales]]-Cleaned_data[[#This Row],[COGS]]</f>
        <v>302.14649999999995</v>
      </c>
      <c r="AF439" s="11">
        <f>Cleaned_data[[#This Row],[Gross Profit]]/Cleaned_data[[#This Row],[Net Sales]]</f>
        <v>0.37480346314224522</v>
      </c>
      <c r="AG439">
        <f>Cleaned_data[[#This Row],[Ship_Date]]-Cleaned_data[[#This Row],[Order_Date]]</f>
        <v>5</v>
      </c>
      <c r="AH439" t="str">
        <f>IF(Cleaned_data[[#This Row],[Delivery Days]]&gt;10,"late","on time")</f>
        <v>on time</v>
      </c>
      <c r="AI439" t="str">
        <f>TEXT(Cleaned_data[[#This Row],[Order_Date]],"mmmm")</f>
        <v>March</v>
      </c>
      <c r="AJ439" s="9" t="str">
        <f>"Q"&amp;ROUNDUP(MONTH(Cleaned_data[[#This Row],[Order_Date]])/3,0)</f>
        <v>Q1</v>
      </c>
    </row>
    <row r="440" spans="1:36">
      <c r="A440" t="s">
        <v>928</v>
      </c>
      <c r="B440" s="9">
        <v>45747</v>
      </c>
      <c r="C440" s="9">
        <v>45757</v>
      </c>
      <c r="D440" t="s">
        <v>325</v>
      </c>
      <c r="E440" t="s">
        <v>326</v>
      </c>
      <c r="F440" t="s">
        <v>74</v>
      </c>
      <c r="G440" t="s">
        <v>75</v>
      </c>
      <c r="H440" t="s">
        <v>273</v>
      </c>
      <c r="I440" t="s">
        <v>274</v>
      </c>
      <c r="J440" t="s">
        <v>109</v>
      </c>
      <c r="K440" t="s">
        <v>79</v>
      </c>
      <c r="L440" t="s">
        <v>155</v>
      </c>
      <c r="M440" t="s">
        <v>156</v>
      </c>
      <c r="N440" t="s">
        <v>82</v>
      </c>
      <c r="O440" t="s">
        <v>112</v>
      </c>
      <c r="P440" s="8">
        <v>1</v>
      </c>
      <c r="Q440" s="10">
        <v>160.5</v>
      </c>
      <c r="R440" s="11">
        <v>0.1</v>
      </c>
      <c r="S440" s="10">
        <v>16.77</v>
      </c>
      <c r="T440" t="s">
        <v>122</v>
      </c>
      <c r="U440" t="s">
        <v>85</v>
      </c>
      <c r="V440" s="8">
        <v>1</v>
      </c>
      <c r="W440" t="s">
        <v>1270</v>
      </c>
      <c r="X440" t="str">
        <f>_xlfn.XLOOKUP(Cleaned_data[[#This Row],[Customer_ID]],Customers[S],Customers[Loyalty_Tier])</f>
        <v>Bronze</v>
      </c>
      <c r="Y440" s="9">
        <f>_xlfn.XLOOKUP(Cleaned_data[[#This Row],[Customer_ID]],Customers[S],Customers[Signup_Date])</f>
        <v>44795</v>
      </c>
      <c r="Z440" s="12">
        <f>_xlfn.XLOOKUP(Cleaned_data[[#This Row],[SKU]],Products[SKU],Products[Standard_Cost])</f>
        <v>82</v>
      </c>
      <c r="AA440" s="10">
        <f>Cleaned_data[[#This Row],[Quantity]]*Cleaned_data[[#This Row],[Unit_Price]]</f>
        <v>160.5</v>
      </c>
      <c r="AB440" s="10">
        <f>Cleaned_data[[#This Row],[Unit_Price]]*Cleaned_data[[#This Row],[Discount_Pct]]</f>
        <v>16.05</v>
      </c>
      <c r="AC440" s="10">
        <f>Cleaned_data[[#This Row],[Gross Sales]]-Cleaned_data[[#This Row],[Discount amount]]</f>
        <v>144.44999999999999</v>
      </c>
      <c r="AD440" s="10">
        <f>Cleaned_data[[#This Row],[Product Cost]]*Cleaned_data[[#This Row],[Quantity]]</f>
        <v>82</v>
      </c>
      <c r="AE440" s="10">
        <f>Cleaned_data[[#This Row],[Net Sales]]-Cleaned_data[[#This Row],[COGS]]</f>
        <v>62.449999999999989</v>
      </c>
      <c r="AF440" s="11">
        <f>Cleaned_data[[#This Row],[Gross Profit]]/Cleaned_data[[#This Row],[Net Sales]]</f>
        <v>0.43232952578746969</v>
      </c>
      <c r="AG440">
        <f>Cleaned_data[[#This Row],[Ship_Date]]-Cleaned_data[[#This Row],[Order_Date]]</f>
        <v>10</v>
      </c>
      <c r="AH440" t="str">
        <f>IF(Cleaned_data[[#This Row],[Delivery Days]]&gt;10,"late","on time")</f>
        <v>on time</v>
      </c>
      <c r="AI440" t="str">
        <f>TEXT(Cleaned_data[[#This Row],[Order_Date]],"mmmm")</f>
        <v>March</v>
      </c>
      <c r="AJ440" s="9" t="str">
        <f>"Q"&amp;ROUNDUP(MONTH(Cleaned_data[[#This Row],[Order_Date]])/3,0)</f>
        <v>Q1</v>
      </c>
    </row>
    <row r="441" spans="1:36">
      <c r="A441" t="s">
        <v>929</v>
      </c>
      <c r="B441" s="9">
        <v>45747</v>
      </c>
      <c r="C441" s="9">
        <v>45751</v>
      </c>
      <c r="D441" t="s">
        <v>294</v>
      </c>
      <c r="E441" t="s">
        <v>146</v>
      </c>
      <c r="F441" t="s">
        <v>152</v>
      </c>
      <c r="G441" t="s">
        <v>194</v>
      </c>
      <c r="H441" t="s">
        <v>225</v>
      </c>
      <c r="I441" t="s">
        <v>226</v>
      </c>
      <c r="J441" t="s">
        <v>78</v>
      </c>
      <c r="K441" t="s">
        <v>168</v>
      </c>
      <c r="L441" t="s">
        <v>131</v>
      </c>
      <c r="M441" t="s">
        <v>132</v>
      </c>
      <c r="N441" t="s">
        <v>120</v>
      </c>
      <c r="O441" t="s">
        <v>133</v>
      </c>
      <c r="P441" s="8">
        <v>1</v>
      </c>
      <c r="Q441" s="10">
        <v>86.68</v>
      </c>
      <c r="R441" s="11">
        <v>0.04</v>
      </c>
      <c r="S441" s="10">
        <v>14.53</v>
      </c>
      <c r="T441" t="s">
        <v>122</v>
      </c>
      <c r="U441" t="s">
        <v>85</v>
      </c>
      <c r="V441" s="8">
        <v>5</v>
      </c>
      <c r="W441" t="s">
        <v>1270</v>
      </c>
      <c r="X441" t="str">
        <f>_xlfn.XLOOKUP(Cleaned_data[[#This Row],[Customer_ID]],Customers[S],Customers[Loyalty_Tier])</f>
        <v>Bronze</v>
      </c>
      <c r="Y441" s="9">
        <f>_xlfn.XLOOKUP(Cleaned_data[[#This Row],[Customer_ID]],Customers[S],Customers[Signup_Date])</f>
        <v>45149</v>
      </c>
      <c r="Z441" s="12">
        <f>_xlfn.XLOOKUP(Cleaned_data[[#This Row],[SKU]],Products[SKU],Products[Standard_Cost])</f>
        <v>44</v>
      </c>
      <c r="AA441" s="10">
        <f>Cleaned_data[[#This Row],[Quantity]]*Cleaned_data[[#This Row],[Unit_Price]]</f>
        <v>86.68</v>
      </c>
      <c r="AB441" s="10">
        <f>Cleaned_data[[#This Row],[Unit_Price]]*Cleaned_data[[#This Row],[Discount_Pct]]</f>
        <v>3.4672000000000005</v>
      </c>
      <c r="AC441" s="10">
        <f>Cleaned_data[[#This Row],[Gross Sales]]-Cleaned_data[[#This Row],[Discount amount]]</f>
        <v>83.212800000000001</v>
      </c>
      <c r="AD441" s="10">
        <f>Cleaned_data[[#This Row],[Product Cost]]*Cleaned_data[[#This Row],[Quantity]]</f>
        <v>44</v>
      </c>
      <c r="AE441" s="10">
        <f>Cleaned_data[[#This Row],[Net Sales]]-Cleaned_data[[#This Row],[COGS]]</f>
        <v>39.212800000000001</v>
      </c>
      <c r="AF441" s="11">
        <f>Cleaned_data[[#This Row],[Gross Profit]]/Cleaned_data[[#This Row],[Net Sales]]</f>
        <v>0.47123519458544838</v>
      </c>
      <c r="AG441">
        <f>Cleaned_data[[#This Row],[Ship_Date]]-Cleaned_data[[#This Row],[Order_Date]]</f>
        <v>4</v>
      </c>
      <c r="AH441" t="str">
        <f>IF(Cleaned_data[[#This Row],[Delivery Days]]&gt;10,"late","on time")</f>
        <v>on time</v>
      </c>
      <c r="AI441" t="str">
        <f>TEXT(Cleaned_data[[#This Row],[Order_Date]],"mmmm")</f>
        <v>March</v>
      </c>
      <c r="AJ441" s="9" t="str">
        <f>"Q"&amp;ROUNDUP(MONTH(Cleaned_data[[#This Row],[Order_Date]])/3,0)</f>
        <v>Q1</v>
      </c>
    </row>
    <row r="442" spans="1:36">
      <c r="A442" t="s">
        <v>930</v>
      </c>
      <c r="B442" s="9">
        <v>45748</v>
      </c>
      <c r="C442" s="9">
        <v>45752</v>
      </c>
      <c r="D442" t="s">
        <v>366</v>
      </c>
      <c r="E442" t="s">
        <v>342</v>
      </c>
      <c r="F442" t="s">
        <v>89</v>
      </c>
      <c r="G442" t="s">
        <v>194</v>
      </c>
      <c r="H442" t="s">
        <v>230</v>
      </c>
      <c r="I442" t="s">
        <v>231</v>
      </c>
      <c r="J442" t="s">
        <v>78</v>
      </c>
      <c r="K442" t="s">
        <v>130</v>
      </c>
      <c r="L442" t="s">
        <v>249</v>
      </c>
      <c r="M442" t="s">
        <v>250</v>
      </c>
      <c r="N442" t="s">
        <v>103</v>
      </c>
      <c r="O442" t="s">
        <v>251</v>
      </c>
      <c r="P442" s="8">
        <v>9</v>
      </c>
      <c r="Q442" s="10">
        <v>21.99</v>
      </c>
      <c r="R442" s="11">
        <v>0.01</v>
      </c>
      <c r="S442" s="10">
        <v>7.9</v>
      </c>
      <c r="T442" t="s">
        <v>84</v>
      </c>
      <c r="U442" t="s">
        <v>85</v>
      </c>
      <c r="V442" s="8">
        <v>4</v>
      </c>
      <c r="W442" t="s">
        <v>1270</v>
      </c>
      <c r="X442" t="str">
        <f>_xlfn.XLOOKUP(Cleaned_data[[#This Row],[Customer_ID]],Customers[S],Customers[Loyalty_Tier])</f>
        <v>Silver</v>
      </c>
      <c r="Y442" s="9">
        <f>_xlfn.XLOOKUP(Cleaned_data[[#This Row],[Customer_ID]],Customers[S],Customers[Signup_Date])</f>
        <v>45549</v>
      </c>
      <c r="Z442" s="12">
        <f>_xlfn.XLOOKUP(Cleaned_data[[#This Row],[SKU]],Products[SKU],Products[Standard_Cost])</f>
        <v>10</v>
      </c>
      <c r="AA442" s="10">
        <f>Cleaned_data[[#This Row],[Quantity]]*Cleaned_data[[#This Row],[Unit_Price]]</f>
        <v>197.91</v>
      </c>
      <c r="AB442" s="10">
        <f>Cleaned_data[[#This Row],[Unit_Price]]*Cleaned_data[[#This Row],[Discount_Pct]]</f>
        <v>0.21989999999999998</v>
      </c>
      <c r="AC442" s="10">
        <f>Cleaned_data[[#This Row],[Gross Sales]]-Cleaned_data[[#This Row],[Discount amount]]</f>
        <v>197.6901</v>
      </c>
      <c r="AD442" s="10">
        <f>Cleaned_data[[#This Row],[Product Cost]]*Cleaned_data[[#This Row],[Quantity]]</f>
        <v>90</v>
      </c>
      <c r="AE442" s="10">
        <f>Cleaned_data[[#This Row],[Net Sales]]-Cleaned_data[[#This Row],[COGS]]</f>
        <v>107.6901</v>
      </c>
      <c r="AF442" s="11">
        <f>Cleaned_data[[#This Row],[Gross Profit]]/Cleaned_data[[#This Row],[Net Sales]]</f>
        <v>0.54474199770246456</v>
      </c>
      <c r="AG442">
        <f>Cleaned_data[[#This Row],[Ship_Date]]-Cleaned_data[[#This Row],[Order_Date]]</f>
        <v>4</v>
      </c>
      <c r="AH442" t="str">
        <f>IF(Cleaned_data[[#This Row],[Delivery Days]]&gt;10,"late","on time")</f>
        <v>on time</v>
      </c>
      <c r="AI442" t="str">
        <f>TEXT(Cleaned_data[[#This Row],[Order_Date]],"mmmm")</f>
        <v>April</v>
      </c>
      <c r="AJ442" s="9" t="str">
        <f>"Q"&amp;ROUNDUP(MONTH(Cleaned_data[[#This Row],[Order_Date]])/3,0)</f>
        <v>Q2</v>
      </c>
    </row>
    <row r="443" spans="1:36">
      <c r="A443" t="s">
        <v>931</v>
      </c>
      <c r="B443" s="9">
        <v>45748</v>
      </c>
      <c r="C443" s="9">
        <v>45761</v>
      </c>
      <c r="D443" t="s">
        <v>378</v>
      </c>
      <c r="E443" t="s">
        <v>379</v>
      </c>
      <c r="F443" t="s">
        <v>152</v>
      </c>
      <c r="G443" t="s">
        <v>126</v>
      </c>
      <c r="H443" t="s">
        <v>160</v>
      </c>
      <c r="I443" t="s">
        <v>161</v>
      </c>
      <c r="J443" t="s">
        <v>219</v>
      </c>
      <c r="K443" t="s">
        <v>147</v>
      </c>
      <c r="L443" t="s">
        <v>301</v>
      </c>
      <c r="M443" t="s">
        <v>302</v>
      </c>
      <c r="N443" t="s">
        <v>120</v>
      </c>
      <c r="O443" t="s">
        <v>190</v>
      </c>
      <c r="P443" s="8">
        <v>4</v>
      </c>
      <c r="Q443" s="10">
        <v>142.30000000000001</v>
      </c>
      <c r="R443" s="11">
        <v>0.06</v>
      </c>
      <c r="S443" s="10">
        <v>16.72</v>
      </c>
      <c r="T443" t="s">
        <v>84</v>
      </c>
      <c r="U443" t="s">
        <v>85</v>
      </c>
      <c r="V443" s="8">
        <v>1</v>
      </c>
      <c r="W443" t="s">
        <v>1270</v>
      </c>
      <c r="X443" t="str">
        <f>_xlfn.XLOOKUP(Cleaned_data[[#This Row],[Customer_ID]],Customers[S],Customers[Loyalty_Tier])</f>
        <v>Gold</v>
      </c>
      <c r="Y443" s="9">
        <f>_xlfn.XLOOKUP(Cleaned_data[[#This Row],[Customer_ID]],Customers[S],Customers[Signup_Date])</f>
        <v>45713</v>
      </c>
      <c r="Z443" s="12">
        <f>_xlfn.XLOOKUP(Cleaned_data[[#This Row],[SKU]],Products[SKU],Products[Standard_Cost])</f>
        <v>72</v>
      </c>
      <c r="AA443" s="10">
        <f>Cleaned_data[[#This Row],[Quantity]]*Cleaned_data[[#This Row],[Unit_Price]]</f>
        <v>569.20000000000005</v>
      </c>
      <c r="AB443" s="10">
        <f>Cleaned_data[[#This Row],[Unit_Price]]*Cleaned_data[[#This Row],[Discount_Pct]]</f>
        <v>8.5380000000000003</v>
      </c>
      <c r="AC443" s="10">
        <f>Cleaned_data[[#This Row],[Gross Sales]]-Cleaned_data[[#This Row],[Discount amount]]</f>
        <v>560.66200000000003</v>
      </c>
      <c r="AD443" s="10">
        <f>Cleaned_data[[#This Row],[Product Cost]]*Cleaned_data[[#This Row],[Quantity]]</f>
        <v>288</v>
      </c>
      <c r="AE443" s="10">
        <f>Cleaned_data[[#This Row],[Net Sales]]-Cleaned_data[[#This Row],[COGS]]</f>
        <v>272.66200000000003</v>
      </c>
      <c r="AF443" s="11">
        <f>Cleaned_data[[#This Row],[Gross Profit]]/Cleaned_data[[#This Row],[Net Sales]]</f>
        <v>0.48632152705194931</v>
      </c>
      <c r="AG443">
        <f>Cleaned_data[[#This Row],[Ship_Date]]-Cleaned_data[[#This Row],[Order_Date]]</f>
        <v>13</v>
      </c>
      <c r="AH443" t="str">
        <f>IF(Cleaned_data[[#This Row],[Delivery Days]]&gt;10,"late","on time")</f>
        <v>late</v>
      </c>
      <c r="AI443" t="str">
        <f>TEXT(Cleaned_data[[#This Row],[Order_Date]],"mmmm")</f>
        <v>April</v>
      </c>
      <c r="AJ443" s="9" t="str">
        <f>"Q"&amp;ROUNDUP(MONTH(Cleaned_data[[#This Row],[Order_Date]])/3,0)</f>
        <v>Q2</v>
      </c>
    </row>
    <row r="444" spans="1:36">
      <c r="A444" t="s">
        <v>932</v>
      </c>
      <c r="B444" s="9">
        <v>45749</v>
      </c>
      <c r="C444" s="9">
        <v>45754</v>
      </c>
      <c r="D444" t="s">
        <v>248</v>
      </c>
      <c r="E444" t="s">
        <v>137</v>
      </c>
      <c r="F444" t="s">
        <v>74</v>
      </c>
      <c r="G444" t="s">
        <v>75</v>
      </c>
      <c r="H444" t="s">
        <v>98</v>
      </c>
      <c r="I444" t="s">
        <v>99</v>
      </c>
      <c r="J444" t="s">
        <v>78</v>
      </c>
      <c r="K444" t="s">
        <v>100</v>
      </c>
      <c r="L444" t="s">
        <v>118</v>
      </c>
      <c r="M444" t="s">
        <v>119</v>
      </c>
      <c r="N444" t="s">
        <v>120</v>
      </c>
      <c r="O444" t="s">
        <v>121</v>
      </c>
      <c r="P444" s="8">
        <v>1</v>
      </c>
      <c r="Q444" s="10">
        <v>295.87</v>
      </c>
      <c r="R444" s="11">
        <v>0.09</v>
      </c>
      <c r="S444" s="10">
        <v>20.100000000000001</v>
      </c>
      <c r="T444" t="s">
        <v>84</v>
      </c>
      <c r="U444" t="s">
        <v>148</v>
      </c>
      <c r="V444" s="8">
        <v>3</v>
      </c>
      <c r="W444" t="s">
        <v>1270</v>
      </c>
      <c r="X444" t="str">
        <f>_xlfn.XLOOKUP(Cleaned_data[[#This Row],[Customer_ID]],Customers[S],Customers[Loyalty_Tier])</f>
        <v>Gold</v>
      </c>
      <c r="Y444" s="9">
        <f>_xlfn.XLOOKUP(Cleaned_data[[#This Row],[Customer_ID]],Customers[S],Customers[Signup_Date])</f>
        <v>45204</v>
      </c>
      <c r="Z444" s="12">
        <f>_xlfn.XLOOKUP(Cleaned_data[[#This Row],[SKU]],Products[SKU],Products[Standard_Cost])</f>
        <v>168</v>
      </c>
      <c r="AA444" s="10">
        <f>Cleaned_data[[#This Row],[Quantity]]*Cleaned_data[[#This Row],[Unit_Price]]</f>
        <v>295.87</v>
      </c>
      <c r="AB444" s="10">
        <f>Cleaned_data[[#This Row],[Unit_Price]]*Cleaned_data[[#This Row],[Discount_Pct]]</f>
        <v>26.628299999999999</v>
      </c>
      <c r="AC444" s="10">
        <f>Cleaned_data[[#This Row],[Gross Sales]]-Cleaned_data[[#This Row],[Discount amount]]</f>
        <v>269.24169999999998</v>
      </c>
      <c r="AD444" s="10">
        <f>Cleaned_data[[#This Row],[Product Cost]]*Cleaned_data[[#This Row],[Quantity]]</f>
        <v>168</v>
      </c>
      <c r="AE444" s="10">
        <f>Cleaned_data[[#This Row],[Net Sales]]-Cleaned_data[[#This Row],[COGS]]</f>
        <v>101.24169999999998</v>
      </c>
      <c r="AF444" s="11">
        <f>Cleaned_data[[#This Row],[Gross Profit]]/Cleaned_data[[#This Row],[Net Sales]]</f>
        <v>0.3760253333714651</v>
      </c>
      <c r="AG444">
        <f>Cleaned_data[[#This Row],[Ship_Date]]-Cleaned_data[[#This Row],[Order_Date]]</f>
        <v>5</v>
      </c>
      <c r="AH444" t="str">
        <f>IF(Cleaned_data[[#This Row],[Delivery Days]]&gt;10,"late","on time")</f>
        <v>on time</v>
      </c>
      <c r="AI444" t="str">
        <f>TEXT(Cleaned_data[[#This Row],[Order_Date]],"mmmm")</f>
        <v>April</v>
      </c>
      <c r="AJ444" s="9" t="str">
        <f>"Q"&amp;ROUNDUP(MONTH(Cleaned_data[[#This Row],[Order_Date]])/3,0)</f>
        <v>Q2</v>
      </c>
    </row>
    <row r="445" spans="1:36">
      <c r="A445" t="s">
        <v>933</v>
      </c>
      <c r="B445" s="9">
        <v>45749</v>
      </c>
      <c r="C445" s="9">
        <v>45759</v>
      </c>
      <c r="D445" t="s">
        <v>150</v>
      </c>
      <c r="E445" t="s">
        <v>151</v>
      </c>
      <c r="F445" t="s">
        <v>152</v>
      </c>
      <c r="G445" t="s">
        <v>138</v>
      </c>
      <c r="H445" t="s">
        <v>153</v>
      </c>
      <c r="I445" t="s">
        <v>154</v>
      </c>
      <c r="J445" t="s">
        <v>129</v>
      </c>
      <c r="K445" t="s">
        <v>100</v>
      </c>
      <c r="L445" t="s">
        <v>234</v>
      </c>
      <c r="M445" t="s">
        <v>235</v>
      </c>
      <c r="N445" t="s">
        <v>93</v>
      </c>
      <c r="O445" t="s">
        <v>236</v>
      </c>
      <c r="P445" s="8">
        <v>2</v>
      </c>
      <c r="Q445" s="10">
        <v>156.38999999999999</v>
      </c>
      <c r="R445" s="11">
        <v>0.01</v>
      </c>
      <c r="S445" s="10">
        <v>24.08</v>
      </c>
      <c r="T445" t="s">
        <v>105</v>
      </c>
      <c r="U445" t="s">
        <v>85</v>
      </c>
      <c r="W445" t="s">
        <v>1270</v>
      </c>
      <c r="X445" t="str">
        <f>_xlfn.XLOOKUP(Cleaned_data[[#This Row],[Customer_ID]],Customers[S],Customers[Loyalty_Tier])</f>
        <v>Platinum</v>
      </c>
      <c r="Y445" s="9">
        <f>_xlfn.XLOOKUP(Cleaned_data[[#This Row],[Customer_ID]],Customers[S],Customers[Signup_Date])</f>
        <v>45858</v>
      </c>
      <c r="Z445" s="12">
        <f>_xlfn.XLOOKUP(Cleaned_data[[#This Row],[SKU]],Products[SKU],Products[Standard_Cost])</f>
        <v>82</v>
      </c>
      <c r="AA445" s="10">
        <f>Cleaned_data[[#This Row],[Quantity]]*Cleaned_data[[#This Row],[Unit_Price]]</f>
        <v>312.77999999999997</v>
      </c>
      <c r="AB445" s="10">
        <f>Cleaned_data[[#This Row],[Unit_Price]]*Cleaned_data[[#This Row],[Discount_Pct]]</f>
        <v>1.5638999999999998</v>
      </c>
      <c r="AC445" s="10">
        <f>Cleaned_data[[#This Row],[Gross Sales]]-Cleaned_data[[#This Row],[Discount amount]]</f>
        <v>311.21609999999998</v>
      </c>
      <c r="AD445" s="10">
        <f>Cleaned_data[[#This Row],[Product Cost]]*Cleaned_data[[#This Row],[Quantity]]</f>
        <v>164</v>
      </c>
      <c r="AE445" s="10">
        <f>Cleaned_data[[#This Row],[Net Sales]]-Cleaned_data[[#This Row],[COGS]]</f>
        <v>147.21609999999998</v>
      </c>
      <c r="AF445" s="11">
        <f>Cleaned_data[[#This Row],[Gross Profit]]/Cleaned_data[[#This Row],[Net Sales]]</f>
        <v>0.47303497473299094</v>
      </c>
      <c r="AG445">
        <f>Cleaned_data[[#This Row],[Ship_Date]]-Cleaned_data[[#This Row],[Order_Date]]</f>
        <v>10</v>
      </c>
      <c r="AH445" t="str">
        <f>IF(Cleaned_data[[#This Row],[Delivery Days]]&gt;10,"late","on time")</f>
        <v>on time</v>
      </c>
      <c r="AI445" t="str">
        <f>TEXT(Cleaned_data[[#This Row],[Order_Date]],"mmmm")</f>
        <v>April</v>
      </c>
      <c r="AJ445" s="9" t="str">
        <f>"Q"&amp;ROUNDUP(MONTH(Cleaned_data[[#This Row],[Order_Date]])/3,0)</f>
        <v>Q2</v>
      </c>
    </row>
    <row r="446" spans="1:36">
      <c r="A446" t="s">
        <v>934</v>
      </c>
      <c r="B446" s="9">
        <v>45750</v>
      </c>
      <c r="C446" s="9">
        <v>45761</v>
      </c>
      <c r="D446" t="s">
        <v>445</v>
      </c>
      <c r="E446" t="s">
        <v>446</v>
      </c>
      <c r="F446" t="s">
        <v>152</v>
      </c>
      <c r="G446" t="s">
        <v>126</v>
      </c>
      <c r="H446" t="s">
        <v>160</v>
      </c>
      <c r="I446" t="s">
        <v>182</v>
      </c>
      <c r="J446" t="s">
        <v>109</v>
      </c>
      <c r="K446" t="s">
        <v>147</v>
      </c>
      <c r="L446" t="s">
        <v>359</v>
      </c>
      <c r="M446" t="s">
        <v>360</v>
      </c>
      <c r="N446" t="s">
        <v>93</v>
      </c>
      <c r="O446" t="s">
        <v>94</v>
      </c>
      <c r="P446" s="8">
        <v>3</v>
      </c>
      <c r="Q446" s="10">
        <v>464.75</v>
      </c>
      <c r="R446" s="11">
        <v>0.04</v>
      </c>
      <c r="S446" s="10">
        <v>19.46</v>
      </c>
      <c r="T446" t="s">
        <v>134</v>
      </c>
      <c r="U446" t="s">
        <v>85</v>
      </c>
      <c r="V446" s="8">
        <v>5</v>
      </c>
      <c r="W446" t="s">
        <v>1270</v>
      </c>
      <c r="X446" t="str">
        <f>_xlfn.XLOOKUP(Cleaned_data[[#This Row],[Customer_ID]],Customers[S],Customers[Loyalty_Tier])</f>
        <v>Bronze</v>
      </c>
      <c r="Y446" s="9">
        <f>_xlfn.XLOOKUP(Cleaned_data[[#This Row],[Customer_ID]],Customers[S],Customers[Signup_Date])</f>
        <v>45690</v>
      </c>
      <c r="Z446" s="12">
        <f>_xlfn.XLOOKUP(Cleaned_data[[#This Row],[SKU]],Products[SKU],Products[Standard_Cost])</f>
        <v>265</v>
      </c>
      <c r="AA446" s="10">
        <f>Cleaned_data[[#This Row],[Quantity]]*Cleaned_data[[#This Row],[Unit_Price]]</f>
        <v>1394.25</v>
      </c>
      <c r="AB446" s="10">
        <f>Cleaned_data[[#This Row],[Unit_Price]]*Cleaned_data[[#This Row],[Discount_Pct]]</f>
        <v>18.59</v>
      </c>
      <c r="AC446" s="10">
        <f>Cleaned_data[[#This Row],[Gross Sales]]-Cleaned_data[[#This Row],[Discount amount]]</f>
        <v>1375.66</v>
      </c>
      <c r="AD446" s="10">
        <f>Cleaned_data[[#This Row],[Product Cost]]*Cleaned_data[[#This Row],[Quantity]]</f>
        <v>795</v>
      </c>
      <c r="AE446" s="10">
        <f>Cleaned_data[[#This Row],[Net Sales]]-Cleaned_data[[#This Row],[COGS]]</f>
        <v>580.66000000000008</v>
      </c>
      <c r="AF446" s="11">
        <f>Cleaned_data[[#This Row],[Gross Profit]]/Cleaned_data[[#This Row],[Net Sales]]</f>
        <v>0.42209557594172981</v>
      </c>
      <c r="AG446">
        <f>Cleaned_data[[#This Row],[Ship_Date]]-Cleaned_data[[#This Row],[Order_Date]]</f>
        <v>11</v>
      </c>
      <c r="AH446" t="str">
        <f>IF(Cleaned_data[[#This Row],[Delivery Days]]&gt;10,"late","on time")</f>
        <v>late</v>
      </c>
      <c r="AI446" t="str">
        <f>TEXT(Cleaned_data[[#This Row],[Order_Date]],"mmmm")</f>
        <v>April</v>
      </c>
      <c r="AJ446" s="9" t="str">
        <f>"Q"&amp;ROUNDUP(MONTH(Cleaned_data[[#This Row],[Order_Date]])/3,0)</f>
        <v>Q2</v>
      </c>
    </row>
    <row r="447" spans="1:36">
      <c r="A447" t="s">
        <v>935</v>
      </c>
      <c r="B447" s="9">
        <v>45751</v>
      </c>
      <c r="C447" s="9">
        <v>45753</v>
      </c>
      <c r="D447" t="s">
        <v>904</v>
      </c>
      <c r="E447" t="s">
        <v>449</v>
      </c>
      <c r="F447" t="s">
        <v>152</v>
      </c>
      <c r="G447" t="s">
        <v>75</v>
      </c>
      <c r="H447" t="s">
        <v>212</v>
      </c>
      <c r="I447" t="s">
        <v>213</v>
      </c>
      <c r="J447" t="s">
        <v>78</v>
      </c>
      <c r="K447" t="s">
        <v>130</v>
      </c>
      <c r="L447" t="s">
        <v>234</v>
      </c>
      <c r="M447" t="s">
        <v>235</v>
      </c>
      <c r="N447" t="s">
        <v>93</v>
      </c>
      <c r="O447" t="s">
        <v>236</v>
      </c>
      <c r="P447" s="8">
        <v>3</v>
      </c>
      <c r="Q447" s="10">
        <v>151.53</v>
      </c>
      <c r="R447" s="11">
        <v>0.27</v>
      </c>
      <c r="S447" s="10">
        <v>26.37</v>
      </c>
      <c r="T447" t="s">
        <v>84</v>
      </c>
      <c r="U447" t="s">
        <v>148</v>
      </c>
      <c r="V447" s="8">
        <v>5</v>
      </c>
      <c r="W447" t="s">
        <v>1270</v>
      </c>
      <c r="X447" t="str">
        <f>_xlfn.XLOOKUP(Cleaned_data[[#This Row],[Customer_ID]],Customers[S],Customers[Loyalty_Tier])</f>
        <v>Silver</v>
      </c>
      <c r="Y447" s="9">
        <f>_xlfn.XLOOKUP(Cleaned_data[[#This Row],[Customer_ID]],Customers[S],Customers[Signup_Date])</f>
        <v>44735</v>
      </c>
      <c r="Z447" s="12">
        <f>_xlfn.XLOOKUP(Cleaned_data[[#This Row],[SKU]],Products[SKU],Products[Standard_Cost])</f>
        <v>82</v>
      </c>
      <c r="AA447" s="10">
        <f>Cleaned_data[[#This Row],[Quantity]]*Cleaned_data[[#This Row],[Unit_Price]]</f>
        <v>454.59000000000003</v>
      </c>
      <c r="AB447" s="10">
        <f>Cleaned_data[[#This Row],[Unit_Price]]*Cleaned_data[[#This Row],[Discount_Pct]]</f>
        <v>40.9131</v>
      </c>
      <c r="AC447" s="10">
        <f>Cleaned_data[[#This Row],[Gross Sales]]-Cleaned_data[[#This Row],[Discount amount]]</f>
        <v>413.67690000000005</v>
      </c>
      <c r="AD447" s="10">
        <f>Cleaned_data[[#This Row],[Product Cost]]*Cleaned_data[[#This Row],[Quantity]]</f>
        <v>246</v>
      </c>
      <c r="AE447" s="10">
        <f>Cleaned_data[[#This Row],[Net Sales]]-Cleaned_data[[#This Row],[COGS]]</f>
        <v>167.67690000000005</v>
      </c>
      <c r="AF447" s="11">
        <f>Cleaned_data[[#This Row],[Gross Profit]]/Cleaned_data[[#This Row],[Net Sales]]</f>
        <v>0.40533300264046657</v>
      </c>
      <c r="AG447">
        <f>Cleaned_data[[#This Row],[Ship_Date]]-Cleaned_data[[#This Row],[Order_Date]]</f>
        <v>2</v>
      </c>
      <c r="AH447" t="str">
        <f>IF(Cleaned_data[[#This Row],[Delivery Days]]&gt;10,"late","on time")</f>
        <v>on time</v>
      </c>
      <c r="AI447" t="str">
        <f>TEXT(Cleaned_data[[#This Row],[Order_Date]],"mmmm")</f>
        <v>April</v>
      </c>
      <c r="AJ447" s="9" t="str">
        <f>"Q"&amp;ROUNDUP(MONTH(Cleaned_data[[#This Row],[Order_Date]])/3,0)</f>
        <v>Q2</v>
      </c>
    </row>
    <row r="448" spans="1:36">
      <c r="A448" t="s">
        <v>936</v>
      </c>
      <c r="B448" s="9">
        <v>45752</v>
      </c>
      <c r="C448" s="9">
        <v>45755</v>
      </c>
      <c r="D448" t="s">
        <v>402</v>
      </c>
      <c r="E448" t="s">
        <v>403</v>
      </c>
      <c r="F448" t="s">
        <v>74</v>
      </c>
      <c r="G448" t="s">
        <v>75</v>
      </c>
      <c r="H448" t="s">
        <v>212</v>
      </c>
      <c r="I448" t="s">
        <v>213</v>
      </c>
      <c r="J448" t="s">
        <v>219</v>
      </c>
      <c r="K448" t="s">
        <v>147</v>
      </c>
      <c r="L448" t="s">
        <v>155</v>
      </c>
      <c r="M448" t="s">
        <v>156</v>
      </c>
      <c r="N448" t="s">
        <v>82</v>
      </c>
      <c r="O448" t="s">
        <v>112</v>
      </c>
      <c r="P448" s="8">
        <v>9</v>
      </c>
      <c r="Q448" s="10">
        <v>173.79</v>
      </c>
      <c r="R448" s="11">
        <v>7.0000000000000007E-2</v>
      </c>
      <c r="S448" s="10">
        <v>14.83</v>
      </c>
      <c r="T448" t="s">
        <v>84</v>
      </c>
      <c r="U448" t="s">
        <v>85</v>
      </c>
      <c r="V448" s="8">
        <v>4</v>
      </c>
      <c r="W448" t="s">
        <v>1270</v>
      </c>
      <c r="X448" t="str">
        <f>_xlfn.XLOOKUP(Cleaned_data[[#This Row],[Customer_ID]],Customers[S],Customers[Loyalty_Tier])</f>
        <v>Bronze</v>
      </c>
      <c r="Y448" s="9">
        <f>_xlfn.XLOOKUP(Cleaned_data[[#This Row],[Customer_ID]],Customers[S],Customers[Signup_Date])</f>
        <v>45658</v>
      </c>
      <c r="Z448" s="12">
        <f>_xlfn.XLOOKUP(Cleaned_data[[#This Row],[SKU]],Products[SKU],Products[Standard_Cost])</f>
        <v>82</v>
      </c>
      <c r="AA448" s="10">
        <f>Cleaned_data[[#This Row],[Quantity]]*Cleaned_data[[#This Row],[Unit_Price]]</f>
        <v>1564.11</v>
      </c>
      <c r="AB448" s="10">
        <f>Cleaned_data[[#This Row],[Unit_Price]]*Cleaned_data[[#This Row],[Discount_Pct]]</f>
        <v>12.1653</v>
      </c>
      <c r="AC448" s="10">
        <f>Cleaned_data[[#This Row],[Gross Sales]]-Cleaned_data[[#This Row],[Discount amount]]</f>
        <v>1551.9447</v>
      </c>
      <c r="AD448" s="10">
        <f>Cleaned_data[[#This Row],[Product Cost]]*Cleaned_data[[#This Row],[Quantity]]</f>
        <v>738</v>
      </c>
      <c r="AE448" s="10">
        <f>Cleaned_data[[#This Row],[Net Sales]]-Cleaned_data[[#This Row],[COGS]]</f>
        <v>813.94470000000001</v>
      </c>
      <c r="AF448" s="11">
        <f>Cleaned_data[[#This Row],[Gross Profit]]/Cleaned_data[[#This Row],[Net Sales]]</f>
        <v>0.52446759217644801</v>
      </c>
      <c r="AG448">
        <f>Cleaned_data[[#This Row],[Ship_Date]]-Cleaned_data[[#This Row],[Order_Date]]</f>
        <v>3</v>
      </c>
      <c r="AH448" t="str">
        <f>IF(Cleaned_data[[#This Row],[Delivery Days]]&gt;10,"late","on time")</f>
        <v>on time</v>
      </c>
      <c r="AI448" t="str">
        <f>TEXT(Cleaned_data[[#This Row],[Order_Date]],"mmmm")</f>
        <v>April</v>
      </c>
      <c r="AJ448" s="9" t="str">
        <f>"Q"&amp;ROUNDUP(MONTH(Cleaned_data[[#This Row],[Order_Date]])/3,0)</f>
        <v>Q2</v>
      </c>
    </row>
    <row r="449" spans="1:36">
      <c r="A449" t="s">
        <v>937</v>
      </c>
      <c r="B449" s="9">
        <v>45752</v>
      </c>
      <c r="C449" s="9">
        <v>45757</v>
      </c>
      <c r="D449" t="s">
        <v>448</v>
      </c>
      <c r="E449" t="s">
        <v>449</v>
      </c>
      <c r="F449" t="s">
        <v>89</v>
      </c>
      <c r="G449" t="s">
        <v>126</v>
      </c>
      <c r="H449" t="s">
        <v>160</v>
      </c>
      <c r="I449" t="s">
        <v>182</v>
      </c>
      <c r="J449" t="s">
        <v>129</v>
      </c>
      <c r="K449" t="s">
        <v>147</v>
      </c>
      <c r="L449" t="s">
        <v>162</v>
      </c>
      <c r="M449" t="s">
        <v>163</v>
      </c>
      <c r="N449" t="s">
        <v>120</v>
      </c>
      <c r="O449" t="s">
        <v>164</v>
      </c>
      <c r="P449" s="8">
        <v>1</v>
      </c>
      <c r="Q449" s="10">
        <v>871.98</v>
      </c>
      <c r="R449" s="11">
        <v>7.0000000000000007E-2</v>
      </c>
      <c r="S449" s="10">
        <v>13.33</v>
      </c>
      <c r="T449" t="s">
        <v>122</v>
      </c>
      <c r="U449" t="s">
        <v>85</v>
      </c>
      <c r="V449" s="8">
        <v>1</v>
      </c>
      <c r="W449" t="s">
        <v>1270</v>
      </c>
      <c r="X449" t="str">
        <f>_xlfn.XLOOKUP(Cleaned_data[[#This Row],[Customer_ID]],Customers[S],Customers[Loyalty_Tier])</f>
        <v>Bronze</v>
      </c>
      <c r="Y449" s="9">
        <f>_xlfn.XLOOKUP(Cleaned_data[[#This Row],[Customer_ID]],Customers[S],Customers[Signup_Date])</f>
        <v>44278</v>
      </c>
      <c r="Z449" s="12">
        <f>_xlfn.XLOOKUP(Cleaned_data[[#This Row],[SKU]],Products[SKU],Products[Standard_Cost])</f>
        <v>585</v>
      </c>
      <c r="AA449" s="10">
        <f>Cleaned_data[[#This Row],[Quantity]]*Cleaned_data[[#This Row],[Unit_Price]]</f>
        <v>871.98</v>
      </c>
      <c r="AB449" s="10">
        <f>Cleaned_data[[#This Row],[Unit_Price]]*Cleaned_data[[#This Row],[Discount_Pct]]</f>
        <v>61.03860000000001</v>
      </c>
      <c r="AC449" s="10">
        <f>Cleaned_data[[#This Row],[Gross Sales]]-Cleaned_data[[#This Row],[Discount amount]]</f>
        <v>810.94140000000004</v>
      </c>
      <c r="AD449" s="10">
        <f>Cleaned_data[[#This Row],[Product Cost]]*Cleaned_data[[#This Row],[Quantity]]</f>
        <v>585</v>
      </c>
      <c r="AE449" s="10">
        <f>Cleaned_data[[#This Row],[Net Sales]]-Cleaned_data[[#This Row],[COGS]]</f>
        <v>225.94140000000004</v>
      </c>
      <c r="AF449" s="11">
        <f>Cleaned_data[[#This Row],[Gross Profit]]/Cleaned_data[[#This Row],[Net Sales]]</f>
        <v>0.27861618607707045</v>
      </c>
      <c r="AG449">
        <f>Cleaned_data[[#This Row],[Ship_Date]]-Cleaned_data[[#This Row],[Order_Date]]</f>
        <v>5</v>
      </c>
      <c r="AH449" t="str">
        <f>IF(Cleaned_data[[#This Row],[Delivery Days]]&gt;10,"late","on time")</f>
        <v>on time</v>
      </c>
      <c r="AI449" t="str">
        <f>TEXT(Cleaned_data[[#This Row],[Order_Date]],"mmmm")</f>
        <v>April</v>
      </c>
      <c r="AJ449" s="9" t="str">
        <f>"Q"&amp;ROUNDUP(MONTH(Cleaned_data[[#This Row],[Order_Date]])/3,0)</f>
        <v>Q2</v>
      </c>
    </row>
    <row r="450" spans="1:36">
      <c r="A450" t="s">
        <v>938</v>
      </c>
      <c r="B450" s="9">
        <v>45756</v>
      </c>
      <c r="C450" s="9">
        <v>45759</v>
      </c>
      <c r="D450" t="s">
        <v>873</v>
      </c>
      <c r="E450" t="s">
        <v>874</v>
      </c>
      <c r="F450" t="s">
        <v>152</v>
      </c>
      <c r="G450" t="s">
        <v>194</v>
      </c>
      <c r="H450" t="s">
        <v>225</v>
      </c>
      <c r="I450" t="s">
        <v>226</v>
      </c>
      <c r="J450" t="s">
        <v>78</v>
      </c>
      <c r="K450" t="s">
        <v>147</v>
      </c>
      <c r="L450" t="s">
        <v>254</v>
      </c>
      <c r="M450" t="s">
        <v>255</v>
      </c>
      <c r="N450" t="s">
        <v>82</v>
      </c>
      <c r="O450" t="s">
        <v>83</v>
      </c>
      <c r="P450" s="8">
        <v>7</v>
      </c>
      <c r="Q450" s="10">
        <v>100.37</v>
      </c>
      <c r="R450" s="11">
        <v>0.12</v>
      </c>
      <c r="S450" s="10">
        <v>9.5299999999999994</v>
      </c>
      <c r="T450" t="s">
        <v>105</v>
      </c>
      <c r="U450" t="s">
        <v>85</v>
      </c>
      <c r="V450" s="8">
        <v>1</v>
      </c>
      <c r="W450" t="s">
        <v>1270</v>
      </c>
      <c r="X450" t="str">
        <f>_xlfn.XLOOKUP(Cleaned_data[[#This Row],[Customer_ID]],Customers[S],Customers[Loyalty_Tier])</f>
        <v>Bronze</v>
      </c>
      <c r="Y450" s="9">
        <f>_xlfn.XLOOKUP(Cleaned_data[[#This Row],[Customer_ID]],Customers[S],Customers[Signup_Date])</f>
        <v>45403</v>
      </c>
      <c r="Z450" s="12">
        <f>_xlfn.XLOOKUP(Cleaned_data[[#This Row],[SKU]],Products[SKU],Products[Standard_Cost])</f>
        <v>48</v>
      </c>
      <c r="AA450" s="10">
        <f>Cleaned_data[[#This Row],[Quantity]]*Cleaned_data[[#This Row],[Unit_Price]]</f>
        <v>702.59</v>
      </c>
      <c r="AB450" s="10">
        <f>Cleaned_data[[#This Row],[Unit_Price]]*Cleaned_data[[#This Row],[Discount_Pct]]</f>
        <v>12.0444</v>
      </c>
      <c r="AC450" s="10">
        <f>Cleaned_data[[#This Row],[Gross Sales]]-Cleaned_data[[#This Row],[Discount amount]]</f>
        <v>690.54560000000004</v>
      </c>
      <c r="AD450" s="10">
        <f>Cleaned_data[[#This Row],[Product Cost]]*Cleaned_data[[#This Row],[Quantity]]</f>
        <v>336</v>
      </c>
      <c r="AE450" s="10">
        <f>Cleaned_data[[#This Row],[Net Sales]]-Cleaned_data[[#This Row],[COGS]]</f>
        <v>354.54560000000004</v>
      </c>
      <c r="AF450" s="11">
        <f>Cleaned_data[[#This Row],[Gross Profit]]/Cleaned_data[[#This Row],[Net Sales]]</f>
        <v>0.51342822255329701</v>
      </c>
      <c r="AG450">
        <f>Cleaned_data[[#This Row],[Ship_Date]]-Cleaned_data[[#This Row],[Order_Date]]</f>
        <v>3</v>
      </c>
      <c r="AH450" t="str">
        <f>IF(Cleaned_data[[#This Row],[Delivery Days]]&gt;10,"late","on time")</f>
        <v>on time</v>
      </c>
      <c r="AI450" t="str">
        <f>TEXT(Cleaned_data[[#This Row],[Order_Date]],"mmmm")</f>
        <v>April</v>
      </c>
      <c r="AJ450" s="9" t="str">
        <f>"Q"&amp;ROUNDUP(MONTH(Cleaned_data[[#This Row],[Order_Date]])/3,0)</f>
        <v>Q2</v>
      </c>
    </row>
    <row r="451" spans="1:36">
      <c r="A451" t="s">
        <v>939</v>
      </c>
      <c r="B451" s="9">
        <v>45757</v>
      </c>
      <c r="C451" s="9">
        <v>45758</v>
      </c>
      <c r="D451" t="s">
        <v>598</v>
      </c>
      <c r="E451" t="s">
        <v>599</v>
      </c>
      <c r="F451" t="s">
        <v>89</v>
      </c>
      <c r="G451" t="s">
        <v>138</v>
      </c>
      <c r="H451" t="s">
        <v>457</v>
      </c>
      <c r="I451" t="s">
        <v>458</v>
      </c>
      <c r="J451" t="s">
        <v>78</v>
      </c>
      <c r="K451" t="s">
        <v>168</v>
      </c>
      <c r="L451" t="s">
        <v>249</v>
      </c>
      <c r="M451" t="s">
        <v>250</v>
      </c>
      <c r="N451" t="s">
        <v>103</v>
      </c>
      <c r="O451" t="s">
        <v>251</v>
      </c>
      <c r="P451" s="8">
        <v>3</v>
      </c>
      <c r="Q451" s="10">
        <v>20.85</v>
      </c>
      <c r="R451" s="11">
        <v>0.1</v>
      </c>
      <c r="S451" s="10">
        <v>12.32</v>
      </c>
      <c r="T451" t="s">
        <v>134</v>
      </c>
      <c r="U451" t="s">
        <v>85</v>
      </c>
      <c r="W451" t="s">
        <v>1270</v>
      </c>
      <c r="X451" t="str">
        <f>_xlfn.XLOOKUP(Cleaned_data[[#This Row],[Customer_ID]],Customers[S],Customers[Loyalty_Tier])</f>
        <v>Platinum</v>
      </c>
      <c r="Y451" s="9">
        <f>_xlfn.XLOOKUP(Cleaned_data[[#This Row],[Customer_ID]],Customers[S],Customers[Signup_Date])</f>
        <v>45908</v>
      </c>
      <c r="Z451" s="12">
        <f>_xlfn.XLOOKUP(Cleaned_data[[#This Row],[SKU]],Products[SKU],Products[Standard_Cost])</f>
        <v>10</v>
      </c>
      <c r="AA451" s="10">
        <f>Cleaned_data[[#This Row],[Quantity]]*Cleaned_data[[#This Row],[Unit_Price]]</f>
        <v>62.550000000000004</v>
      </c>
      <c r="AB451" s="10">
        <f>Cleaned_data[[#This Row],[Unit_Price]]*Cleaned_data[[#This Row],[Discount_Pct]]</f>
        <v>2.0850000000000004</v>
      </c>
      <c r="AC451" s="10">
        <f>Cleaned_data[[#This Row],[Gross Sales]]-Cleaned_data[[#This Row],[Discount amount]]</f>
        <v>60.465000000000003</v>
      </c>
      <c r="AD451" s="10">
        <f>Cleaned_data[[#This Row],[Product Cost]]*Cleaned_data[[#This Row],[Quantity]]</f>
        <v>30</v>
      </c>
      <c r="AE451" s="10">
        <f>Cleaned_data[[#This Row],[Net Sales]]-Cleaned_data[[#This Row],[COGS]]</f>
        <v>30.465000000000003</v>
      </c>
      <c r="AF451" s="11">
        <f>Cleaned_data[[#This Row],[Gross Profit]]/Cleaned_data[[#This Row],[Net Sales]]</f>
        <v>0.50384519970230712</v>
      </c>
      <c r="AG451">
        <f>Cleaned_data[[#This Row],[Ship_Date]]-Cleaned_data[[#This Row],[Order_Date]]</f>
        <v>1</v>
      </c>
      <c r="AH451" t="str">
        <f>IF(Cleaned_data[[#This Row],[Delivery Days]]&gt;10,"late","on time")</f>
        <v>on time</v>
      </c>
      <c r="AI451" t="str">
        <f>TEXT(Cleaned_data[[#This Row],[Order_Date]],"mmmm")</f>
        <v>April</v>
      </c>
      <c r="AJ451" s="9" t="str">
        <f>"Q"&amp;ROUNDUP(MONTH(Cleaned_data[[#This Row],[Order_Date]])/3,0)</f>
        <v>Q2</v>
      </c>
    </row>
    <row r="452" spans="1:36">
      <c r="A452" t="s">
        <v>940</v>
      </c>
      <c r="B452" s="9">
        <v>45757</v>
      </c>
      <c r="C452" s="9">
        <v>45764</v>
      </c>
      <c r="D452" t="s">
        <v>424</v>
      </c>
      <c r="E452" t="s">
        <v>425</v>
      </c>
      <c r="F452" t="s">
        <v>152</v>
      </c>
      <c r="G452" t="s">
        <v>138</v>
      </c>
      <c r="H452" t="s">
        <v>347</v>
      </c>
      <c r="I452" t="s">
        <v>348</v>
      </c>
      <c r="J452" t="s">
        <v>129</v>
      </c>
      <c r="K452" t="s">
        <v>168</v>
      </c>
      <c r="L452" t="s">
        <v>337</v>
      </c>
      <c r="M452" t="s">
        <v>338</v>
      </c>
      <c r="N452" t="s">
        <v>93</v>
      </c>
      <c r="O452" t="s">
        <v>236</v>
      </c>
      <c r="P452" s="8">
        <v>1</v>
      </c>
      <c r="Q452" s="10">
        <v>254.71</v>
      </c>
      <c r="R452" s="11">
        <v>0.21</v>
      </c>
      <c r="S452" s="10">
        <v>22.05</v>
      </c>
      <c r="T452" t="s">
        <v>122</v>
      </c>
      <c r="U452" t="s">
        <v>85</v>
      </c>
      <c r="V452" s="8">
        <v>4</v>
      </c>
      <c r="W452" t="s">
        <v>1270</v>
      </c>
      <c r="X452" t="str">
        <f>_xlfn.XLOOKUP(Cleaned_data[[#This Row],[Customer_ID]],Customers[S],Customers[Loyalty_Tier])</f>
        <v>Bronze</v>
      </c>
      <c r="Y452" s="9">
        <f>_xlfn.XLOOKUP(Cleaned_data[[#This Row],[Customer_ID]],Customers[S],Customers[Signup_Date])</f>
        <v>45859</v>
      </c>
      <c r="Z452" s="12">
        <f>_xlfn.XLOOKUP(Cleaned_data[[#This Row],[SKU]],Products[SKU],Products[Standard_Cost])</f>
        <v>146</v>
      </c>
      <c r="AA452" s="10">
        <f>Cleaned_data[[#This Row],[Quantity]]*Cleaned_data[[#This Row],[Unit_Price]]</f>
        <v>254.71</v>
      </c>
      <c r="AB452" s="10">
        <f>Cleaned_data[[#This Row],[Unit_Price]]*Cleaned_data[[#This Row],[Discount_Pct]]</f>
        <v>53.489100000000001</v>
      </c>
      <c r="AC452" s="10">
        <f>Cleaned_data[[#This Row],[Gross Sales]]-Cleaned_data[[#This Row],[Discount amount]]</f>
        <v>201.2209</v>
      </c>
      <c r="AD452" s="10">
        <f>Cleaned_data[[#This Row],[Product Cost]]*Cleaned_data[[#This Row],[Quantity]]</f>
        <v>146</v>
      </c>
      <c r="AE452" s="10">
        <f>Cleaned_data[[#This Row],[Net Sales]]-Cleaned_data[[#This Row],[COGS]]</f>
        <v>55.2209</v>
      </c>
      <c r="AF452" s="11">
        <f>Cleaned_data[[#This Row],[Gross Profit]]/Cleaned_data[[#This Row],[Net Sales]]</f>
        <v>0.27442924666374119</v>
      </c>
      <c r="AG452">
        <f>Cleaned_data[[#This Row],[Ship_Date]]-Cleaned_data[[#This Row],[Order_Date]]</f>
        <v>7</v>
      </c>
      <c r="AH452" t="str">
        <f>IF(Cleaned_data[[#This Row],[Delivery Days]]&gt;10,"late","on time")</f>
        <v>on time</v>
      </c>
      <c r="AI452" t="str">
        <f>TEXT(Cleaned_data[[#This Row],[Order_Date]],"mmmm")</f>
        <v>April</v>
      </c>
      <c r="AJ452" s="9" t="str">
        <f>"Q"&amp;ROUNDUP(MONTH(Cleaned_data[[#This Row],[Order_Date]])/3,0)</f>
        <v>Q2</v>
      </c>
    </row>
    <row r="453" spans="1:36">
      <c r="A453" t="s">
        <v>941</v>
      </c>
      <c r="B453" s="9">
        <v>45758</v>
      </c>
      <c r="C453" s="9">
        <v>45767</v>
      </c>
      <c r="D453" t="s">
        <v>416</v>
      </c>
      <c r="E453" t="s">
        <v>417</v>
      </c>
      <c r="F453" t="s">
        <v>89</v>
      </c>
      <c r="G453" t="s">
        <v>138</v>
      </c>
      <c r="H453" t="s">
        <v>186</v>
      </c>
      <c r="I453" t="s">
        <v>187</v>
      </c>
      <c r="J453" t="s">
        <v>109</v>
      </c>
      <c r="K453" t="s">
        <v>90</v>
      </c>
      <c r="L453" t="s">
        <v>175</v>
      </c>
      <c r="M453" t="s">
        <v>176</v>
      </c>
      <c r="N453" t="s">
        <v>93</v>
      </c>
      <c r="O453" t="s">
        <v>177</v>
      </c>
      <c r="P453" s="8">
        <v>4</v>
      </c>
      <c r="Q453" s="10">
        <v>160.25</v>
      </c>
      <c r="R453" s="11">
        <v>0.3</v>
      </c>
      <c r="S453" s="10">
        <v>22.65</v>
      </c>
      <c r="T453" t="s">
        <v>134</v>
      </c>
      <c r="U453" t="s">
        <v>85</v>
      </c>
      <c r="V453" s="8">
        <v>3</v>
      </c>
      <c r="W453" t="s">
        <v>1270</v>
      </c>
      <c r="X453" t="str">
        <f>_xlfn.XLOOKUP(Cleaned_data[[#This Row],[Customer_ID]],Customers[S],Customers[Loyalty_Tier])</f>
        <v>Silver</v>
      </c>
      <c r="Y453" s="9">
        <f>_xlfn.XLOOKUP(Cleaned_data[[#This Row],[Customer_ID]],Customers[S],Customers[Signup_Date])</f>
        <v>44845</v>
      </c>
      <c r="Z453" s="12">
        <f>_xlfn.XLOOKUP(Cleaned_data[[#This Row],[SKU]],Products[SKU],Products[Standard_Cost])</f>
        <v>88</v>
      </c>
      <c r="AA453" s="10">
        <f>Cleaned_data[[#This Row],[Quantity]]*Cleaned_data[[#This Row],[Unit_Price]]</f>
        <v>641</v>
      </c>
      <c r="AB453" s="10">
        <f>Cleaned_data[[#This Row],[Unit_Price]]*Cleaned_data[[#This Row],[Discount_Pct]]</f>
        <v>48.074999999999996</v>
      </c>
      <c r="AC453" s="10">
        <f>Cleaned_data[[#This Row],[Gross Sales]]-Cleaned_data[[#This Row],[Discount amount]]</f>
        <v>592.92499999999995</v>
      </c>
      <c r="AD453" s="10">
        <f>Cleaned_data[[#This Row],[Product Cost]]*Cleaned_data[[#This Row],[Quantity]]</f>
        <v>352</v>
      </c>
      <c r="AE453" s="10">
        <f>Cleaned_data[[#This Row],[Net Sales]]-Cleaned_data[[#This Row],[COGS]]</f>
        <v>240.92499999999995</v>
      </c>
      <c r="AF453" s="11">
        <f>Cleaned_data[[#This Row],[Gross Profit]]/Cleaned_data[[#This Row],[Net Sales]]</f>
        <v>0.40633301007715977</v>
      </c>
      <c r="AG453">
        <f>Cleaned_data[[#This Row],[Ship_Date]]-Cleaned_data[[#This Row],[Order_Date]]</f>
        <v>9</v>
      </c>
      <c r="AH453" t="str">
        <f>IF(Cleaned_data[[#This Row],[Delivery Days]]&gt;10,"late","on time")</f>
        <v>on time</v>
      </c>
      <c r="AI453" t="str">
        <f>TEXT(Cleaned_data[[#This Row],[Order_Date]],"mmmm")</f>
        <v>April</v>
      </c>
      <c r="AJ453" s="9" t="str">
        <f>"Q"&amp;ROUNDUP(MONTH(Cleaned_data[[#This Row],[Order_Date]])/3,0)</f>
        <v>Q2</v>
      </c>
    </row>
    <row r="454" spans="1:36">
      <c r="A454" t="s">
        <v>942</v>
      </c>
      <c r="B454" s="9">
        <v>45765</v>
      </c>
      <c r="C454" s="9">
        <v>45774</v>
      </c>
      <c r="D454" t="s">
        <v>87</v>
      </c>
      <c r="E454" t="s">
        <v>88</v>
      </c>
      <c r="F454" t="s">
        <v>89</v>
      </c>
      <c r="G454" t="s">
        <v>75</v>
      </c>
      <c r="H454" t="s">
        <v>76</v>
      </c>
      <c r="I454" t="s">
        <v>77</v>
      </c>
      <c r="J454" t="s">
        <v>109</v>
      </c>
      <c r="K454" t="s">
        <v>100</v>
      </c>
      <c r="L454" t="s">
        <v>118</v>
      </c>
      <c r="M454" t="s">
        <v>119</v>
      </c>
      <c r="N454" t="s">
        <v>120</v>
      </c>
      <c r="O454" t="s">
        <v>121</v>
      </c>
      <c r="P454" s="8">
        <v>3</v>
      </c>
      <c r="Q454" s="10">
        <v>294.38</v>
      </c>
      <c r="R454" s="11">
        <v>7.0000000000000007E-2</v>
      </c>
      <c r="S454" s="10">
        <v>20.420000000000002</v>
      </c>
      <c r="T454" t="s">
        <v>105</v>
      </c>
      <c r="U454" t="s">
        <v>85</v>
      </c>
      <c r="V454" s="8">
        <v>5</v>
      </c>
      <c r="W454" t="s">
        <v>1270</v>
      </c>
      <c r="X454" t="str">
        <f>_xlfn.XLOOKUP(Cleaned_data[[#This Row],[Customer_ID]],Customers[S],Customers[Loyalty_Tier])</f>
        <v>Silver</v>
      </c>
      <c r="Y454" s="9">
        <f>_xlfn.XLOOKUP(Cleaned_data[[#This Row],[Customer_ID]],Customers[S],Customers[Signup_Date])</f>
        <v>44736</v>
      </c>
      <c r="Z454" s="12">
        <f>_xlfn.XLOOKUP(Cleaned_data[[#This Row],[SKU]],Products[SKU],Products[Standard_Cost])</f>
        <v>168</v>
      </c>
      <c r="AA454" s="10">
        <f>Cleaned_data[[#This Row],[Quantity]]*Cleaned_data[[#This Row],[Unit_Price]]</f>
        <v>883.14</v>
      </c>
      <c r="AB454" s="10">
        <f>Cleaned_data[[#This Row],[Unit_Price]]*Cleaned_data[[#This Row],[Discount_Pct]]</f>
        <v>20.6066</v>
      </c>
      <c r="AC454" s="10">
        <f>Cleaned_data[[#This Row],[Gross Sales]]-Cleaned_data[[#This Row],[Discount amount]]</f>
        <v>862.53340000000003</v>
      </c>
      <c r="AD454" s="10">
        <f>Cleaned_data[[#This Row],[Product Cost]]*Cleaned_data[[#This Row],[Quantity]]</f>
        <v>504</v>
      </c>
      <c r="AE454" s="10">
        <f>Cleaned_data[[#This Row],[Net Sales]]-Cleaned_data[[#This Row],[COGS]]</f>
        <v>358.53340000000003</v>
      </c>
      <c r="AF454" s="11">
        <f>Cleaned_data[[#This Row],[Gross Profit]]/Cleaned_data[[#This Row],[Net Sales]]</f>
        <v>0.41567480169463583</v>
      </c>
      <c r="AG454">
        <f>Cleaned_data[[#This Row],[Ship_Date]]-Cleaned_data[[#This Row],[Order_Date]]</f>
        <v>9</v>
      </c>
      <c r="AH454" t="str">
        <f>IF(Cleaned_data[[#This Row],[Delivery Days]]&gt;10,"late","on time")</f>
        <v>on time</v>
      </c>
      <c r="AI454" t="str">
        <f>TEXT(Cleaned_data[[#This Row],[Order_Date]],"mmmm")</f>
        <v>April</v>
      </c>
      <c r="AJ454" s="9" t="str">
        <f>"Q"&amp;ROUNDUP(MONTH(Cleaned_data[[#This Row],[Order_Date]])/3,0)</f>
        <v>Q2</v>
      </c>
    </row>
    <row r="455" spans="1:36">
      <c r="A455" t="s">
        <v>943</v>
      </c>
      <c r="B455" s="9">
        <v>45765</v>
      </c>
      <c r="C455" s="9">
        <v>45767</v>
      </c>
      <c r="D455" t="s">
        <v>315</v>
      </c>
      <c r="E455" t="s">
        <v>316</v>
      </c>
      <c r="F455" t="s">
        <v>89</v>
      </c>
      <c r="G455" t="s">
        <v>75</v>
      </c>
      <c r="H455" t="s">
        <v>273</v>
      </c>
      <c r="I455" t="s">
        <v>274</v>
      </c>
      <c r="J455" t="s">
        <v>109</v>
      </c>
      <c r="K455" t="s">
        <v>130</v>
      </c>
      <c r="L455" t="s">
        <v>359</v>
      </c>
      <c r="M455" t="s">
        <v>360</v>
      </c>
      <c r="N455" t="s">
        <v>93</v>
      </c>
      <c r="O455" t="s">
        <v>94</v>
      </c>
      <c r="P455" s="8">
        <v>4</v>
      </c>
      <c r="Q455" s="10">
        <v>463.25</v>
      </c>
      <c r="R455" s="11">
        <v>0.88</v>
      </c>
      <c r="S455" s="10">
        <v>27.5</v>
      </c>
      <c r="T455" t="s">
        <v>84</v>
      </c>
      <c r="U455" t="s">
        <v>85</v>
      </c>
      <c r="V455" s="8">
        <v>5</v>
      </c>
      <c r="W455" t="s">
        <v>1270</v>
      </c>
      <c r="X455" t="str">
        <f>_xlfn.XLOOKUP(Cleaned_data[[#This Row],[Customer_ID]],Customers[S],Customers[Loyalty_Tier])</f>
        <v>Bronze</v>
      </c>
      <c r="Y455" s="9">
        <f>_xlfn.XLOOKUP(Cleaned_data[[#This Row],[Customer_ID]],Customers[S],Customers[Signup_Date])</f>
        <v>45787</v>
      </c>
      <c r="Z455" s="12">
        <f>_xlfn.XLOOKUP(Cleaned_data[[#This Row],[SKU]],Products[SKU],Products[Standard_Cost])</f>
        <v>265</v>
      </c>
      <c r="AA455" s="10">
        <f>Cleaned_data[[#This Row],[Quantity]]*Cleaned_data[[#This Row],[Unit_Price]]</f>
        <v>1853</v>
      </c>
      <c r="AB455" s="10">
        <f>Cleaned_data[[#This Row],[Unit_Price]]*Cleaned_data[[#This Row],[Discount_Pct]]</f>
        <v>407.66</v>
      </c>
      <c r="AC455" s="10">
        <f>Cleaned_data[[#This Row],[Gross Sales]]-Cleaned_data[[#This Row],[Discount amount]]</f>
        <v>1445.34</v>
      </c>
      <c r="AD455" s="10">
        <f>Cleaned_data[[#This Row],[Product Cost]]*Cleaned_data[[#This Row],[Quantity]]</f>
        <v>1060</v>
      </c>
      <c r="AE455" s="10">
        <f>Cleaned_data[[#This Row],[Net Sales]]-Cleaned_data[[#This Row],[COGS]]</f>
        <v>385.33999999999992</v>
      </c>
      <c r="AF455" s="11">
        <f>Cleaned_data[[#This Row],[Gross Profit]]/Cleaned_data[[#This Row],[Net Sales]]</f>
        <v>0.26660854885355689</v>
      </c>
      <c r="AG455">
        <f>Cleaned_data[[#This Row],[Ship_Date]]-Cleaned_data[[#This Row],[Order_Date]]</f>
        <v>2</v>
      </c>
      <c r="AH455" t="str">
        <f>IF(Cleaned_data[[#This Row],[Delivery Days]]&gt;10,"late","on time")</f>
        <v>on time</v>
      </c>
      <c r="AI455" t="str">
        <f>TEXT(Cleaned_data[[#This Row],[Order_Date]],"mmmm")</f>
        <v>April</v>
      </c>
      <c r="AJ455" s="9" t="str">
        <f>"Q"&amp;ROUNDUP(MONTH(Cleaned_data[[#This Row],[Order_Date]])/3,0)</f>
        <v>Q2</v>
      </c>
    </row>
    <row r="456" spans="1:36">
      <c r="A456" t="s">
        <v>944</v>
      </c>
      <c r="B456" s="9">
        <v>45766</v>
      </c>
      <c r="C456" s="9">
        <v>45771</v>
      </c>
      <c r="D456" t="s">
        <v>258</v>
      </c>
      <c r="E456" t="s">
        <v>259</v>
      </c>
      <c r="F456" t="s">
        <v>152</v>
      </c>
      <c r="G456" t="s">
        <v>194</v>
      </c>
      <c r="H456" t="s">
        <v>225</v>
      </c>
      <c r="I456" t="s">
        <v>226</v>
      </c>
      <c r="J456" t="s">
        <v>219</v>
      </c>
      <c r="K456" t="s">
        <v>147</v>
      </c>
      <c r="L456" t="s">
        <v>141</v>
      </c>
      <c r="M456" t="s">
        <v>142</v>
      </c>
      <c r="N456" t="s">
        <v>103</v>
      </c>
      <c r="O456" t="s">
        <v>143</v>
      </c>
      <c r="P456" s="8">
        <v>5</v>
      </c>
      <c r="Q456" s="10">
        <v>38.15</v>
      </c>
      <c r="R456" s="11">
        <v>0.08</v>
      </c>
      <c r="S456" s="10">
        <v>13.45</v>
      </c>
      <c r="T456" t="s">
        <v>105</v>
      </c>
      <c r="U456" t="s">
        <v>85</v>
      </c>
      <c r="V456" s="8">
        <v>2</v>
      </c>
      <c r="W456" t="s">
        <v>1270</v>
      </c>
      <c r="X456" t="str">
        <f>_xlfn.XLOOKUP(Cleaned_data[[#This Row],[Customer_ID]],Customers[S],Customers[Loyalty_Tier])</f>
        <v>Gold</v>
      </c>
      <c r="Y456" s="9">
        <f>_xlfn.XLOOKUP(Cleaned_data[[#This Row],[Customer_ID]],Customers[S],Customers[Signup_Date])</f>
        <v>45514</v>
      </c>
      <c r="Z456" s="12">
        <f>_xlfn.XLOOKUP(Cleaned_data[[#This Row],[SKU]],Products[SKU],Products[Standard_Cost])</f>
        <v>18</v>
      </c>
      <c r="AA456" s="10">
        <f>Cleaned_data[[#This Row],[Quantity]]*Cleaned_data[[#This Row],[Unit_Price]]</f>
        <v>190.75</v>
      </c>
      <c r="AB456" s="10">
        <f>Cleaned_data[[#This Row],[Unit_Price]]*Cleaned_data[[#This Row],[Discount_Pct]]</f>
        <v>3.052</v>
      </c>
      <c r="AC456" s="10">
        <f>Cleaned_data[[#This Row],[Gross Sales]]-Cleaned_data[[#This Row],[Discount amount]]</f>
        <v>187.69800000000001</v>
      </c>
      <c r="AD456" s="10">
        <f>Cleaned_data[[#This Row],[Product Cost]]*Cleaned_data[[#This Row],[Quantity]]</f>
        <v>90</v>
      </c>
      <c r="AE456" s="10">
        <f>Cleaned_data[[#This Row],[Net Sales]]-Cleaned_data[[#This Row],[COGS]]</f>
        <v>97.698000000000008</v>
      </c>
      <c r="AF456" s="11">
        <f>Cleaned_data[[#This Row],[Gross Profit]]/Cleaned_data[[#This Row],[Net Sales]]</f>
        <v>0.5205063452993639</v>
      </c>
      <c r="AG456">
        <f>Cleaned_data[[#This Row],[Ship_Date]]-Cleaned_data[[#This Row],[Order_Date]]</f>
        <v>5</v>
      </c>
      <c r="AH456" t="str">
        <f>IF(Cleaned_data[[#This Row],[Delivery Days]]&gt;10,"late","on time")</f>
        <v>on time</v>
      </c>
      <c r="AI456" t="str">
        <f>TEXT(Cleaned_data[[#This Row],[Order_Date]],"mmmm")</f>
        <v>April</v>
      </c>
      <c r="AJ456" s="9" t="str">
        <f>"Q"&amp;ROUNDUP(MONTH(Cleaned_data[[#This Row],[Order_Date]])/3,0)</f>
        <v>Q2</v>
      </c>
    </row>
    <row r="457" spans="1:36">
      <c r="A457" t="s">
        <v>945</v>
      </c>
      <c r="B457" s="9">
        <v>45767</v>
      </c>
      <c r="C457" s="9">
        <v>46037</v>
      </c>
      <c r="D457" t="s">
        <v>856</v>
      </c>
      <c r="E457" t="s">
        <v>857</v>
      </c>
      <c r="F457" t="s">
        <v>74</v>
      </c>
      <c r="G457" t="s">
        <v>75</v>
      </c>
      <c r="H457" t="s">
        <v>273</v>
      </c>
      <c r="I457" t="s">
        <v>274</v>
      </c>
      <c r="J457" t="s">
        <v>78</v>
      </c>
      <c r="K457" t="s">
        <v>147</v>
      </c>
      <c r="L457" t="s">
        <v>169</v>
      </c>
      <c r="M457" t="s">
        <v>170</v>
      </c>
      <c r="N457" t="s">
        <v>103</v>
      </c>
      <c r="O457" t="s">
        <v>171</v>
      </c>
      <c r="P457" s="8">
        <v>5</v>
      </c>
      <c r="Q457" s="10">
        <v>15.35</v>
      </c>
      <c r="R457" s="11">
        <v>0.05</v>
      </c>
      <c r="S457" s="10">
        <v>11.07</v>
      </c>
      <c r="T457" t="s">
        <v>84</v>
      </c>
      <c r="U457" t="s">
        <v>148</v>
      </c>
      <c r="V457" s="8">
        <v>5</v>
      </c>
      <c r="W457" t="s">
        <v>1277</v>
      </c>
      <c r="X457" t="str">
        <f>_xlfn.XLOOKUP(Cleaned_data[[#This Row],[Customer_ID]],Customers[S],Customers[Loyalty_Tier])</f>
        <v>Platinum</v>
      </c>
      <c r="Y457" s="9">
        <f>_xlfn.XLOOKUP(Cleaned_data[[#This Row],[Customer_ID]],Customers[S],Customers[Signup_Date])</f>
        <v>45454</v>
      </c>
      <c r="Z457" s="12">
        <f>_xlfn.XLOOKUP(Cleaned_data[[#This Row],[SKU]],Products[SKU],Products[Standard_Cost])</f>
        <v>6</v>
      </c>
      <c r="AA457" s="10">
        <f>Cleaned_data[[#This Row],[Quantity]]*Cleaned_data[[#This Row],[Unit_Price]]</f>
        <v>76.75</v>
      </c>
      <c r="AB457" s="10">
        <f>Cleaned_data[[#This Row],[Unit_Price]]*Cleaned_data[[#This Row],[Discount_Pct]]</f>
        <v>0.76750000000000007</v>
      </c>
      <c r="AC457" s="10">
        <f>Cleaned_data[[#This Row],[Gross Sales]]-Cleaned_data[[#This Row],[Discount amount]]</f>
        <v>75.982500000000002</v>
      </c>
      <c r="AD457" s="10">
        <f>Cleaned_data[[#This Row],[Product Cost]]*Cleaned_data[[#This Row],[Quantity]]</f>
        <v>30</v>
      </c>
      <c r="AE457" s="10">
        <f>Cleaned_data[[#This Row],[Net Sales]]-Cleaned_data[[#This Row],[COGS]]</f>
        <v>45.982500000000002</v>
      </c>
      <c r="AF457" s="11">
        <f>Cleaned_data[[#This Row],[Gross Profit]]/Cleaned_data[[#This Row],[Net Sales]]</f>
        <v>0.60517224360872568</v>
      </c>
      <c r="AG457">
        <f>Cleaned_data[[#This Row],[Ship_Date]]-Cleaned_data[[#This Row],[Order_Date]]</f>
        <v>270</v>
      </c>
      <c r="AH457" t="str">
        <f>IF(Cleaned_data[[#This Row],[Delivery Days]]&gt;10,"late","on time")</f>
        <v>late</v>
      </c>
      <c r="AI457" t="str">
        <f>TEXT(Cleaned_data[[#This Row],[Order_Date]],"mmmm")</f>
        <v>April</v>
      </c>
      <c r="AJ457" s="9" t="str">
        <f>"Q"&amp;ROUNDUP(MONTH(Cleaned_data[[#This Row],[Order_Date]])/3,0)</f>
        <v>Q2</v>
      </c>
    </row>
    <row r="458" spans="1:36">
      <c r="A458" t="s">
        <v>946</v>
      </c>
      <c r="B458" s="9">
        <v>45769</v>
      </c>
      <c r="C458" s="9">
        <v>45779</v>
      </c>
      <c r="D458" t="s">
        <v>173</v>
      </c>
      <c r="E458" t="s">
        <v>174</v>
      </c>
      <c r="F458" t="s">
        <v>89</v>
      </c>
      <c r="G458" t="s">
        <v>126</v>
      </c>
      <c r="H458" t="s">
        <v>127</v>
      </c>
      <c r="I458" t="s">
        <v>128</v>
      </c>
      <c r="J458" t="s">
        <v>129</v>
      </c>
      <c r="K458" t="s">
        <v>90</v>
      </c>
      <c r="L458" t="s">
        <v>242</v>
      </c>
      <c r="M458" t="s">
        <v>243</v>
      </c>
      <c r="N458" t="s">
        <v>120</v>
      </c>
      <c r="O458" t="s">
        <v>133</v>
      </c>
      <c r="P458" s="8">
        <v>2</v>
      </c>
      <c r="Q458" s="10">
        <v>191.27</v>
      </c>
      <c r="R458" s="11">
        <v>0.06</v>
      </c>
      <c r="S458" s="10">
        <v>8.7799999999999994</v>
      </c>
      <c r="T458" t="s">
        <v>134</v>
      </c>
      <c r="U458" t="s">
        <v>85</v>
      </c>
      <c r="V458" s="8">
        <v>3</v>
      </c>
      <c r="W458" t="s">
        <v>1270</v>
      </c>
      <c r="X458" t="str">
        <f>_xlfn.XLOOKUP(Cleaned_data[[#This Row],[Customer_ID]],Customers[S],Customers[Loyalty_Tier])</f>
        <v>Gold</v>
      </c>
      <c r="Y458" s="9">
        <f>_xlfn.XLOOKUP(Cleaned_data[[#This Row],[Customer_ID]],Customers[S],Customers[Signup_Date])</f>
        <v>44543</v>
      </c>
      <c r="Z458" s="12">
        <f>_xlfn.XLOOKUP(Cleaned_data[[#This Row],[SKU]],Products[SKU],Products[Standard_Cost])</f>
        <v>96</v>
      </c>
      <c r="AA458" s="10">
        <f>Cleaned_data[[#This Row],[Quantity]]*Cleaned_data[[#This Row],[Unit_Price]]</f>
        <v>382.54</v>
      </c>
      <c r="AB458" s="10">
        <f>Cleaned_data[[#This Row],[Unit_Price]]*Cleaned_data[[#This Row],[Discount_Pct]]</f>
        <v>11.4762</v>
      </c>
      <c r="AC458" s="10">
        <f>Cleaned_data[[#This Row],[Gross Sales]]-Cleaned_data[[#This Row],[Discount amount]]</f>
        <v>371.06380000000001</v>
      </c>
      <c r="AD458" s="10">
        <f>Cleaned_data[[#This Row],[Product Cost]]*Cleaned_data[[#This Row],[Quantity]]</f>
        <v>192</v>
      </c>
      <c r="AE458" s="10">
        <f>Cleaned_data[[#This Row],[Net Sales]]-Cleaned_data[[#This Row],[COGS]]</f>
        <v>179.06380000000001</v>
      </c>
      <c r="AF458" s="11">
        <f>Cleaned_data[[#This Row],[Gross Profit]]/Cleaned_data[[#This Row],[Net Sales]]</f>
        <v>0.48256876580253855</v>
      </c>
      <c r="AG458">
        <f>Cleaned_data[[#This Row],[Ship_Date]]-Cleaned_data[[#This Row],[Order_Date]]</f>
        <v>10</v>
      </c>
      <c r="AH458" t="str">
        <f>IF(Cleaned_data[[#This Row],[Delivery Days]]&gt;10,"late","on time")</f>
        <v>on time</v>
      </c>
      <c r="AI458" t="str">
        <f>TEXT(Cleaned_data[[#This Row],[Order_Date]],"mmmm")</f>
        <v>April</v>
      </c>
      <c r="AJ458" s="9" t="str">
        <f>"Q"&amp;ROUNDUP(MONTH(Cleaned_data[[#This Row],[Order_Date]])/3,0)</f>
        <v>Q2</v>
      </c>
    </row>
    <row r="459" spans="1:36">
      <c r="A459" t="s">
        <v>947</v>
      </c>
      <c r="B459" s="9">
        <v>45770</v>
      </c>
      <c r="C459" s="9">
        <v>45776</v>
      </c>
      <c r="D459" t="s">
        <v>591</v>
      </c>
      <c r="E459" t="s">
        <v>592</v>
      </c>
      <c r="F459" t="s">
        <v>74</v>
      </c>
      <c r="G459" t="s">
        <v>126</v>
      </c>
      <c r="H459" t="s">
        <v>160</v>
      </c>
      <c r="I459" t="s">
        <v>161</v>
      </c>
      <c r="J459" t="s">
        <v>109</v>
      </c>
      <c r="K459" t="s">
        <v>100</v>
      </c>
      <c r="L459" t="s">
        <v>175</v>
      </c>
      <c r="M459" t="s">
        <v>176</v>
      </c>
      <c r="N459" t="s">
        <v>93</v>
      </c>
      <c r="O459" t="s">
        <v>177</v>
      </c>
      <c r="P459" s="8">
        <v>3</v>
      </c>
      <c r="Q459" s="10">
        <v>167.24</v>
      </c>
      <c r="R459" s="11">
        <v>0.11</v>
      </c>
      <c r="S459" s="10">
        <v>25.89</v>
      </c>
      <c r="T459" t="s">
        <v>84</v>
      </c>
      <c r="U459" t="s">
        <v>85</v>
      </c>
      <c r="V459" s="8">
        <v>2</v>
      </c>
      <c r="W459" t="s">
        <v>1270</v>
      </c>
      <c r="X459" t="str">
        <f>_xlfn.XLOOKUP(Cleaned_data[[#This Row],[Customer_ID]],Customers[S],Customers[Loyalty_Tier])</f>
        <v>Bronze</v>
      </c>
      <c r="Y459" s="9">
        <f>_xlfn.XLOOKUP(Cleaned_data[[#This Row],[Customer_ID]],Customers[S],Customers[Signup_Date])</f>
        <v>44938</v>
      </c>
      <c r="Z459" s="12">
        <f>_xlfn.XLOOKUP(Cleaned_data[[#This Row],[SKU]],Products[SKU],Products[Standard_Cost])</f>
        <v>88</v>
      </c>
      <c r="AA459" s="10">
        <f>Cleaned_data[[#This Row],[Quantity]]*Cleaned_data[[#This Row],[Unit_Price]]</f>
        <v>501.72</v>
      </c>
      <c r="AB459" s="10">
        <f>Cleaned_data[[#This Row],[Unit_Price]]*Cleaned_data[[#This Row],[Discount_Pct]]</f>
        <v>18.3964</v>
      </c>
      <c r="AC459" s="10">
        <f>Cleaned_data[[#This Row],[Gross Sales]]-Cleaned_data[[#This Row],[Discount amount]]</f>
        <v>483.32360000000006</v>
      </c>
      <c r="AD459" s="10">
        <f>Cleaned_data[[#This Row],[Product Cost]]*Cleaned_data[[#This Row],[Quantity]]</f>
        <v>264</v>
      </c>
      <c r="AE459" s="10">
        <f>Cleaned_data[[#This Row],[Net Sales]]-Cleaned_data[[#This Row],[COGS]]</f>
        <v>219.32360000000006</v>
      </c>
      <c r="AF459" s="11">
        <f>Cleaned_data[[#This Row],[Gross Profit]]/Cleaned_data[[#This Row],[Net Sales]]</f>
        <v>0.45378210374995143</v>
      </c>
      <c r="AG459">
        <f>Cleaned_data[[#This Row],[Ship_Date]]-Cleaned_data[[#This Row],[Order_Date]]</f>
        <v>6</v>
      </c>
      <c r="AH459" t="str">
        <f>IF(Cleaned_data[[#This Row],[Delivery Days]]&gt;10,"late","on time")</f>
        <v>on time</v>
      </c>
      <c r="AI459" t="str">
        <f>TEXT(Cleaned_data[[#This Row],[Order_Date]],"mmmm")</f>
        <v>April</v>
      </c>
      <c r="AJ459" s="9" t="str">
        <f>"Q"&amp;ROUNDUP(MONTH(Cleaned_data[[#This Row],[Order_Date]])/3,0)</f>
        <v>Q2</v>
      </c>
    </row>
    <row r="460" spans="1:36">
      <c r="A460" t="s">
        <v>948</v>
      </c>
      <c r="B460" s="9">
        <v>45770</v>
      </c>
      <c r="C460" s="9">
        <v>45779</v>
      </c>
      <c r="D460" t="s">
        <v>720</v>
      </c>
      <c r="E460" t="s">
        <v>721</v>
      </c>
      <c r="F460" t="s">
        <v>89</v>
      </c>
      <c r="G460" t="s">
        <v>75</v>
      </c>
      <c r="H460" t="s">
        <v>212</v>
      </c>
      <c r="I460" t="s">
        <v>213</v>
      </c>
      <c r="J460" t="s">
        <v>129</v>
      </c>
      <c r="K460" t="s">
        <v>100</v>
      </c>
      <c r="L460" t="s">
        <v>301</v>
      </c>
      <c r="M460" t="s">
        <v>302</v>
      </c>
      <c r="N460" t="s">
        <v>120</v>
      </c>
      <c r="O460" t="s">
        <v>190</v>
      </c>
      <c r="P460" s="8">
        <v>4</v>
      </c>
      <c r="Q460" s="10">
        <v>133.57</v>
      </c>
      <c r="R460" s="11">
        <v>0.1</v>
      </c>
      <c r="S460" s="10">
        <v>12.92</v>
      </c>
      <c r="T460" t="s">
        <v>134</v>
      </c>
      <c r="U460" t="s">
        <v>85</v>
      </c>
      <c r="V460" s="8">
        <v>4</v>
      </c>
      <c r="W460" t="s">
        <v>1270</v>
      </c>
      <c r="X460" t="str">
        <f>_xlfn.XLOOKUP(Cleaned_data[[#This Row],[Customer_ID]],Customers[S],Customers[Loyalty_Tier])</f>
        <v>Gold</v>
      </c>
      <c r="Y460" s="9">
        <f>_xlfn.XLOOKUP(Cleaned_data[[#This Row],[Customer_ID]],Customers[S],Customers[Signup_Date])</f>
        <v>44538</v>
      </c>
      <c r="Z460" s="12">
        <f>_xlfn.XLOOKUP(Cleaned_data[[#This Row],[SKU]],Products[SKU],Products[Standard_Cost])</f>
        <v>72</v>
      </c>
      <c r="AA460" s="10">
        <f>Cleaned_data[[#This Row],[Quantity]]*Cleaned_data[[#This Row],[Unit_Price]]</f>
        <v>534.28</v>
      </c>
      <c r="AB460" s="10">
        <f>Cleaned_data[[#This Row],[Unit_Price]]*Cleaned_data[[#This Row],[Discount_Pct]]</f>
        <v>13.356999999999999</v>
      </c>
      <c r="AC460" s="10">
        <f>Cleaned_data[[#This Row],[Gross Sales]]-Cleaned_data[[#This Row],[Discount amount]]</f>
        <v>520.923</v>
      </c>
      <c r="AD460" s="10">
        <f>Cleaned_data[[#This Row],[Product Cost]]*Cleaned_data[[#This Row],[Quantity]]</f>
        <v>288</v>
      </c>
      <c r="AE460" s="10">
        <f>Cleaned_data[[#This Row],[Net Sales]]-Cleaned_data[[#This Row],[COGS]]</f>
        <v>232.923</v>
      </c>
      <c r="AF460" s="11">
        <f>Cleaned_data[[#This Row],[Gross Profit]]/Cleaned_data[[#This Row],[Net Sales]]</f>
        <v>0.44713518120720336</v>
      </c>
      <c r="AG460">
        <f>Cleaned_data[[#This Row],[Ship_Date]]-Cleaned_data[[#This Row],[Order_Date]]</f>
        <v>9</v>
      </c>
      <c r="AH460" t="str">
        <f>IF(Cleaned_data[[#This Row],[Delivery Days]]&gt;10,"late","on time")</f>
        <v>on time</v>
      </c>
      <c r="AI460" t="str">
        <f>TEXT(Cleaned_data[[#This Row],[Order_Date]],"mmmm")</f>
        <v>April</v>
      </c>
      <c r="AJ460" s="9" t="str">
        <f>"Q"&amp;ROUNDUP(MONTH(Cleaned_data[[#This Row],[Order_Date]])/3,0)</f>
        <v>Q2</v>
      </c>
    </row>
    <row r="461" spans="1:36">
      <c r="A461" t="s">
        <v>949</v>
      </c>
      <c r="B461" s="9">
        <v>45771</v>
      </c>
      <c r="C461" s="9">
        <v>45773</v>
      </c>
      <c r="D461" t="s">
        <v>150</v>
      </c>
      <c r="E461" t="s">
        <v>151</v>
      </c>
      <c r="F461" t="s">
        <v>152</v>
      </c>
      <c r="G461" t="s">
        <v>138</v>
      </c>
      <c r="H461" t="s">
        <v>153</v>
      </c>
      <c r="I461" t="s">
        <v>154</v>
      </c>
      <c r="J461" t="s">
        <v>109</v>
      </c>
      <c r="K461" t="s">
        <v>100</v>
      </c>
      <c r="L461" t="s">
        <v>254</v>
      </c>
      <c r="M461" t="s">
        <v>255</v>
      </c>
      <c r="N461" t="s">
        <v>82</v>
      </c>
      <c r="O461" t="s">
        <v>83</v>
      </c>
      <c r="P461" s="8">
        <v>7</v>
      </c>
      <c r="Q461" s="10">
        <v>94.99</v>
      </c>
      <c r="R461" s="11">
        <v>0.03</v>
      </c>
      <c r="S461" s="10">
        <v>8.7799999999999994</v>
      </c>
      <c r="T461" t="s">
        <v>84</v>
      </c>
      <c r="U461" t="s">
        <v>85</v>
      </c>
      <c r="V461" s="8">
        <v>4</v>
      </c>
      <c r="W461" t="s">
        <v>1270</v>
      </c>
      <c r="X461" t="str">
        <f>_xlfn.XLOOKUP(Cleaned_data[[#This Row],[Customer_ID]],Customers[S],Customers[Loyalty_Tier])</f>
        <v>Platinum</v>
      </c>
      <c r="Y461" s="9">
        <f>_xlfn.XLOOKUP(Cleaned_data[[#This Row],[Customer_ID]],Customers[S],Customers[Signup_Date])</f>
        <v>45858</v>
      </c>
      <c r="Z461" s="12">
        <f>_xlfn.XLOOKUP(Cleaned_data[[#This Row],[SKU]],Products[SKU],Products[Standard_Cost])</f>
        <v>48</v>
      </c>
      <c r="AA461" s="10">
        <f>Cleaned_data[[#This Row],[Quantity]]*Cleaned_data[[#This Row],[Unit_Price]]</f>
        <v>664.93</v>
      </c>
      <c r="AB461" s="10">
        <f>Cleaned_data[[#This Row],[Unit_Price]]*Cleaned_data[[#This Row],[Discount_Pct]]</f>
        <v>2.8496999999999999</v>
      </c>
      <c r="AC461" s="10">
        <f>Cleaned_data[[#This Row],[Gross Sales]]-Cleaned_data[[#This Row],[Discount amount]]</f>
        <v>662.08029999999997</v>
      </c>
      <c r="AD461" s="10">
        <f>Cleaned_data[[#This Row],[Product Cost]]*Cleaned_data[[#This Row],[Quantity]]</f>
        <v>336</v>
      </c>
      <c r="AE461" s="10">
        <f>Cleaned_data[[#This Row],[Net Sales]]-Cleaned_data[[#This Row],[COGS]]</f>
        <v>326.08029999999997</v>
      </c>
      <c r="AF461" s="11">
        <f>Cleaned_data[[#This Row],[Gross Profit]]/Cleaned_data[[#This Row],[Net Sales]]</f>
        <v>0.49250868814553156</v>
      </c>
      <c r="AG461">
        <f>Cleaned_data[[#This Row],[Ship_Date]]-Cleaned_data[[#This Row],[Order_Date]]</f>
        <v>2</v>
      </c>
      <c r="AH461" t="str">
        <f>IF(Cleaned_data[[#This Row],[Delivery Days]]&gt;10,"late","on time")</f>
        <v>on time</v>
      </c>
      <c r="AI461" t="str">
        <f>TEXT(Cleaned_data[[#This Row],[Order_Date]],"mmmm")</f>
        <v>April</v>
      </c>
      <c r="AJ461" s="9" t="str">
        <f>"Q"&amp;ROUNDUP(MONTH(Cleaned_data[[#This Row],[Order_Date]])/3,0)</f>
        <v>Q2</v>
      </c>
    </row>
    <row r="462" spans="1:36">
      <c r="A462" t="s">
        <v>950</v>
      </c>
      <c r="B462" s="9">
        <v>45772</v>
      </c>
      <c r="C462" s="9">
        <v>45775</v>
      </c>
      <c r="D462" t="s">
        <v>145</v>
      </c>
      <c r="E462" t="s">
        <v>146</v>
      </c>
      <c r="F462" t="s">
        <v>74</v>
      </c>
      <c r="G462" t="s">
        <v>75</v>
      </c>
      <c r="H462" t="s">
        <v>116</v>
      </c>
      <c r="I462" t="s">
        <v>117</v>
      </c>
      <c r="J462" t="s">
        <v>109</v>
      </c>
      <c r="K462" t="s">
        <v>79</v>
      </c>
      <c r="L462" t="s">
        <v>197</v>
      </c>
      <c r="M462" t="s">
        <v>198</v>
      </c>
      <c r="N462" t="s">
        <v>120</v>
      </c>
      <c r="O462" t="s">
        <v>121</v>
      </c>
      <c r="P462" s="8">
        <v>3</v>
      </c>
      <c r="Q462" s="10">
        <v>552.66999999999996</v>
      </c>
      <c r="R462" s="11">
        <v>0.06</v>
      </c>
      <c r="S462" s="10">
        <v>7.36</v>
      </c>
      <c r="T462" t="s">
        <v>84</v>
      </c>
      <c r="U462" t="s">
        <v>85</v>
      </c>
      <c r="W462" t="s">
        <v>1270</v>
      </c>
      <c r="X462" t="str">
        <f>_xlfn.XLOOKUP(Cleaned_data[[#This Row],[Customer_ID]],Customers[S],Customers[Loyalty_Tier])</f>
        <v>Platinum</v>
      </c>
      <c r="Y462" s="9">
        <f>_xlfn.XLOOKUP(Cleaned_data[[#This Row],[Customer_ID]],Customers[S],Customers[Signup_Date])</f>
        <v>44668</v>
      </c>
      <c r="Z462" s="12">
        <f>_xlfn.XLOOKUP(Cleaned_data[[#This Row],[SKU]],Products[SKU],Products[Standard_Cost])</f>
        <v>310</v>
      </c>
      <c r="AA462" s="10">
        <f>Cleaned_data[[#This Row],[Quantity]]*Cleaned_data[[#This Row],[Unit_Price]]</f>
        <v>1658.0099999999998</v>
      </c>
      <c r="AB462" s="10">
        <f>Cleaned_data[[#This Row],[Unit_Price]]*Cleaned_data[[#This Row],[Discount_Pct]]</f>
        <v>33.160199999999996</v>
      </c>
      <c r="AC462" s="10">
        <f>Cleaned_data[[#This Row],[Gross Sales]]-Cleaned_data[[#This Row],[Discount amount]]</f>
        <v>1624.8497999999997</v>
      </c>
      <c r="AD462" s="10">
        <f>Cleaned_data[[#This Row],[Product Cost]]*Cleaned_data[[#This Row],[Quantity]]</f>
        <v>930</v>
      </c>
      <c r="AE462" s="10">
        <f>Cleaned_data[[#This Row],[Net Sales]]-Cleaned_data[[#This Row],[COGS]]</f>
        <v>694.84979999999973</v>
      </c>
      <c r="AF462" s="11">
        <f>Cleaned_data[[#This Row],[Gross Profit]]/Cleaned_data[[#This Row],[Net Sales]]</f>
        <v>0.42763940396213845</v>
      </c>
      <c r="AG462">
        <f>Cleaned_data[[#This Row],[Ship_Date]]-Cleaned_data[[#This Row],[Order_Date]]</f>
        <v>3</v>
      </c>
      <c r="AH462" t="str">
        <f>IF(Cleaned_data[[#This Row],[Delivery Days]]&gt;10,"late","on time")</f>
        <v>on time</v>
      </c>
      <c r="AI462" t="str">
        <f>TEXT(Cleaned_data[[#This Row],[Order_Date]],"mmmm")</f>
        <v>April</v>
      </c>
      <c r="AJ462" s="9" t="str">
        <f>"Q"&amp;ROUNDUP(MONTH(Cleaned_data[[#This Row],[Order_Date]])/3,0)</f>
        <v>Q2</v>
      </c>
    </row>
    <row r="463" spans="1:36">
      <c r="A463" t="s">
        <v>951</v>
      </c>
      <c r="B463" s="9">
        <v>45775</v>
      </c>
      <c r="C463" s="9">
        <v>45780</v>
      </c>
      <c r="D463" t="s">
        <v>145</v>
      </c>
      <c r="E463" t="s">
        <v>146</v>
      </c>
      <c r="F463" t="s">
        <v>74</v>
      </c>
      <c r="G463" t="s">
        <v>75</v>
      </c>
      <c r="H463" t="s">
        <v>116</v>
      </c>
      <c r="I463" t="s">
        <v>117</v>
      </c>
      <c r="J463" t="s">
        <v>129</v>
      </c>
      <c r="K463" t="s">
        <v>147</v>
      </c>
      <c r="L463" t="s">
        <v>249</v>
      </c>
      <c r="M463" t="s">
        <v>250</v>
      </c>
      <c r="N463" t="s">
        <v>103</v>
      </c>
      <c r="O463" t="s">
        <v>251</v>
      </c>
      <c r="P463" s="8">
        <v>10</v>
      </c>
      <c r="Q463" s="10">
        <v>22.95</v>
      </c>
      <c r="R463" s="11">
        <v>0.05</v>
      </c>
      <c r="S463" s="10">
        <v>14.59</v>
      </c>
      <c r="T463" t="s">
        <v>105</v>
      </c>
      <c r="U463" t="s">
        <v>85</v>
      </c>
      <c r="V463" s="8">
        <v>4</v>
      </c>
      <c r="W463" t="s">
        <v>1270</v>
      </c>
      <c r="X463" t="str">
        <f>_xlfn.XLOOKUP(Cleaned_data[[#This Row],[Customer_ID]],Customers[S],Customers[Loyalty_Tier])</f>
        <v>Platinum</v>
      </c>
      <c r="Y463" s="9">
        <f>_xlfn.XLOOKUP(Cleaned_data[[#This Row],[Customer_ID]],Customers[S],Customers[Signup_Date])</f>
        <v>44668</v>
      </c>
      <c r="Z463" s="12">
        <f>_xlfn.XLOOKUP(Cleaned_data[[#This Row],[SKU]],Products[SKU],Products[Standard_Cost])</f>
        <v>10</v>
      </c>
      <c r="AA463" s="10">
        <f>Cleaned_data[[#This Row],[Quantity]]*Cleaned_data[[#This Row],[Unit_Price]]</f>
        <v>229.5</v>
      </c>
      <c r="AB463" s="10">
        <f>Cleaned_data[[#This Row],[Unit_Price]]*Cleaned_data[[#This Row],[Discount_Pct]]</f>
        <v>1.1475</v>
      </c>
      <c r="AC463" s="10">
        <f>Cleaned_data[[#This Row],[Gross Sales]]-Cleaned_data[[#This Row],[Discount amount]]</f>
        <v>228.35249999999999</v>
      </c>
      <c r="AD463" s="10">
        <f>Cleaned_data[[#This Row],[Product Cost]]*Cleaned_data[[#This Row],[Quantity]]</f>
        <v>100</v>
      </c>
      <c r="AE463" s="10">
        <f>Cleaned_data[[#This Row],[Net Sales]]-Cleaned_data[[#This Row],[COGS]]</f>
        <v>128.35249999999999</v>
      </c>
      <c r="AF463" s="11">
        <f>Cleaned_data[[#This Row],[Gross Profit]]/Cleaned_data[[#This Row],[Net Sales]]</f>
        <v>0.56208055528185585</v>
      </c>
      <c r="AG463">
        <f>Cleaned_data[[#This Row],[Ship_Date]]-Cleaned_data[[#This Row],[Order_Date]]</f>
        <v>5</v>
      </c>
      <c r="AH463" t="str">
        <f>IF(Cleaned_data[[#This Row],[Delivery Days]]&gt;10,"late","on time")</f>
        <v>on time</v>
      </c>
      <c r="AI463" t="str">
        <f>TEXT(Cleaned_data[[#This Row],[Order_Date]],"mmmm")</f>
        <v>April</v>
      </c>
      <c r="AJ463" s="9" t="str">
        <f>"Q"&amp;ROUNDUP(MONTH(Cleaned_data[[#This Row],[Order_Date]])/3,0)</f>
        <v>Q2</v>
      </c>
    </row>
    <row r="464" spans="1:36">
      <c r="A464" t="s">
        <v>952</v>
      </c>
      <c r="B464" s="9">
        <v>45775</v>
      </c>
      <c r="C464" s="9">
        <v>45781</v>
      </c>
      <c r="D464" t="s">
        <v>598</v>
      </c>
      <c r="E464" t="s">
        <v>599</v>
      </c>
      <c r="F464" t="s">
        <v>89</v>
      </c>
      <c r="G464" t="s">
        <v>138</v>
      </c>
      <c r="H464" t="s">
        <v>457</v>
      </c>
      <c r="I464" t="s">
        <v>458</v>
      </c>
      <c r="J464" t="s">
        <v>109</v>
      </c>
      <c r="K464" t="s">
        <v>147</v>
      </c>
      <c r="L464" t="s">
        <v>91</v>
      </c>
      <c r="M464" t="s">
        <v>92</v>
      </c>
      <c r="N464" t="s">
        <v>93</v>
      </c>
      <c r="O464" t="s">
        <v>94</v>
      </c>
      <c r="P464" s="8">
        <v>4</v>
      </c>
      <c r="Q464" s="10">
        <v>336.25</v>
      </c>
      <c r="R464" s="11">
        <v>0.11</v>
      </c>
      <c r="S464" s="10">
        <v>25.45</v>
      </c>
      <c r="T464" t="s">
        <v>122</v>
      </c>
      <c r="U464" t="s">
        <v>85</v>
      </c>
      <c r="V464" s="8">
        <v>5</v>
      </c>
      <c r="W464" t="s">
        <v>1270</v>
      </c>
      <c r="X464" t="str">
        <f>_xlfn.XLOOKUP(Cleaned_data[[#This Row],[Customer_ID]],Customers[S],Customers[Loyalty_Tier])</f>
        <v>Platinum</v>
      </c>
      <c r="Y464" s="9">
        <f>_xlfn.XLOOKUP(Cleaned_data[[#This Row],[Customer_ID]],Customers[S],Customers[Signup_Date])</f>
        <v>45908</v>
      </c>
      <c r="Z464" s="12">
        <f>_xlfn.XLOOKUP(Cleaned_data[[#This Row],[SKU]],Products[SKU],Products[Standard_Cost])</f>
        <v>184</v>
      </c>
      <c r="AA464" s="10">
        <f>Cleaned_data[[#This Row],[Quantity]]*Cleaned_data[[#This Row],[Unit_Price]]</f>
        <v>1345</v>
      </c>
      <c r="AB464" s="10">
        <f>Cleaned_data[[#This Row],[Unit_Price]]*Cleaned_data[[#This Row],[Discount_Pct]]</f>
        <v>36.987499999999997</v>
      </c>
      <c r="AC464" s="10">
        <f>Cleaned_data[[#This Row],[Gross Sales]]-Cleaned_data[[#This Row],[Discount amount]]</f>
        <v>1308.0125</v>
      </c>
      <c r="AD464" s="10">
        <f>Cleaned_data[[#This Row],[Product Cost]]*Cleaned_data[[#This Row],[Quantity]]</f>
        <v>736</v>
      </c>
      <c r="AE464" s="10">
        <f>Cleaned_data[[#This Row],[Net Sales]]-Cleaned_data[[#This Row],[COGS]]</f>
        <v>572.01250000000005</v>
      </c>
      <c r="AF464" s="11">
        <f>Cleaned_data[[#This Row],[Gross Profit]]/Cleaned_data[[#This Row],[Net Sales]]</f>
        <v>0.43731424585009704</v>
      </c>
      <c r="AG464">
        <f>Cleaned_data[[#This Row],[Ship_Date]]-Cleaned_data[[#This Row],[Order_Date]]</f>
        <v>6</v>
      </c>
      <c r="AH464" t="str">
        <f>IF(Cleaned_data[[#This Row],[Delivery Days]]&gt;10,"late","on time")</f>
        <v>on time</v>
      </c>
      <c r="AI464" t="str">
        <f>TEXT(Cleaned_data[[#This Row],[Order_Date]],"mmmm")</f>
        <v>April</v>
      </c>
      <c r="AJ464" s="9" t="str">
        <f>"Q"&amp;ROUNDUP(MONTH(Cleaned_data[[#This Row],[Order_Date]])/3,0)</f>
        <v>Q2</v>
      </c>
    </row>
    <row r="465" spans="1:36">
      <c r="A465" t="s">
        <v>953</v>
      </c>
      <c r="B465" s="9">
        <v>45775</v>
      </c>
      <c r="C465" s="9">
        <v>45777</v>
      </c>
      <c r="D465" t="s">
        <v>248</v>
      </c>
      <c r="E465" t="s">
        <v>137</v>
      </c>
      <c r="F465" t="s">
        <v>74</v>
      </c>
      <c r="G465" t="s">
        <v>75</v>
      </c>
      <c r="H465" t="s">
        <v>98</v>
      </c>
      <c r="I465" t="s">
        <v>99</v>
      </c>
      <c r="J465" t="s">
        <v>219</v>
      </c>
      <c r="K465" t="s">
        <v>130</v>
      </c>
      <c r="L465" t="s">
        <v>337</v>
      </c>
      <c r="M465" t="s">
        <v>338</v>
      </c>
      <c r="N465" t="s">
        <v>93</v>
      </c>
      <c r="O465" t="s">
        <v>236</v>
      </c>
      <c r="P465" s="8">
        <v>4</v>
      </c>
      <c r="Q465" s="10">
        <v>265.82</v>
      </c>
      <c r="R465" s="11">
        <v>0.28999999999999998</v>
      </c>
      <c r="S465" s="10">
        <v>18.28</v>
      </c>
      <c r="T465" t="s">
        <v>105</v>
      </c>
      <c r="U465" t="s">
        <v>85</v>
      </c>
      <c r="V465" s="8">
        <v>2</v>
      </c>
      <c r="W465" t="s">
        <v>1270</v>
      </c>
      <c r="X465" t="str">
        <f>_xlfn.XLOOKUP(Cleaned_data[[#This Row],[Customer_ID]],Customers[S],Customers[Loyalty_Tier])</f>
        <v>Gold</v>
      </c>
      <c r="Y465" s="9">
        <f>_xlfn.XLOOKUP(Cleaned_data[[#This Row],[Customer_ID]],Customers[S],Customers[Signup_Date])</f>
        <v>45204</v>
      </c>
      <c r="Z465" s="12">
        <f>_xlfn.XLOOKUP(Cleaned_data[[#This Row],[SKU]],Products[SKU],Products[Standard_Cost])</f>
        <v>146</v>
      </c>
      <c r="AA465" s="10">
        <f>Cleaned_data[[#This Row],[Quantity]]*Cleaned_data[[#This Row],[Unit_Price]]</f>
        <v>1063.28</v>
      </c>
      <c r="AB465" s="10">
        <f>Cleaned_data[[#This Row],[Unit_Price]]*Cleaned_data[[#This Row],[Discount_Pct]]</f>
        <v>77.087799999999987</v>
      </c>
      <c r="AC465" s="10">
        <f>Cleaned_data[[#This Row],[Gross Sales]]-Cleaned_data[[#This Row],[Discount amount]]</f>
        <v>986.19219999999996</v>
      </c>
      <c r="AD465" s="10">
        <f>Cleaned_data[[#This Row],[Product Cost]]*Cleaned_data[[#This Row],[Quantity]]</f>
        <v>584</v>
      </c>
      <c r="AE465" s="10">
        <f>Cleaned_data[[#This Row],[Net Sales]]-Cleaned_data[[#This Row],[COGS]]</f>
        <v>402.19219999999996</v>
      </c>
      <c r="AF465" s="11">
        <f>Cleaned_data[[#This Row],[Gross Profit]]/Cleaned_data[[#This Row],[Net Sales]]</f>
        <v>0.40782334315765223</v>
      </c>
      <c r="AG465">
        <f>Cleaned_data[[#This Row],[Ship_Date]]-Cleaned_data[[#This Row],[Order_Date]]</f>
        <v>2</v>
      </c>
      <c r="AH465" t="str">
        <f>IF(Cleaned_data[[#This Row],[Delivery Days]]&gt;10,"late","on time")</f>
        <v>on time</v>
      </c>
      <c r="AI465" t="str">
        <f>TEXT(Cleaned_data[[#This Row],[Order_Date]],"mmmm")</f>
        <v>April</v>
      </c>
      <c r="AJ465" s="9" t="str">
        <f>"Q"&amp;ROUNDUP(MONTH(Cleaned_data[[#This Row],[Order_Date]])/3,0)</f>
        <v>Q2</v>
      </c>
    </row>
    <row r="466" spans="1:36">
      <c r="A466" t="s">
        <v>954</v>
      </c>
      <c r="B466" s="9">
        <v>45776</v>
      </c>
      <c r="C466" s="9">
        <v>45778</v>
      </c>
      <c r="D466" t="s">
        <v>598</v>
      </c>
      <c r="E466" t="s">
        <v>599</v>
      </c>
      <c r="F466" t="s">
        <v>89</v>
      </c>
      <c r="G466" t="s">
        <v>138</v>
      </c>
      <c r="H466" t="s">
        <v>457</v>
      </c>
      <c r="I466" t="s">
        <v>458</v>
      </c>
      <c r="J466" t="s">
        <v>219</v>
      </c>
      <c r="K466" t="s">
        <v>100</v>
      </c>
      <c r="L466" t="s">
        <v>337</v>
      </c>
      <c r="M466" t="s">
        <v>338</v>
      </c>
      <c r="N466" t="s">
        <v>93</v>
      </c>
      <c r="O466" t="s">
        <v>236</v>
      </c>
      <c r="P466" s="8">
        <v>3</v>
      </c>
      <c r="Q466" s="10">
        <v>267.25</v>
      </c>
      <c r="R466" s="11">
        <v>0.06</v>
      </c>
      <c r="S466" s="10">
        <v>23.14</v>
      </c>
      <c r="T466" t="s">
        <v>84</v>
      </c>
      <c r="U466" t="s">
        <v>85</v>
      </c>
      <c r="V466" s="8">
        <v>4</v>
      </c>
      <c r="W466" t="s">
        <v>1270</v>
      </c>
      <c r="X466" t="str">
        <f>_xlfn.XLOOKUP(Cleaned_data[[#This Row],[Customer_ID]],Customers[S],Customers[Loyalty_Tier])</f>
        <v>Platinum</v>
      </c>
      <c r="Y466" s="9">
        <f>_xlfn.XLOOKUP(Cleaned_data[[#This Row],[Customer_ID]],Customers[S],Customers[Signup_Date])</f>
        <v>45908</v>
      </c>
      <c r="Z466" s="12">
        <f>_xlfn.XLOOKUP(Cleaned_data[[#This Row],[SKU]],Products[SKU],Products[Standard_Cost])</f>
        <v>146</v>
      </c>
      <c r="AA466" s="10">
        <f>Cleaned_data[[#This Row],[Quantity]]*Cleaned_data[[#This Row],[Unit_Price]]</f>
        <v>801.75</v>
      </c>
      <c r="AB466" s="10">
        <f>Cleaned_data[[#This Row],[Unit_Price]]*Cleaned_data[[#This Row],[Discount_Pct]]</f>
        <v>16.035</v>
      </c>
      <c r="AC466" s="10">
        <f>Cleaned_data[[#This Row],[Gross Sales]]-Cleaned_data[[#This Row],[Discount amount]]</f>
        <v>785.71500000000003</v>
      </c>
      <c r="AD466" s="10">
        <f>Cleaned_data[[#This Row],[Product Cost]]*Cleaned_data[[#This Row],[Quantity]]</f>
        <v>438</v>
      </c>
      <c r="AE466" s="10">
        <f>Cleaned_data[[#This Row],[Net Sales]]-Cleaned_data[[#This Row],[COGS]]</f>
        <v>347.71500000000003</v>
      </c>
      <c r="AF466" s="11">
        <f>Cleaned_data[[#This Row],[Gross Profit]]/Cleaned_data[[#This Row],[Net Sales]]</f>
        <v>0.44254596132185336</v>
      </c>
      <c r="AG466">
        <f>Cleaned_data[[#This Row],[Ship_Date]]-Cleaned_data[[#This Row],[Order_Date]]</f>
        <v>2</v>
      </c>
      <c r="AH466" t="str">
        <f>IF(Cleaned_data[[#This Row],[Delivery Days]]&gt;10,"late","on time")</f>
        <v>on time</v>
      </c>
      <c r="AI466" t="str">
        <f>TEXT(Cleaned_data[[#This Row],[Order_Date]],"mmmm")</f>
        <v>April</v>
      </c>
      <c r="AJ466" s="9" t="str">
        <f>"Q"&amp;ROUNDUP(MONTH(Cleaned_data[[#This Row],[Order_Date]])/3,0)</f>
        <v>Q2</v>
      </c>
    </row>
    <row r="467" spans="1:36">
      <c r="A467" t="s">
        <v>955</v>
      </c>
      <c r="B467" s="9">
        <v>45778</v>
      </c>
      <c r="C467" s="9">
        <v>45780</v>
      </c>
      <c r="D467" t="s">
        <v>287</v>
      </c>
      <c r="E467" t="s">
        <v>146</v>
      </c>
      <c r="F467" t="s">
        <v>89</v>
      </c>
      <c r="G467" t="s">
        <v>194</v>
      </c>
      <c r="H467" t="s">
        <v>195</v>
      </c>
      <c r="I467" t="s">
        <v>196</v>
      </c>
      <c r="J467" t="s">
        <v>78</v>
      </c>
      <c r="K467" t="s">
        <v>168</v>
      </c>
      <c r="L467" t="s">
        <v>337</v>
      </c>
      <c r="M467" t="s">
        <v>338</v>
      </c>
      <c r="N467" t="s">
        <v>93</v>
      </c>
      <c r="O467" t="s">
        <v>236</v>
      </c>
      <c r="P467" s="8">
        <v>1</v>
      </c>
      <c r="Q467" s="10">
        <v>276.88</v>
      </c>
      <c r="R467" s="11">
        <v>7.0000000000000007E-2</v>
      </c>
      <c r="S467" s="10">
        <v>22.62</v>
      </c>
      <c r="T467" t="s">
        <v>84</v>
      </c>
      <c r="U467" t="s">
        <v>85</v>
      </c>
      <c r="V467" s="8">
        <v>5</v>
      </c>
      <c r="W467" t="s">
        <v>1270</v>
      </c>
      <c r="X467" t="str">
        <f>_xlfn.XLOOKUP(Cleaned_data[[#This Row],[Customer_ID]],Customers[S],Customers[Loyalty_Tier])</f>
        <v>Gold</v>
      </c>
      <c r="Y467" s="9">
        <f>_xlfn.XLOOKUP(Cleaned_data[[#This Row],[Customer_ID]],Customers[S],Customers[Signup_Date])</f>
        <v>45848</v>
      </c>
      <c r="Z467" s="12">
        <f>_xlfn.XLOOKUP(Cleaned_data[[#This Row],[SKU]],Products[SKU],Products[Standard_Cost])</f>
        <v>146</v>
      </c>
      <c r="AA467" s="10">
        <f>Cleaned_data[[#This Row],[Quantity]]*Cleaned_data[[#This Row],[Unit_Price]]</f>
        <v>276.88</v>
      </c>
      <c r="AB467" s="10">
        <f>Cleaned_data[[#This Row],[Unit_Price]]*Cleaned_data[[#This Row],[Discount_Pct]]</f>
        <v>19.381600000000002</v>
      </c>
      <c r="AC467" s="10">
        <f>Cleaned_data[[#This Row],[Gross Sales]]-Cleaned_data[[#This Row],[Discount amount]]</f>
        <v>257.4984</v>
      </c>
      <c r="AD467" s="10">
        <f>Cleaned_data[[#This Row],[Product Cost]]*Cleaned_data[[#This Row],[Quantity]]</f>
        <v>146</v>
      </c>
      <c r="AE467" s="10">
        <f>Cleaned_data[[#This Row],[Net Sales]]-Cleaned_data[[#This Row],[COGS]]</f>
        <v>111.4984</v>
      </c>
      <c r="AF467" s="11">
        <f>Cleaned_data[[#This Row],[Gross Profit]]/Cleaned_data[[#This Row],[Net Sales]]</f>
        <v>0.43300618566950322</v>
      </c>
      <c r="AG467">
        <f>Cleaned_data[[#This Row],[Ship_Date]]-Cleaned_data[[#This Row],[Order_Date]]</f>
        <v>2</v>
      </c>
      <c r="AH467" t="str">
        <f>IF(Cleaned_data[[#This Row],[Delivery Days]]&gt;10,"late","on time")</f>
        <v>on time</v>
      </c>
      <c r="AI467" t="str">
        <f>TEXT(Cleaned_data[[#This Row],[Order_Date]],"mmmm")</f>
        <v>May</v>
      </c>
      <c r="AJ467" s="9" t="str">
        <f>"Q"&amp;ROUNDUP(MONTH(Cleaned_data[[#This Row],[Order_Date]])/3,0)</f>
        <v>Q2</v>
      </c>
    </row>
    <row r="468" spans="1:36">
      <c r="A468" t="s">
        <v>956</v>
      </c>
      <c r="B468" s="9">
        <v>45779</v>
      </c>
      <c r="C468" s="9">
        <v>45782</v>
      </c>
      <c r="D468" t="s">
        <v>205</v>
      </c>
      <c r="E468" t="s">
        <v>206</v>
      </c>
      <c r="F468" t="s">
        <v>74</v>
      </c>
      <c r="G468" t="s">
        <v>194</v>
      </c>
      <c r="H468" t="s">
        <v>202</v>
      </c>
      <c r="I468" t="s">
        <v>203</v>
      </c>
      <c r="J468" t="s">
        <v>109</v>
      </c>
      <c r="K468" t="s">
        <v>147</v>
      </c>
      <c r="L468" t="s">
        <v>188</v>
      </c>
      <c r="M468" t="s">
        <v>189</v>
      </c>
      <c r="N468" t="s">
        <v>120</v>
      </c>
      <c r="O468" t="s">
        <v>190</v>
      </c>
      <c r="P468" s="8">
        <v>3</v>
      </c>
      <c r="Q468" s="10">
        <v>61.59</v>
      </c>
      <c r="R468" s="11">
        <v>0.33</v>
      </c>
      <c r="S468" s="10">
        <v>5.39</v>
      </c>
      <c r="T468" t="s">
        <v>122</v>
      </c>
      <c r="U468" t="s">
        <v>85</v>
      </c>
      <c r="V468" s="8">
        <v>2</v>
      </c>
      <c r="W468" t="s">
        <v>1270</v>
      </c>
      <c r="X468" t="str">
        <f>_xlfn.XLOOKUP(Cleaned_data[[#This Row],[Customer_ID]],Customers[S],Customers[Loyalty_Tier])</f>
        <v>Silver</v>
      </c>
      <c r="Y468" s="9">
        <f>_xlfn.XLOOKUP(Cleaned_data[[#This Row],[Customer_ID]],Customers[S],Customers[Signup_Date])</f>
        <v>45725</v>
      </c>
      <c r="Z468" s="12">
        <f>_xlfn.XLOOKUP(Cleaned_data[[#This Row],[SKU]],Products[SKU],Products[Standard_Cost])</f>
        <v>28</v>
      </c>
      <c r="AA468" s="10">
        <f>Cleaned_data[[#This Row],[Quantity]]*Cleaned_data[[#This Row],[Unit_Price]]</f>
        <v>184.77</v>
      </c>
      <c r="AB468" s="10">
        <f>Cleaned_data[[#This Row],[Unit_Price]]*Cleaned_data[[#This Row],[Discount_Pct]]</f>
        <v>20.324700000000004</v>
      </c>
      <c r="AC468" s="10">
        <f>Cleaned_data[[#This Row],[Gross Sales]]-Cleaned_data[[#This Row],[Discount amount]]</f>
        <v>164.4453</v>
      </c>
      <c r="AD468" s="10">
        <f>Cleaned_data[[#This Row],[Product Cost]]*Cleaned_data[[#This Row],[Quantity]]</f>
        <v>84</v>
      </c>
      <c r="AE468" s="10">
        <f>Cleaned_data[[#This Row],[Net Sales]]-Cleaned_data[[#This Row],[COGS]]</f>
        <v>80.445300000000003</v>
      </c>
      <c r="AF468" s="11">
        <f>Cleaned_data[[#This Row],[Gross Profit]]/Cleaned_data[[#This Row],[Net Sales]]</f>
        <v>0.48919184677214855</v>
      </c>
      <c r="AG468">
        <f>Cleaned_data[[#This Row],[Ship_Date]]-Cleaned_data[[#This Row],[Order_Date]]</f>
        <v>3</v>
      </c>
      <c r="AH468" t="str">
        <f>IF(Cleaned_data[[#This Row],[Delivery Days]]&gt;10,"late","on time")</f>
        <v>on time</v>
      </c>
      <c r="AI468" t="str">
        <f>TEXT(Cleaned_data[[#This Row],[Order_Date]],"mmmm")</f>
        <v>May</v>
      </c>
      <c r="AJ468" s="9" t="str">
        <f>"Q"&amp;ROUNDUP(MONTH(Cleaned_data[[#This Row],[Order_Date]])/3,0)</f>
        <v>Q2</v>
      </c>
    </row>
    <row r="469" spans="1:36">
      <c r="A469" t="s">
        <v>957</v>
      </c>
      <c r="B469" s="9">
        <v>45780</v>
      </c>
      <c r="C469" s="9">
        <v>45785</v>
      </c>
      <c r="D469" t="s">
        <v>576</v>
      </c>
      <c r="E469" t="s">
        <v>577</v>
      </c>
      <c r="F469" t="s">
        <v>89</v>
      </c>
      <c r="G469" t="s">
        <v>126</v>
      </c>
      <c r="H469" t="s">
        <v>291</v>
      </c>
      <c r="I469" t="s">
        <v>292</v>
      </c>
      <c r="J469" t="s">
        <v>129</v>
      </c>
      <c r="K469" t="s">
        <v>130</v>
      </c>
      <c r="L469" t="s">
        <v>175</v>
      </c>
      <c r="M469" t="s">
        <v>176</v>
      </c>
      <c r="N469" t="s">
        <v>93</v>
      </c>
      <c r="O469" t="s">
        <v>177</v>
      </c>
      <c r="P469" s="8">
        <v>3</v>
      </c>
      <c r="Q469" s="10">
        <v>172.09</v>
      </c>
      <c r="R469" s="11">
        <v>0</v>
      </c>
      <c r="S469" s="10">
        <v>26.41</v>
      </c>
      <c r="T469" t="s">
        <v>122</v>
      </c>
      <c r="U469" t="s">
        <v>85</v>
      </c>
      <c r="W469" t="s">
        <v>1270</v>
      </c>
      <c r="X469" t="str">
        <f>_xlfn.XLOOKUP(Cleaned_data[[#This Row],[Customer_ID]],Customers[S],Customers[Loyalty_Tier])</f>
        <v>Bronze</v>
      </c>
      <c r="Y469" s="9">
        <f>_xlfn.XLOOKUP(Cleaned_data[[#This Row],[Customer_ID]],Customers[S],Customers[Signup_Date])</f>
        <v>44876</v>
      </c>
      <c r="Z469" s="12">
        <f>_xlfn.XLOOKUP(Cleaned_data[[#This Row],[SKU]],Products[SKU],Products[Standard_Cost])</f>
        <v>88</v>
      </c>
      <c r="AA469" s="10">
        <f>Cleaned_data[[#This Row],[Quantity]]*Cleaned_data[[#This Row],[Unit_Price]]</f>
        <v>516.27</v>
      </c>
      <c r="AB469" s="10">
        <f>Cleaned_data[[#This Row],[Unit_Price]]*Cleaned_data[[#This Row],[Discount_Pct]]</f>
        <v>0</v>
      </c>
      <c r="AC469" s="10">
        <f>Cleaned_data[[#This Row],[Gross Sales]]-Cleaned_data[[#This Row],[Discount amount]]</f>
        <v>516.27</v>
      </c>
      <c r="AD469" s="10">
        <f>Cleaned_data[[#This Row],[Product Cost]]*Cleaned_data[[#This Row],[Quantity]]</f>
        <v>264</v>
      </c>
      <c r="AE469" s="10">
        <f>Cleaned_data[[#This Row],[Net Sales]]-Cleaned_data[[#This Row],[COGS]]</f>
        <v>252.26999999999998</v>
      </c>
      <c r="AF469" s="11">
        <f>Cleaned_data[[#This Row],[Gross Profit]]/Cleaned_data[[#This Row],[Net Sales]]</f>
        <v>0.48863966529141728</v>
      </c>
      <c r="AG469">
        <f>Cleaned_data[[#This Row],[Ship_Date]]-Cleaned_data[[#This Row],[Order_Date]]</f>
        <v>5</v>
      </c>
      <c r="AH469" t="str">
        <f>IF(Cleaned_data[[#This Row],[Delivery Days]]&gt;10,"late","on time")</f>
        <v>on time</v>
      </c>
      <c r="AI469" t="str">
        <f>TEXT(Cleaned_data[[#This Row],[Order_Date]],"mmmm")</f>
        <v>May</v>
      </c>
      <c r="AJ469" s="9" t="str">
        <f>"Q"&amp;ROUNDUP(MONTH(Cleaned_data[[#This Row],[Order_Date]])/3,0)</f>
        <v>Q2</v>
      </c>
    </row>
    <row r="470" spans="1:36">
      <c r="A470" t="s">
        <v>958</v>
      </c>
      <c r="B470" s="9">
        <v>45784</v>
      </c>
      <c r="C470" s="9">
        <v>45788</v>
      </c>
      <c r="D470" t="s">
        <v>297</v>
      </c>
      <c r="E470" t="s">
        <v>298</v>
      </c>
      <c r="F470" t="s">
        <v>74</v>
      </c>
      <c r="G470" t="s">
        <v>126</v>
      </c>
      <c r="H470" t="s">
        <v>291</v>
      </c>
      <c r="I470" t="s">
        <v>292</v>
      </c>
      <c r="J470" t="s">
        <v>109</v>
      </c>
      <c r="K470" t="s">
        <v>130</v>
      </c>
      <c r="L470" t="s">
        <v>337</v>
      </c>
      <c r="M470" t="s">
        <v>338</v>
      </c>
      <c r="N470" t="s">
        <v>93</v>
      </c>
      <c r="O470" t="s">
        <v>236</v>
      </c>
      <c r="P470" s="8">
        <v>3</v>
      </c>
      <c r="Q470" s="10">
        <v>262.73</v>
      </c>
      <c r="R470" s="11">
        <v>0.09</v>
      </c>
      <c r="S470" s="10">
        <v>25.41</v>
      </c>
      <c r="T470" t="s">
        <v>122</v>
      </c>
      <c r="U470" t="s">
        <v>148</v>
      </c>
      <c r="V470" s="8">
        <v>5</v>
      </c>
      <c r="W470" t="s">
        <v>1270</v>
      </c>
      <c r="X470" t="str">
        <f>_xlfn.XLOOKUP(Cleaned_data[[#This Row],[Customer_ID]],Customers[S],Customers[Loyalty_Tier])</f>
        <v>Bronze</v>
      </c>
      <c r="Y470" s="9">
        <f>_xlfn.XLOOKUP(Cleaned_data[[#This Row],[Customer_ID]],Customers[S],Customers[Signup_Date])</f>
        <v>44911</v>
      </c>
      <c r="Z470" s="12">
        <f>_xlfn.XLOOKUP(Cleaned_data[[#This Row],[SKU]],Products[SKU],Products[Standard_Cost])</f>
        <v>146</v>
      </c>
      <c r="AA470" s="10">
        <f>Cleaned_data[[#This Row],[Quantity]]*Cleaned_data[[#This Row],[Unit_Price]]</f>
        <v>788.19</v>
      </c>
      <c r="AB470" s="10">
        <f>Cleaned_data[[#This Row],[Unit_Price]]*Cleaned_data[[#This Row],[Discount_Pct]]</f>
        <v>23.645700000000001</v>
      </c>
      <c r="AC470" s="10">
        <f>Cleaned_data[[#This Row],[Gross Sales]]-Cleaned_data[[#This Row],[Discount amount]]</f>
        <v>764.54430000000002</v>
      </c>
      <c r="AD470" s="10">
        <f>Cleaned_data[[#This Row],[Product Cost]]*Cleaned_data[[#This Row],[Quantity]]</f>
        <v>438</v>
      </c>
      <c r="AE470" s="10">
        <f>Cleaned_data[[#This Row],[Net Sales]]-Cleaned_data[[#This Row],[COGS]]</f>
        <v>326.54430000000002</v>
      </c>
      <c r="AF470" s="11">
        <f>Cleaned_data[[#This Row],[Gross Profit]]/Cleaned_data[[#This Row],[Net Sales]]</f>
        <v>0.42710971751407995</v>
      </c>
      <c r="AG470">
        <f>Cleaned_data[[#This Row],[Ship_Date]]-Cleaned_data[[#This Row],[Order_Date]]</f>
        <v>4</v>
      </c>
      <c r="AH470" t="str">
        <f>IF(Cleaned_data[[#This Row],[Delivery Days]]&gt;10,"late","on time")</f>
        <v>on time</v>
      </c>
      <c r="AI470" t="str">
        <f>TEXT(Cleaned_data[[#This Row],[Order_Date]],"mmmm")</f>
        <v>May</v>
      </c>
      <c r="AJ470" s="9" t="str">
        <f>"Q"&amp;ROUNDUP(MONTH(Cleaned_data[[#This Row],[Order_Date]])/3,0)</f>
        <v>Q2</v>
      </c>
    </row>
    <row r="471" spans="1:36">
      <c r="A471" t="s">
        <v>959</v>
      </c>
      <c r="B471" s="9">
        <v>45784</v>
      </c>
      <c r="C471" s="9">
        <v>45789</v>
      </c>
      <c r="D471" t="s">
        <v>180</v>
      </c>
      <c r="E471" t="s">
        <v>181</v>
      </c>
      <c r="F471" t="s">
        <v>74</v>
      </c>
      <c r="G471" t="s">
        <v>126</v>
      </c>
      <c r="H471" t="s">
        <v>160</v>
      </c>
      <c r="I471" t="s">
        <v>182</v>
      </c>
      <c r="J471" t="s">
        <v>109</v>
      </c>
      <c r="K471" t="s">
        <v>168</v>
      </c>
      <c r="L471" t="s">
        <v>214</v>
      </c>
      <c r="M471" t="s">
        <v>215</v>
      </c>
      <c r="N471" t="s">
        <v>103</v>
      </c>
      <c r="O471" t="s">
        <v>171</v>
      </c>
      <c r="P471" s="8">
        <v>2</v>
      </c>
      <c r="Q471" s="10">
        <v>12.22</v>
      </c>
      <c r="R471" s="11">
        <v>0.06</v>
      </c>
      <c r="S471" s="10">
        <v>13.34</v>
      </c>
      <c r="T471" t="s">
        <v>84</v>
      </c>
      <c r="U471" t="s">
        <v>85</v>
      </c>
      <c r="W471" t="s">
        <v>1270</v>
      </c>
      <c r="X471" t="str">
        <f>_xlfn.XLOOKUP(Cleaned_data[[#This Row],[Customer_ID]],Customers[S],Customers[Loyalty_Tier])</f>
        <v>Gold</v>
      </c>
      <c r="Y471" s="9">
        <f>_xlfn.XLOOKUP(Cleaned_data[[#This Row],[Customer_ID]],Customers[S],Customers[Signup_Date])</f>
        <v>45931</v>
      </c>
      <c r="Z471" s="12">
        <f>_xlfn.XLOOKUP(Cleaned_data[[#This Row],[SKU]],Products[SKU],Products[Standard_Cost])</f>
        <v>5</v>
      </c>
      <c r="AA471" s="10">
        <f>Cleaned_data[[#This Row],[Quantity]]*Cleaned_data[[#This Row],[Unit_Price]]</f>
        <v>24.44</v>
      </c>
      <c r="AB471" s="10">
        <f>Cleaned_data[[#This Row],[Unit_Price]]*Cleaned_data[[#This Row],[Discount_Pct]]</f>
        <v>0.73319999999999996</v>
      </c>
      <c r="AC471" s="10">
        <f>Cleaned_data[[#This Row],[Gross Sales]]-Cleaned_data[[#This Row],[Discount amount]]</f>
        <v>23.706800000000001</v>
      </c>
      <c r="AD471" s="10">
        <f>Cleaned_data[[#This Row],[Product Cost]]*Cleaned_data[[#This Row],[Quantity]]</f>
        <v>10</v>
      </c>
      <c r="AE471" s="10">
        <f>Cleaned_data[[#This Row],[Net Sales]]-Cleaned_data[[#This Row],[COGS]]</f>
        <v>13.706800000000001</v>
      </c>
      <c r="AF471" s="11">
        <f>Cleaned_data[[#This Row],[Gross Profit]]/Cleaned_data[[#This Row],[Net Sales]]</f>
        <v>0.57818010022440824</v>
      </c>
      <c r="AG471">
        <f>Cleaned_data[[#This Row],[Ship_Date]]-Cleaned_data[[#This Row],[Order_Date]]</f>
        <v>5</v>
      </c>
      <c r="AH471" t="str">
        <f>IF(Cleaned_data[[#This Row],[Delivery Days]]&gt;10,"late","on time")</f>
        <v>on time</v>
      </c>
      <c r="AI471" t="str">
        <f>TEXT(Cleaned_data[[#This Row],[Order_Date]],"mmmm")</f>
        <v>May</v>
      </c>
      <c r="AJ471" s="9" t="str">
        <f>"Q"&amp;ROUNDUP(MONTH(Cleaned_data[[#This Row],[Order_Date]])/3,0)</f>
        <v>Q2</v>
      </c>
    </row>
    <row r="472" spans="1:36">
      <c r="A472" t="s">
        <v>960</v>
      </c>
      <c r="B472" s="9">
        <v>45785</v>
      </c>
      <c r="C472" s="9">
        <v>45786</v>
      </c>
      <c r="D472" t="s">
        <v>223</v>
      </c>
      <c r="E472" t="s">
        <v>224</v>
      </c>
      <c r="F472" t="s">
        <v>152</v>
      </c>
      <c r="G472" t="s">
        <v>194</v>
      </c>
      <c r="H472" t="s">
        <v>225</v>
      </c>
      <c r="I472" t="s">
        <v>226</v>
      </c>
      <c r="J472" t="s">
        <v>78</v>
      </c>
      <c r="K472" t="s">
        <v>79</v>
      </c>
      <c r="L472" t="s">
        <v>220</v>
      </c>
      <c r="M472" t="s">
        <v>221</v>
      </c>
      <c r="N472" t="s">
        <v>93</v>
      </c>
      <c r="O472" t="s">
        <v>177</v>
      </c>
      <c r="P472" s="8">
        <v>2</v>
      </c>
      <c r="Q472" s="10">
        <v>237.16</v>
      </c>
      <c r="R472" s="11">
        <v>0.05</v>
      </c>
      <c r="S472" s="10">
        <v>22.33</v>
      </c>
      <c r="T472" t="s">
        <v>105</v>
      </c>
      <c r="U472" t="s">
        <v>85</v>
      </c>
      <c r="V472" s="8">
        <v>1</v>
      </c>
      <c r="W472" t="s">
        <v>1270</v>
      </c>
      <c r="X472" t="str">
        <f>_xlfn.XLOOKUP(Cleaned_data[[#This Row],[Customer_ID]],Customers[S],Customers[Loyalty_Tier])</f>
        <v>Platinum</v>
      </c>
      <c r="Y472" s="9">
        <f>_xlfn.XLOOKUP(Cleaned_data[[#This Row],[Customer_ID]],Customers[S],Customers[Signup_Date])</f>
        <v>45171</v>
      </c>
      <c r="Z472" s="12">
        <f>_xlfn.XLOOKUP(Cleaned_data[[#This Row],[SKU]],Products[SKU],Products[Standard_Cost])</f>
        <v>118</v>
      </c>
      <c r="AA472" s="10">
        <f>Cleaned_data[[#This Row],[Quantity]]*Cleaned_data[[#This Row],[Unit_Price]]</f>
        <v>474.32</v>
      </c>
      <c r="AB472" s="10">
        <f>Cleaned_data[[#This Row],[Unit_Price]]*Cleaned_data[[#This Row],[Discount_Pct]]</f>
        <v>11.858000000000001</v>
      </c>
      <c r="AC472" s="10">
        <f>Cleaned_data[[#This Row],[Gross Sales]]-Cleaned_data[[#This Row],[Discount amount]]</f>
        <v>462.46199999999999</v>
      </c>
      <c r="AD472" s="10">
        <f>Cleaned_data[[#This Row],[Product Cost]]*Cleaned_data[[#This Row],[Quantity]]</f>
        <v>236</v>
      </c>
      <c r="AE472" s="10">
        <f>Cleaned_data[[#This Row],[Net Sales]]-Cleaned_data[[#This Row],[COGS]]</f>
        <v>226.46199999999999</v>
      </c>
      <c r="AF472" s="11">
        <f>Cleaned_data[[#This Row],[Gross Profit]]/Cleaned_data[[#This Row],[Net Sales]]</f>
        <v>0.48968780137611306</v>
      </c>
      <c r="AG472">
        <f>Cleaned_data[[#This Row],[Ship_Date]]-Cleaned_data[[#This Row],[Order_Date]]</f>
        <v>1</v>
      </c>
      <c r="AH472" t="str">
        <f>IF(Cleaned_data[[#This Row],[Delivery Days]]&gt;10,"late","on time")</f>
        <v>on time</v>
      </c>
      <c r="AI472" t="str">
        <f>TEXT(Cleaned_data[[#This Row],[Order_Date]],"mmmm")</f>
        <v>May</v>
      </c>
      <c r="AJ472" s="9" t="str">
        <f>"Q"&amp;ROUNDUP(MONTH(Cleaned_data[[#This Row],[Order_Date]])/3,0)</f>
        <v>Q2</v>
      </c>
    </row>
    <row r="473" spans="1:36">
      <c r="A473" t="s">
        <v>961</v>
      </c>
      <c r="B473" s="9">
        <v>45785</v>
      </c>
      <c r="C473" s="9">
        <v>45794</v>
      </c>
      <c r="D473" t="s">
        <v>328</v>
      </c>
      <c r="E473" t="s">
        <v>329</v>
      </c>
      <c r="F473" t="s">
        <v>89</v>
      </c>
      <c r="G473" t="s">
        <v>75</v>
      </c>
      <c r="H473" t="s">
        <v>116</v>
      </c>
      <c r="I473" t="s">
        <v>117</v>
      </c>
      <c r="J473" t="s">
        <v>129</v>
      </c>
      <c r="K473" t="s">
        <v>90</v>
      </c>
      <c r="L473" t="s">
        <v>337</v>
      </c>
      <c r="M473" t="s">
        <v>338</v>
      </c>
      <c r="N473" t="s">
        <v>93</v>
      </c>
      <c r="O473" t="s">
        <v>236</v>
      </c>
      <c r="P473" s="8">
        <v>3</v>
      </c>
      <c r="Q473" s="10">
        <v>274.68</v>
      </c>
      <c r="R473" s="11">
        <v>0.06</v>
      </c>
      <c r="S473" s="10">
        <v>28.63</v>
      </c>
      <c r="T473" t="s">
        <v>105</v>
      </c>
      <c r="U473" t="s">
        <v>85</v>
      </c>
      <c r="V473" s="8">
        <v>5</v>
      </c>
      <c r="W473" t="s">
        <v>1270</v>
      </c>
      <c r="X473" t="str">
        <f>_xlfn.XLOOKUP(Cleaned_data[[#This Row],[Customer_ID]],Customers[S],Customers[Loyalty_Tier])</f>
        <v>Silver</v>
      </c>
      <c r="Y473" s="9">
        <f>_xlfn.XLOOKUP(Cleaned_data[[#This Row],[Customer_ID]],Customers[S],Customers[Signup_Date])</f>
        <v>45451</v>
      </c>
      <c r="Z473" s="12">
        <f>_xlfn.XLOOKUP(Cleaned_data[[#This Row],[SKU]],Products[SKU],Products[Standard_Cost])</f>
        <v>146</v>
      </c>
      <c r="AA473" s="10">
        <f>Cleaned_data[[#This Row],[Quantity]]*Cleaned_data[[#This Row],[Unit_Price]]</f>
        <v>824.04</v>
      </c>
      <c r="AB473" s="10">
        <f>Cleaned_data[[#This Row],[Unit_Price]]*Cleaned_data[[#This Row],[Discount_Pct]]</f>
        <v>16.480799999999999</v>
      </c>
      <c r="AC473" s="10">
        <f>Cleaned_data[[#This Row],[Gross Sales]]-Cleaned_data[[#This Row],[Discount amount]]</f>
        <v>807.55919999999992</v>
      </c>
      <c r="AD473" s="10">
        <f>Cleaned_data[[#This Row],[Product Cost]]*Cleaned_data[[#This Row],[Quantity]]</f>
        <v>438</v>
      </c>
      <c r="AE473" s="10">
        <f>Cleaned_data[[#This Row],[Net Sales]]-Cleaned_data[[#This Row],[COGS]]</f>
        <v>369.55919999999992</v>
      </c>
      <c r="AF473" s="11">
        <f>Cleaned_data[[#This Row],[Gross Profit]]/Cleaned_data[[#This Row],[Net Sales]]</f>
        <v>0.45762490229818442</v>
      </c>
      <c r="AG473">
        <f>Cleaned_data[[#This Row],[Ship_Date]]-Cleaned_data[[#This Row],[Order_Date]]</f>
        <v>9</v>
      </c>
      <c r="AH473" t="str">
        <f>IF(Cleaned_data[[#This Row],[Delivery Days]]&gt;10,"late","on time")</f>
        <v>on time</v>
      </c>
      <c r="AI473" t="str">
        <f>TEXT(Cleaned_data[[#This Row],[Order_Date]],"mmmm")</f>
        <v>May</v>
      </c>
      <c r="AJ473" s="9" t="str">
        <f>"Q"&amp;ROUNDUP(MONTH(Cleaned_data[[#This Row],[Order_Date]])/3,0)</f>
        <v>Q2</v>
      </c>
    </row>
    <row r="474" spans="1:36">
      <c r="A474" t="s">
        <v>962</v>
      </c>
      <c r="B474" s="9">
        <v>45785</v>
      </c>
      <c r="C474" s="9">
        <v>45793</v>
      </c>
      <c r="D474" t="s">
        <v>445</v>
      </c>
      <c r="E474" t="s">
        <v>446</v>
      </c>
      <c r="F474" t="s">
        <v>152</v>
      </c>
      <c r="G474" t="s">
        <v>126</v>
      </c>
      <c r="H474" t="s">
        <v>160</v>
      </c>
      <c r="I474" t="s">
        <v>182</v>
      </c>
      <c r="J474" t="s">
        <v>219</v>
      </c>
      <c r="K474" t="s">
        <v>79</v>
      </c>
      <c r="L474" t="s">
        <v>110</v>
      </c>
      <c r="M474" t="s">
        <v>111</v>
      </c>
      <c r="N474" t="s">
        <v>82</v>
      </c>
      <c r="O474" t="s">
        <v>112</v>
      </c>
      <c r="P474" s="8">
        <v>4</v>
      </c>
      <c r="Q474" s="10">
        <v>307.11</v>
      </c>
      <c r="R474" s="11">
        <v>7.0000000000000007E-2</v>
      </c>
      <c r="S474" s="10">
        <v>15.37</v>
      </c>
      <c r="T474" t="s">
        <v>84</v>
      </c>
      <c r="U474" t="s">
        <v>85</v>
      </c>
      <c r="W474" t="s">
        <v>1270</v>
      </c>
      <c r="X474" t="str">
        <f>_xlfn.XLOOKUP(Cleaned_data[[#This Row],[Customer_ID]],Customers[S],Customers[Loyalty_Tier])</f>
        <v>Bronze</v>
      </c>
      <c r="Y474" s="9">
        <f>_xlfn.XLOOKUP(Cleaned_data[[#This Row],[Customer_ID]],Customers[S],Customers[Signup_Date])</f>
        <v>45690</v>
      </c>
      <c r="Z474" s="12">
        <f>_xlfn.XLOOKUP(Cleaned_data[[#This Row],[SKU]],Products[SKU],Products[Standard_Cost])</f>
        <v>165</v>
      </c>
      <c r="AA474" s="10">
        <f>Cleaned_data[[#This Row],[Quantity]]*Cleaned_data[[#This Row],[Unit_Price]]</f>
        <v>1228.44</v>
      </c>
      <c r="AB474" s="10">
        <f>Cleaned_data[[#This Row],[Unit_Price]]*Cleaned_data[[#This Row],[Discount_Pct]]</f>
        <v>21.497700000000002</v>
      </c>
      <c r="AC474" s="10">
        <f>Cleaned_data[[#This Row],[Gross Sales]]-Cleaned_data[[#This Row],[Discount amount]]</f>
        <v>1206.9423000000002</v>
      </c>
      <c r="AD474" s="10">
        <f>Cleaned_data[[#This Row],[Product Cost]]*Cleaned_data[[#This Row],[Quantity]]</f>
        <v>660</v>
      </c>
      <c r="AE474" s="10">
        <f>Cleaned_data[[#This Row],[Net Sales]]-Cleaned_data[[#This Row],[COGS]]</f>
        <v>546.94230000000016</v>
      </c>
      <c r="AF474" s="11">
        <f>Cleaned_data[[#This Row],[Gross Profit]]/Cleaned_data[[#This Row],[Net Sales]]</f>
        <v>0.45316358536775131</v>
      </c>
      <c r="AG474">
        <f>Cleaned_data[[#This Row],[Ship_Date]]-Cleaned_data[[#This Row],[Order_Date]]</f>
        <v>8</v>
      </c>
      <c r="AH474" t="str">
        <f>IF(Cleaned_data[[#This Row],[Delivery Days]]&gt;10,"late","on time")</f>
        <v>on time</v>
      </c>
      <c r="AI474" t="str">
        <f>TEXT(Cleaned_data[[#This Row],[Order_Date]],"mmmm")</f>
        <v>May</v>
      </c>
      <c r="AJ474" s="9" t="str">
        <f>"Q"&amp;ROUNDUP(MONTH(Cleaned_data[[#This Row],[Order_Date]])/3,0)</f>
        <v>Q2</v>
      </c>
    </row>
    <row r="475" spans="1:36">
      <c r="A475" t="s">
        <v>963</v>
      </c>
      <c r="B475" s="9">
        <v>45786</v>
      </c>
      <c r="C475" s="9">
        <v>45790</v>
      </c>
      <c r="D475" t="s">
        <v>368</v>
      </c>
      <c r="E475" t="s">
        <v>369</v>
      </c>
      <c r="F475" t="s">
        <v>89</v>
      </c>
      <c r="G475" t="s">
        <v>194</v>
      </c>
      <c r="H475" t="s">
        <v>240</v>
      </c>
      <c r="I475" t="s">
        <v>241</v>
      </c>
      <c r="J475" t="s">
        <v>109</v>
      </c>
      <c r="K475" t="s">
        <v>168</v>
      </c>
      <c r="L475" t="s">
        <v>118</v>
      </c>
      <c r="M475" t="s">
        <v>119</v>
      </c>
      <c r="N475" t="s">
        <v>120</v>
      </c>
      <c r="O475" t="s">
        <v>121</v>
      </c>
      <c r="P475" s="8">
        <v>2</v>
      </c>
      <c r="Q475" s="10">
        <v>286.33999999999997</v>
      </c>
      <c r="R475" s="11">
        <v>0.08</v>
      </c>
      <c r="S475" s="10">
        <v>21.5</v>
      </c>
      <c r="T475" t="s">
        <v>105</v>
      </c>
      <c r="U475" t="s">
        <v>85</v>
      </c>
      <c r="V475" s="8">
        <v>2</v>
      </c>
      <c r="W475" t="s">
        <v>1270</v>
      </c>
      <c r="X475" t="str">
        <f>_xlfn.XLOOKUP(Cleaned_data[[#This Row],[Customer_ID]],Customers[S],Customers[Loyalty_Tier])</f>
        <v>Platinum</v>
      </c>
      <c r="Y475" s="9">
        <f>_xlfn.XLOOKUP(Cleaned_data[[#This Row],[Customer_ID]],Customers[S],Customers[Signup_Date])</f>
        <v>45670</v>
      </c>
      <c r="Z475" s="12">
        <f>_xlfn.XLOOKUP(Cleaned_data[[#This Row],[SKU]],Products[SKU],Products[Standard_Cost])</f>
        <v>168</v>
      </c>
      <c r="AA475" s="10">
        <f>Cleaned_data[[#This Row],[Quantity]]*Cleaned_data[[#This Row],[Unit_Price]]</f>
        <v>572.67999999999995</v>
      </c>
      <c r="AB475" s="10">
        <f>Cleaned_data[[#This Row],[Unit_Price]]*Cleaned_data[[#This Row],[Discount_Pct]]</f>
        <v>22.9072</v>
      </c>
      <c r="AC475" s="10">
        <f>Cleaned_data[[#This Row],[Gross Sales]]-Cleaned_data[[#This Row],[Discount amount]]</f>
        <v>549.77279999999996</v>
      </c>
      <c r="AD475" s="10">
        <f>Cleaned_data[[#This Row],[Product Cost]]*Cleaned_data[[#This Row],[Quantity]]</f>
        <v>336</v>
      </c>
      <c r="AE475" s="10">
        <f>Cleaned_data[[#This Row],[Net Sales]]-Cleaned_data[[#This Row],[COGS]]</f>
        <v>213.77279999999996</v>
      </c>
      <c r="AF475" s="11">
        <f>Cleaned_data[[#This Row],[Gross Profit]]/Cleaned_data[[#This Row],[Net Sales]]</f>
        <v>0.38883844380806032</v>
      </c>
      <c r="AG475">
        <f>Cleaned_data[[#This Row],[Ship_Date]]-Cleaned_data[[#This Row],[Order_Date]]</f>
        <v>4</v>
      </c>
      <c r="AH475" t="str">
        <f>IF(Cleaned_data[[#This Row],[Delivery Days]]&gt;10,"late","on time")</f>
        <v>on time</v>
      </c>
      <c r="AI475" t="str">
        <f>TEXT(Cleaned_data[[#This Row],[Order_Date]],"mmmm")</f>
        <v>May</v>
      </c>
      <c r="AJ475" s="9" t="str">
        <f>"Q"&amp;ROUNDUP(MONTH(Cleaned_data[[#This Row],[Order_Date]])/3,0)</f>
        <v>Q2</v>
      </c>
    </row>
    <row r="476" spans="1:36">
      <c r="A476" t="s">
        <v>964</v>
      </c>
      <c r="B476" s="9">
        <v>45787</v>
      </c>
      <c r="C476" s="9">
        <v>45788</v>
      </c>
      <c r="D476" t="s">
        <v>282</v>
      </c>
      <c r="E476" t="s">
        <v>283</v>
      </c>
      <c r="F476" t="s">
        <v>89</v>
      </c>
      <c r="G476" t="s">
        <v>75</v>
      </c>
      <c r="H476" t="s">
        <v>273</v>
      </c>
      <c r="I476" t="s">
        <v>274</v>
      </c>
      <c r="J476" t="s">
        <v>219</v>
      </c>
      <c r="K476" t="s">
        <v>100</v>
      </c>
      <c r="L476" t="s">
        <v>301</v>
      </c>
      <c r="M476" t="s">
        <v>302</v>
      </c>
      <c r="N476" t="s">
        <v>120</v>
      </c>
      <c r="O476" t="s">
        <v>190</v>
      </c>
      <c r="P476" s="8">
        <v>1</v>
      </c>
      <c r="Q476" s="10">
        <v>146.13999999999999</v>
      </c>
      <c r="R476" s="11">
        <v>0.03</v>
      </c>
      <c r="S476" s="10">
        <v>16.649999999999999</v>
      </c>
      <c r="T476" t="s">
        <v>105</v>
      </c>
      <c r="U476" t="s">
        <v>85</v>
      </c>
      <c r="V476" s="8">
        <v>4</v>
      </c>
      <c r="W476" t="s">
        <v>1270</v>
      </c>
      <c r="X476" t="str">
        <f>_xlfn.XLOOKUP(Cleaned_data[[#This Row],[Customer_ID]],Customers[S],Customers[Loyalty_Tier])</f>
        <v>Platinum</v>
      </c>
      <c r="Y476" s="9">
        <f>_xlfn.XLOOKUP(Cleaned_data[[#This Row],[Customer_ID]],Customers[S],Customers[Signup_Date])</f>
        <v>44737</v>
      </c>
      <c r="Z476" s="12">
        <f>_xlfn.XLOOKUP(Cleaned_data[[#This Row],[SKU]],Products[SKU],Products[Standard_Cost])</f>
        <v>72</v>
      </c>
      <c r="AA476" s="10">
        <f>Cleaned_data[[#This Row],[Quantity]]*Cleaned_data[[#This Row],[Unit_Price]]</f>
        <v>146.13999999999999</v>
      </c>
      <c r="AB476" s="10">
        <f>Cleaned_data[[#This Row],[Unit_Price]]*Cleaned_data[[#This Row],[Discount_Pct]]</f>
        <v>4.384199999999999</v>
      </c>
      <c r="AC476" s="10">
        <f>Cleaned_data[[#This Row],[Gross Sales]]-Cleaned_data[[#This Row],[Discount amount]]</f>
        <v>141.75579999999999</v>
      </c>
      <c r="AD476" s="10">
        <f>Cleaned_data[[#This Row],[Product Cost]]*Cleaned_data[[#This Row],[Quantity]]</f>
        <v>72</v>
      </c>
      <c r="AE476" s="10">
        <f>Cleaned_data[[#This Row],[Net Sales]]-Cleaned_data[[#This Row],[COGS]]</f>
        <v>69.755799999999994</v>
      </c>
      <c r="AF476" s="11">
        <f>Cleaned_data[[#This Row],[Gross Profit]]/Cleaned_data[[#This Row],[Net Sales]]</f>
        <v>0.49208427450587555</v>
      </c>
      <c r="AG476">
        <f>Cleaned_data[[#This Row],[Ship_Date]]-Cleaned_data[[#This Row],[Order_Date]]</f>
        <v>1</v>
      </c>
      <c r="AH476" t="str">
        <f>IF(Cleaned_data[[#This Row],[Delivery Days]]&gt;10,"late","on time")</f>
        <v>on time</v>
      </c>
      <c r="AI476" t="str">
        <f>TEXT(Cleaned_data[[#This Row],[Order_Date]],"mmmm")</f>
        <v>May</v>
      </c>
      <c r="AJ476" s="9" t="str">
        <f>"Q"&amp;ROUNDUP(MONTH(Cleaned_data[[#This Row],[Order_Date]])/3,0)</f>
        <v>Q2</v>
      </c>
    </row>
    <row r="477" spans="1:36">
      <c r="A477" t="s">
        <v>965</v>
      </c>
      <c r="B477" s="9">
        <v>45789</v>
      </c>
      <c r="C477" s="9">
        <v>45799</v>
      </c>
      <c r="D477" t="s">
        <v>335</v>
      </c>
      <c r="E477" t="s">
        <v>336</v>
      </c>
      <c r="F477" t="s">
        <v>74</v>
      </c>
      <c r="G477" t="s">
        <v>126</v>
      </c>
      <c r="H477" t="s">
        <v>291</v>
      </c>
      <c r="I477" t="s">
        <v>292</v>
      </c>
      <c r="J477" t="s">
        <v>78</v>
      </c>
      <c r="K477" t="s">
        <v>100</v>
      </c>
      <c r="L477" t="s">
        <v>284</v>
      </c>
      <c r="M477" t="s">
        <v>285</v>
      </c>
      <c r="N477" t="s">
        <v>103</v>
      </c>
      <c r="O477" t="s">
        <v>143</v>
      </c>
      <c r="P477" s="8">
        <v>2</v>
      </c>
      <c r="Q477" s="10">
        <v>29.09</v>
      </c>
      <c r="R477" s="11">
        <v>0</v>
      </c>
      <c r="S477" s="10">
        <v>10.81</v>
      </c>
      <c r="T477" t="s">
        <v>122</v>
      </c>
      <c r="U477" t="s">
        <v>85</v>
      </c>
      <c r="V477" s="8">
        <v>5</v>
      </c>
      <c r="W477" t="s">
        <v>1270</v>
      </c>
      <c r="X477" t="str">
        <f>_xlfn.XLOOKUP(Cleaned_data[[#This Row],[Customer_ID]],Customers[S],Customers[Loyalty_Tier])</f>
        <v>Bronze</v>
      </c>
      <c r="Y477" s="9">
        <f>_xlfn.XLOOKUP(Cleaned_data[[#This Row],[Customer_ID]],Customers[S],Customers[Signup_Date])</f>
        <v>44764</v>
      </c>
      <c r="Z477" s="12">
        <f>_xlfn.XLOOKUP(Cleaned_data[[#This Row],[SKU]],Products[SKU],Products[Standard_Cost])</f>
        <v>14</v>
      </c>
      <c r="AA477" s="10">
        <f>Cleaned_data[[#This Row],[Quantity]]*Cleaned_data[[#This Row],[Unit_Price]]</f>
        <v>58.18</v>
      </c>
      <c r="AB477" s="10">
        <f>Cleaned_data[[#This Row],[Unit_Price]]*Cleaned_data[[#This Row],[Discount_Pct]]</f>
        <v>0</v>
      </c>
      <c r="AC477" s="10">
        <f>Cleaned_data[[#This Row],[Gross Sales]]-Cleaned_data[[#This Row],[Discount amount]]</f>
        <v>58.18</v>
      </c>
      <c r="AD477" s="10">
        <f>Cleaned_data[[#This Row],[Product Cost]]*Cleaned_data[[#This Row],[Quantity]]</f>
        <v>28</v>
      </c>
      <c r="AE477" s="10">
        <f>Cleaned_data[[#This Row],[Net Sales]]-Cleaned_data[[#This Row],[COGS]]</f>
        <v>30.18</v>
      </c>
      <c r="AF477" s="11">
        <f>Cleaned_data[[#This Row],[Gross Profit]]/Cleaned_data[[#This Row],[Net Sales]]</f>
        <v>0.51873496046751466</v>
      </c>
      <c r="AG477">
        <f>Cleaned_data[[#This Row],[Ship_Date]]-Cleaned_data[[#This Row],[Order_Date]]</f>
        <v>10</v>
      </c>
      <c r="AH477" t="str">
        <f>IF(Cleaned_data[[#This Row],[Delivery Days]]&gt;10,"late","on time")</f>
        <v>on time</v>
      </c>
      <c r="AI477" t="str">
        <f>TEXT(Cleaned_data[[#This Row],[Order_Date]],"mmmm")</f>
        <v>May</v>
      </c>
      <c r="AJ477" s="9" t="str">
        <f>"Q"&amp;ROUNDUP(MONTH(Cleaned_data[[#This Row],[Order_Date]])/3,0)</f>
        <v>Q2</v>
      </c>
    </row>
    <row r="478" spans="1:36">
      <c r="A478" t="s">
        <v>966</v>
      </c>
      <c r="B478" s="9">
        <v>45789</v>
      </c>
      <c r="C478" s="9">
        <v>45794</v>
      </c>
      <c r="D478" t="s">
        <v>529</v>
      </c>
      <c r="E478" t="s">
        <v>397</v>
      </c>
      <c r="F478" t="s">
        <v>89</v>
      </c>
      <c r="G478" t="s">
        <v>194</v>
      </c>
      <c r="H478" t="s">
        <v>240</v>
      </c>
      <c r="I478" t="s">
        <v>241</v>
      </c>
      <c r="J478" t="s">
        <v>109</v>
      </c>
      <c r="K478" t="s">
        <v>147</v>
      </c>
      <c r="L478" t="s">
        <v>337</v>
      </c>
      <c r="M478" t="s">
        <v>338</v>
      </c>
      <c r="N478" t="s">
        <v>93</v>
      </c>
      <c r="O478" t="s">
        <v>236</v>
      </c>
      <c r="P478" s="8">
        <v>4</v>
      </c>
      <c r="Q478" s="10">
        <v>278.70999999999998</v>
      </c>
      <c r="R478" s="11">
        <v>7.0000000000000007E-2</v>
      </c>
      <c r="S478" s="10">
        <v>29.44</v>
      </c>
      <c r="T478" t="s">
        <v>122</v>
      </c>
      <c r="U478" t="s">
        <v>85</v>
      </c>
      <c r="W478" t="s">
        <v>1270</v>
      </c>
      <c r="X478" t="str">
        <f>_xlfn.XLOOKUP(Cleaned_data[[#This Row],[Customer_ID]],Customers[S],Customers[Loyalty_Tier])</f>
        <v>Bronze</v>
      </c>
      <c r="Y478" s="9">
        <f>_xlfn.XLOOKUP(Cleaned_data[[#This Row],[Customer_ID]],Customers[S],Customers[Signup_Date])</f>
        <v>45274</v>
      </c>
      <c r="Z478" s="12">
        <f>_xlfn.XLOOKUP(Cleaned_data[[#This Row],[SKU]],Products[SKU],Products[Standard_Cost])</f>
        <v>146</v>
      </c>
      <c r="AA478" s="10">
        <f>Cleaned_data[[#This Row],[Quantity]]*Cleaned_data[[#This Row],[Unit_Price]]</f>
        <v>1114.8399999999999</v>
      </c>
      <c r="AB478" s="10">
        <f>Cleaned_data[[#This Row],[Unit_Price]]*Cleaned_data[[#This Row],[Discount_Pct]]</f>
        <v>19.509699999999999</v>
      </c>
      <c r="AC478" s="10">
        <f>Cleaned_data[[#This Row],[Gross Sales]]-Cleaned_data[[#This Row],[Discount amount]]</f>
        <v>1095.3302999999999</v>
      </c>
      <c r="AD478" s="10">
        <f>Cleaned_data[[#This Row],[Product Cost]]*Cleaned_data[[#This Row],[Quantity]]</f>
        <v>584</v>
      </c>
      <c r="AE478" s="10">
        <f>Cleaned_data[[#This Row],[Net Sales]]-Cleaned_data[[#This Row],[COGS]]</f>
        <v>511.33029999999985</v>
      </c>
      <c r="AF478" s="11">
        <f>Cleaned_data[[#This Row],[Gross Profit]]/Cleaned_data[[#This Row],[Net Sales]]</f>
        <v>0.46682749486616038</v>
      </c>
      <c r="AG478">
        <f>Cleaned_data[[#This Row],[Ship_Date]]-Cleaned_data[[#This Row],[Order_Date]]</f>
        <v>5</v>
      </c>
      <c r="AH478" t="str">
        <f>IF(Cleaned_data[[#This Row],[Delivery Days]]&gt;10,"late","on time")</f>
        <v>on time</v>
      </c>
      <c r="AI478" t="str">
        <f>TEXT(Cleaned_data[[#This Row],[Order_Date]],"mmmm")</f>
        <v>May</v>
      </c>
      <c r="AJ478" s="9" t="str">
        <f>"Q"&amp;ROUNDUP(MONTH(Cleaned_data[[#This Row],[Order_Date]])/3,0)</f>
        <v>Q2</v>
      </c>
    </row>
    <row r="479" spans="1:36">
      <c r="A479" t="s">
        <v>967</v>
      </c>
      <c r="B479" s="9">
        <v>45790</v>
      </c>
      <c r="C479" s="9">
        <v>45788</v>
      </c>
      <c r="D479" t="s">
        <v>550</v>
      </c>
      <c r="E479" t="s">
        <v>218</v>
      </c>
      <c r="F479" t="s">
        <v>152</v>
      </c>
      <c r="G479" t="s">
        <v>126</v>
      </c>
      <c r="H479" t="s">
        <v>127</v>
      </c>
      <c r="I479" t="s">
        <v>128</v>
      </c>
      <c r="J479" t="s">
        <v>219</v>
      </c>
      <c r="K479" t="s">
        <v>130</v>
      </c>
      <c r="L479" t="s">
        <v>249</v>
      </c>
      <c r="M479" t="s">
        <v>250</v>
      </c>
      <c r="N479" t="s">
        <v>103</v>
      </c>
      <c r="O479" t="s">
        <v>251</v>
      </c>
      <c r="P479" s="8">
        <v>5</v>
      </c>
      <c r="Q479" s="10">
        <v>22.44</v>
      </c>
      <c r="R479" s="11">
        <v>0.09</v>
      </c>
      <c r="S479" s="10">
        <v>16.55</v>
      </c>
      <c r="T479" t="s">
        <v>105</v>
      </c>
      <c r="U479" t="s">
        <v>85</v>
      </c>
      <c r="V479" s="8">
        <v>5</v>
      </c>
      <c r="W479" t="s">
        <v>1275</v>
      </c>
      <c r="X479" t="str">
        <f>_xlfn.XLOOKUP(Cleaned_data[[#This Row],[Customer_ID]],Customers[S],Customers[Loyalty_Tier])</f>
        <v>Platinum</v>
      </c>
      <c r="Y479" s="9">
        <f>_xlfn.XLOOKUP(Cleaned_data[[#This Row],[Customer_ID]],Customers[S],Customers[Signup_Date])</f>
        <v>44903</v>
      </c>
      <c r="Z479" s="12">
        <f>_xlfn.XLOOKUP(Cleaned_data[[#This Row],[SKU]],Products[SKU],Products[Standard_Cost])</f>
        <v>10</v>
      </c>
      <c r="AA479" s="10">
        <f>Cleaned_data[[#This Row],[Quantity]]*Cleaned_data[[#This Row],[Unit_Price]]</f>
        <v>112.2</v>
      </c>
      <c r="AB479" s="10">
        <f>Cleaned_data[[#This Row],[Unit_Price]]*Cleaned_data[[#This Row],[Discount_Pct]]</f>
        <v>2.0196000000000001</v>
      </c>
      <c r="AC479" s="10">
        <f>Cleaned_data[[#This Row],[Gross Sales]]-Cleaned_data[[#This Row],[Discount amount]]</f>
        <v>110.18040000000001</v>
      </c>
      <c r="AD479" s="10">
        <f>Cleaned_data[[#This Row],[Product Cost]]*Cleaned_data[[#This Row],[Quantity]]</f>
        <v>50</v>
      </c>
      <c r="AE479" s="10">
        <f>Cleaned_data[[#This Row],[Net Sales]]-Cleaned_data[[#This Row],[COGS]]</f>
        <v>60.180400000000006</v>
      </c>
      <c r="AF479" s="11">
        <f>Cleaned_data[[#This Row],[Gross Profit]]/Cleaned_data[[#This Row],[Net Sales]]</f>
        <v>0.54619877945623729</v>
      </c>
      <c r="AG479">
        <f>Cleaned_data[[#This Row],[Ship_Date]]-Cleaned_data[[#This Row],[Order_Date]]</f>
        <v>-2</v>
      </c>
      <c r="AH479" t="str">
        <f>IF(Cleaned_data[[#This Row],[Delivery Days]]&gt;10,"late","on time")</f>
        <v>on time</v>
      </c>
      <c r="AI479" t="str">
        <f>TEXT(Cleaned_data[[#This Row],[Order_Date]],"mmmm")</f>
        <v>May</v>
      </c>
      <c r="AJ479" s="9" t="str">
        <f>"Q"&amp;ROUNDUP(MONTH(Cleaned_data[[#This Row],[Order_Date]])/3,0)</f>
        <v>Q2</v>
      </c>
    </row>
    <row r="480" spans="1:36">
      <c r="A480" t="s">
        <v>968</v>
      </c>
      <c r="B480" s="9">
        <v>45792</v>
      </c>
      <c r="C480" s="9">
        <v>45800</v>
      </c>
      <c r="D480" t="s">
        <v>271</v>
      </c>
      <c r="E480" t="s">
        <v>272</v>
      </c>
      <c r="F480" t="s">
        <v>89</v>
      </c>
      <c r="G480" t="s">
        <v>75</v>
      </c>
      <c r="H480" t="s">
        <v>273</v>
      </c>
      <c r="I480" t="s">
        <v>274</v>
      </c>
      <c r="J480" t="s">
        <v>78</v>
      </c>
      <c r="K480" t="s">
        <v>79</v>
      </c>
      <c r="L480" t="s">
        <v>207</v>
      </c>
      <c r="M480" t="s">
        <v>208</v>
      </c>
      <c r="N480" t="s">
        <v>120</v>
      </c>
      <c r="O480" t="s">
        <v>164</v>
      </c>
      <c r="P480" s="8">
        <v>2</v>
      </c>
      <c r="Q480" s="10">
        <v>1448.98</v>
      </c>
      <c r="R480" s="11">
        <v>0.31</v>
      </c>
      <c r="S480" s="10">
        <v>22.82</v>
      </c>
      <c r="T480" t="s">
        <v>122</v>
      </c>
      <c r="U480" t="s">
        <v>85</v>
      </c>
      <c r="V480" s="8">
        <v>1</v>
      </c>
      <c r="W480" t="s">
        <v>1270</v>
      </c>
      <c r="X480" t="str">
        <f>_xlfn.XLOOKUP(Cleaned_data[[#This Row],[Customer_ID]],Customers[S],Customers[Loyalty_Tier])</f>
        <v>Silver</v>
      </c>
      <c r="Y480" s="9">
        <f>_xlfn.XLOOKUP(Cleaned_data[[#This Row],[Customer_ID]],Customers[S],Customers[Signup_Date])</f>
        <v>44909</v>
      </c>
      <c r="Z480" s="12">
        <f>_xlfn.XLOOKUP(Cleaned_data[[#This Row],[SKU]],Products[SKU],Products[Standard_Cost])</f>
        <v>885</v>
      </c>
      <c r="AA480" s="10">
        <f>Cleaned_data[[#This Row],[Quantity]]*Cleaned_data[[#This Row],[Unit_Price]]</f>
        <v>2897.96</v>
      </c>
      <c r="AB480" s="10">
        <f>Cleaned_data[[#This Row],[Unit_Price]]*Cleaned_data[[#This Row],[Discount_Pct]]</f>
        <v>449.18380000000002</v>
      </c>
      <c r="AC480" s="10">
        <f>Cleaned_data[[#This Row],[Gross Sales]]-Cleaned_data[[#This Row],[Discount amount]]</f>
        <v>2448.7762000000002</v>
      </c>
      <c r="AD480" s="10">
        <f>Cleaned_data[[#This Row],[Product Cost]]*Cleaned_data[[#This Row],[Quantity]]</f>
        <v>1770</v>
      </c>
      <c r="AE480" s="10">
        <f>Cleaned_data[[#This Row],[Net Sales]]-Cleaned_data[[#This Row],[COGS]]</f>
        <v>678.77620000000024</v>
      </c>
      <c r="AF480" s="11">
        <f>Cleaned_data[[#This Row],[Gross Profit]]/Cleaned_data[[#This Row],[Net Sales]]</f>
        <v>0.27718996942227719</v>
      </c>
      <c r="AG480">
        <f>Cleaned_data[[#This Row],[Ship_Date]]-Cleaned_data[[#This Row],[Order_Date]]</f>
        <v>8</v>
      </c>
      <c r="AH480" t="str">
        <f>IF(Cleaned_data[[#This Row],[Delivery Days]]&gt;10,"late","on time")</f>
        <v>on time</v>
      </c>
      <c r="AI480" t="str">
        <f>TEXT(Cleaned_data[[#This Row],[Order_Date]],"mmmm")</f>
        <v>May</v>
      </c>
      <c r="AJ480" s="9" t="str">
        <f>"Q"&amp;ROUNDUP(MONTH(Cleaned_data[[#This Row],[Order_Date]])/3,0)</f>
        <v>Q2</v>
      </c>
    </row>
    <row r="481" spans="1:36">
      <c r="A481" t="s">
        <v>969</v>
      </c>
      <c r="B481" s="9">
        <v>45793</v>
      </c>
      <c r="C481" s="9">
        <v>45798</v>
      </c>
      <c r="D481" t="s">
        <v>72</v>
      </c>
      <c r="E481" t="s">
        <v>73</v>
      </c>
      <c r="F481" t="s">
        <v>74</v>
      </c>
      <c r="G481" t="s">
        <v>75</v>
      </c>
      <c r="H481" t="s">
        <v>76</v>
      </c>
      <c r="I481" t="s">
        <v>77</v>
      </c>
      <c r="J481" t="s">
        <v>78</v>
      </c>
      <c r="K481" t="s">
        <v>147</v>
      </c>
      <c r="L481" t="s">
        <v>131</v>
      </c>
      <c r="M481" t="s">
        <v>132</v>
      </c>
      <c r="N481" t="s">
        <v>120</v>
      </c>
      <c r="O481" t="s">
        <v>133</v>
      </c>
      <c r="P481" s="8">
        <v>1</v>
      </c>
      <c r="Q481" s="10">
        <v>83.81</v>
      </c>
      <c r="R481" s="11">
        <v>0.2</v>
      </c>
      <c r="S481" s="10">
        <v>9.7200000000000006</v>
      </c>
      <c r="T481" t="s">
        <v>134</v>
      </c>
      <c r="U481" t="s">
        <v>85</v>
      </c>
      <c r="V481" s="8">
        <v>4</v>
      </c>
      <c r="W481" t="s">
        <v>1270</v>
      </c>
      <c r="X481" t="str">
        <f>_xlfn.XLOOKUP(Cleaned_data[[#This Row],[Customer_ID]],Customers[S],Customers[Loyalty_Tier])</f>
        <v>Silver</v>
      </c>
      <c r="Y481" s="9">
        <f>_xlfn.XLOOKUP(Cleaned_data[[#This Row],[Customer_ID]],Customers[S],Customers[Signup_Date])</f>
        <v>45999</v>
      </c>
      <c r="Z481" s="12">
        <f>_xlfn.XLOOKUP(Cleaned_data[[#This Row],[SKU]],Products[SKU],Products[Standard_Cost])</f>
        <v>44</v>
      </c>
      <c r="AA481" s="10">
        <f>Cleaned_data[[#This Row],[Quantity]]*Cleaned_data[[#This Row],[Unit_Price]]</f>
        <v>83.81</v>
      </c>
      <c r="AB481" s="10">
        <f>Cleaned_data[[#This Row],[Unit_Price]]*Cleaned_data[[#This Row],[Discount_Pct]]</f>
        <v>16.762</v>
      </c>
      <c r="AC481" s="10">
        <f>Cleaned_data[[#This Row],[Gross Sales]]-Cleaned_data[[#This Row],[Discount amount]]</f>
        <v>67.048000000000002</v>
      </c>
      <c r="AD481" s="10">
        <f>Cleaned_data[[#This Row],[Product Cost]]*Cleaned_data[[#This Row],[Quantity]]</f>
        <v>44</v>
      </c>
      <c r="AE481" s="10">
        <f>Cleaned_data[[#This Row],[Net Sales]]-Cleaned_data[[#This Row],[COGS]]</f>
        <v>23.048000000000002</v>
      </c>
      <c r="AF481" s="11">
        <f>Cleaned_data[[#This Row],[Gross Profit]]/Cleaned_data[[#This Row],[Net Sales]]</f>
        <v>0.34375372867199622</v>
      </c>
      <c r="AG481">
        <f>Cleaned_data[[#This Row],[Ship_Date]]-Cleaned_data[[#This Row],[Order_Date]]</f>
        <v>5</v>
      </c>
      <c r="AH481" t="str">
        <f>IF(Cleaned_data[[#This Row],[Delivery Days]]&gt;10,"late","on time")</f>
        <v>on time</v>
      </c>
      <c r="AI481" t="str">
        <f>TEXT(Cleaned_data[[#This Row],[Order_Date]],"mmmm")</f>
        <v>May</v>
      </c>
      <c r="AJ481" s="9" t="str">
        <f>"Q"&amp;ROUNDUP(MONTH(Cleaned_data[[#This Row],[Order_Date]])/3,0)</f>
        <v>Q2</v>
      </c>
    </row>
    <row r="482" spans="1:36">
      <c r="A482" t="s">
        <v>970</v>
      </c>
      <c r="B482" s="9">
        <v>45794</v>
      </c>
      <c r="C482" s="9">
        <v>45804</v>
      </c>
      <c r="D482" t="s">
        <v>971</v>
      </c>
      <c r="E482" t="s">
        <v>631</v>
      </c>
      <c r="F482" t="s">
        <v>152</v>
      </c>
      <c r="G482" t="s">
        <v>194</v>
      </c>
      <c r="H482" t="s">
        <v>240</v>
      </c>
      <c r="I482" t="s">
        <v>241</v>
      </c>
      <c r="J482" t="s">
        <v>109</v>
      </c>
      <c r="K482" t="s">
        <v>168</v>
      </c>
      <c r="L482" t="s">
        <v>110</v>
      </c>
      <c r="M482" t="s">
        <v>111</v>
      </c>
      <c r="N482" t="s">
        <v>82</v>
      </c>
      <c r="O482" t="s">
        <v>112</v>
      </c>
      <c r="P482" s="8">
        <v>5</v>
      </c>
      <c r="Q482" s="10">
        <v>329.25</v>
      </c>
      <c r="R482" s="11">
        <v>0</v>
      </c>
      <c r="S482" s="10">
        <v>6.67</v>
      </c>
      <c r="T482" t="s">
        <v>122</v>
      </c>
      <c r="U482" t="s">
        <v>85</v>
      </c>
      <c r="V482" s="8">
        <v>4</v>
      </c>
      <c r="W482" t="s">
        <v>1270</v>
      </c>
      <c r="X482" t="str">
        <f>_xlfn.XLOOKUP(Cleaned_data[[#This Row],[Customer_ID]],Customers[S],Customers[Loyalty_Tier])</f>
        <v>Bronze</v>
      </c>
      <c r="Y482" s="9">
        <f>_xlfn.XLOOKUP(Cleaned_data[[#This Row],[Customer_ID]],Customers[S],Customers[Signup_Date])</f>
        <v>45385</v>
      </c>
      <c r="Z482" s="12">
        <f>_xlfn.XLOOKUP(Cleaned_data[[#This Row],[SKU]],Products[SKU],Products[Standard_Cost])</f>
        <v>165</v>
      </c>
      <c r="AA482" s="10">
        <f>Cleaned_data[[#This Row],[Quantity]]*Cleaned_data[[#This Row],[Unit_Price]]</f>
        <v>1646.25</v>
      </c>
      <c r="AB482" s="10">
        <f>Cleaned_data[[#This Row],[Unit_Price]]*Cleaned_data[[#This Row],[Discount_Pct]]</f>
        <v>0</v>
      </c>
      <c r="AC482" s="10">
        <f>Cleaned_data[[#This Row],[Gross Sales]]-Cleaned_data[[#This Row],[Discount amount]]</f>
        <v>1646.25</v>
      </c>
      <c r="AD482" s="10">
        <f>Cleaned_data[[#This Row],[Product Cost]]*Cleaned_data[[#This Row],[Quantity]]</f>
        <v>825</v>
      </c>
      <c r="AE482" s="10">
        <f>Cleaned_data[[#This Row],[Net Sales]]-Cleaned_data[[#This Row],[COGS]]</f>
        <v>821.25</v>
      </c>
      <c r="AF482" s="11">
        <f>Cleaned_data[[#This Row],[Gross Profit]]/Cleaned_data[[#This Row],[Net Sales]]</f>
        <v>0.49886104783599089</v>
      </c>
      <c r="AG482">
        <f>Cleaned_data[[#This Row],[Ship_Date]]-Cleaned_data[[#This Row],[Order_Date]]</f>
        <v>10</v>
      </c>
      <c r="AH482" t="str">
        <f>IF(Cleaned_data[[#This Row],[Delivery Days]]&gt;10,"late","on time")</f>
        <v>on time</v>
      </c>
      <c r="AI482" t="str">
        <f>TEXT(Cleaned_data[[#This Row],[Order_Date]],"mmmm")</f>
        <v>May</v>
      </c>
      <c r="AJ482" s="9" t="str">
        <f>"Q"&amp;ROUNDUP(MONTH(Cleaned_data[[#This Row],[Order_Date]])/3,0)</f>
        <v>Q2</v>
      </c>
    </row>
    <row r="483" spans="1:36">
      <c r="A483" t="s">
        <v>972</v>
      </c>
      <c r="B483" s="9">
        <v>45794</v>
      </c>
      <c r="C483" s="9">
        <v>45799</v>
      </c>
      <c r="D483" t="s">
        <v>305</v>
      </c>
      <c r="E483" t="s">
        <v>306</v>
      </c>
      <c r="F483" t="s">
        <v>152</v>
      </c>
      <c r="G483" t="s">
        <v>138</v>
      </c>
      <c r="H483" t="s">
        <v>186</v>
      </c>
      <c r="I483" t="s">
        <v>187</v>
      </c>
      <c r="J483" t="s">
        <v>129</v>
      </c>
      <c r="K483" t="s">
        <v>130</v>
      </c>
      <c r="L483" t="s">
        <v>175</v>
      </c>
      <c r="M483" t="s">
        <v>176</v>
      </c>
      <c r="N483" t="s">
        <v>93</v>
      </c>
      <c r="O483" t="s">
        <v>177</v>
      </c>
      <c r="P483" s="8">
        <v>4</v>
      </c>
      <c r="Q483" s="10">
        <v>177.6</v>
      </c>
      <c r="R483" s="11">
        <v>0.02</v>
      </c>
      <c r="S483" s="10">
        <v>24.36</v>
      </c>
      <c r="T483" t="s">
        <v>134</v>
      </c>
      <c r="U483" t="s">
        <v>85</v>
      </c>
      <c r="V483" s="8">
        <v>4</v>
      </c>
      <c r="W483" t="s">
        <v>1270</v>
      </c>
      <c r="X483" t="str">
        <f>_xlfn.XLOOKUP(Cleaned_data[[#This Row],[Customer_ID]],Customers[S],Customers[Loyalty_Tier])</f>
        <v>Gold</v>
      </c>
      <c r="Y483" s="9">
        <f>_xlfn.XLOOKUP(Cleaned_data[[#This Row],[Customer_ID]],Customers[S],Customers[Signup_Date])</f>
        <v>45333</v>
      </c>
      <c r="Z483" s="12">
        <f>_xlfn.XLOOKUP(Cleaned_data[[#This Row],[SKU]],Products[SKU],Products[Standard_Cost])</f>
        <v>88</v>
      </c>
      <c r="AA483" s="10">
        <f>Cleaned_data[[#This Row],[Quantity]]*Cleaned_data[[#This Row],[Unit_Price]]</f>
        <v>710.4</v>
      </c>
      <c r="AB483" s="10">
        <f>Cleaned_data[[#This Row],[Unit_Price]]*Cleaned_data[[#This Row],[Discount_Pct]]</f>
        <v>3.552</v>
      </c>
      <c r="AC483" s="10">
        <f>Cleaned_data[[#This Row],[Gross Sales]]-Cleaned_data[[#This Row],[Discount amount]]</f>
        <v>706.84799999999996</v>
      </c>
      <c r="AD483" s="10">
        <f>Cleaned_data[[#This Row],[Product Cost]]*Cleaned_data[[#This Row],[Quantity]]</f>
        <v>352</v>
      </c>
      <c r="AE483" s="10">
        <f>Cleaned_data[[#This Row],[Net Sales]]-Cleaned_data[[#This Row],[COGS]]</f>
        <v>354.84799999999996</v>
      </c>
      <c r="AF483" s="11">
        <f>Cleaned_data[[#This Row],[Gross Profit]]/Cleaned_data[[#This Row],[Net Sales]]</f>
        <v>0.50201457739146182</v>
      </c>
      <c r="AG483">
        <f>Cleaned_data[[#This Row],[Ship_Date]]-Cleaned_data[[#This Row],[Order_Date]]</f>
        <v>5</v>
      </c>
      <c r="AH483" t="str">
        <f>IF(Cleaned_data[[#This Row],[Delivery Days]]&gt;10,"late","on time")</f>
        <v>on time</v>
      </c>
      <c r="AI483" t="str">
        <f>TEXT(Cleaned_data[[#This Row],[Order_Date]],"mmmm")</f>
        <v>May</v>
      </c>
      <c r="AJ483" s="9" t="str">
        <f>"Q"&amp;ROUNDUP(MONTH(Cleaned_data[[#This Row],[Order_Date]])/3,0)</f>
        <v>Q2</v>
      </c>
    </row>
    <row r="484" spans="1:36">
      <c r="A484" t="s">
        <v>973</v>
      </c>
      <c r="B484" s="9">
        <v>45796</v>
      </c>
      <c r="C484" s="9">
        <v>45798</v>
      </c>
      <c r="D484" t="s">
        <v>594</v>
      </c>
      <c r="E484" t="s">
        <v>595</v>
      </c>
      <c r="F484" t="s">
        <v>74</v>
      </c>
      <c r="G484" t="s">
        <v>75</v>
      </c>
      <c r="H484" t="s">
        <v>76</v>
      </c>
      <c r="I484" t="s">
        <v>77</v>
      </c>
      <c r="J484" t="s">
        <v>109</v>
      </c>
      <c r="K484" t="s">
        <v>90</v>
      </c>
      <c r="L484" t="s">
        <v>359</v>
      </c>
      <c r="M484" t="s">
        <v>360</v>
      </c>
      <c r="N484" t="s">
        <v>93</v>
      </c>
      <c r="O484" t="s">
        <v>94</v>
      </c>
      <c r="P484" s="8">
        <v>4</v>
      </c>
      <c r="Q484" s="10">
        <v>453</v>
      </c>
      <c r="R484" s="11">
        <v>0.01</v>
      </c>
      <c r="S484" s="10">
        <v>23.38</v>
      </c>
      <c r="T484" t="s">
        <v>134</v>
      </c>
      <c r="U484" t="s">
        <v>85</v>
      </c>
      <c r="W484" t="s">
        <v>1270</v>
      </c>
      <c r="X484" t="str">
        <f>_xlfn.XLOOKUP(Cleaned_data[[#This Row],[Customer_ID]],Customers[S],Customers[Loyalty_Tier])</f>
        <v>Gold</v>
      </c>
      <c r="Y484" s="9">
        <f>_xlfn.XLOOKUP(Cleaned_data[[#This Row],[Customer_ID]],Customers[S],Customers[Signup_Date])</f>
        <v>44818</v>
      </c>
      <c r="Z484" s="12">
        <f>_xlfn.XLOOKUP(Cleaned_data[[#This Row],[SKU]],Products[SKU],Products[Standard_Cost])</f>
        <v>265</v>
      </c>
      <c r="AA484" s="10">
        <f>Cleaned_data[[#This Row],[Quantity]]*Cleaned_data[[#This Row],[Unit_Price]]</f>
        <v>1812</v>
      </c>
      <c r="AB484" s="10">
        <f>Cleaned_data[[#This Row],[Unit_Price]]*Cleaned_data[[#This Row],[Discount_Pct]]</f>
        <v>4.53</v>
      </c>
      <c r="AC484" s="10">
        <f>Cleaned_data[[#This Row],[Gross Sales]]-Cleaned_data[[#This Row],[Discount amount]]</f>
        <v>1807.47</v>
      </c>
      <c r="AD484" s="10">
        <f>Cleaned_data[[#This Row],[Product Cost]]*Cleaned_data[[#This Row],[Quantity]]</f>
        <v>1060</v>
      </c>
      <c r="AE484" s="10">
        <f>Cleaned_data[[#This Row],[Net Sales]]-Cleaned_data[[#This Row],[COGS]]</f>
        <v>747.47</v>
      </c>
      <c r="AF484" s="11">
        <f>Cleaned_data[[#This Row],[Gross Profit]]/Cleaned_data[[#This Row],[Net Sales]]</f>
        <v>0.4135448997770364</v>
      </c>
      <c r="AG484">
        <f>Cleaned_data[[#This Row],[Ship_Date]]-Cleaned_data[[#This Row],[Order_Date]]</f>
        <v>2</v>
      </c>
      <c r="AH484" t="str">
        <f>IF(Cleaned_data[[#This Row],[Delivery Days]]&gt;10,"late","on time")</f>
        <v>on time</v>
      </c>
      <c r="AI484" t="str">
        <f>TEXT(Cleaned_data[[#This Row],[Order_Date]],"mmmm")</f>
        <v>May</v>
      </c>
      <c r="AJ484" s="9" t="str">
        <f>"Q"&amp;ROUNDUP(MONTH(Cleaned_data[[#This Row],[Order_Date]])/3,0)</f>
        <v>Q2</v>
      </c>
    </row>
    <row r="485" spans="1:36">
      <c r="A485" t="s">
        <v>974</v>
      </c>
      <c r="B485" s="9">
        <v>45798</v>
      </c>
      <c r="C485" s="9">
        <v>45808</v>
      </c>
      <c r="D485" t="s">
        <v>253</v>
      </c>
      <c r="E485" t="s">
        <v>167</v>
      </c>
      <c r="F485" t="s">
        <v>152</v>
      </c>
      <c r="G485" t="s">
        <v>75</v>
      </c>
      <c r="H485" t="s">
        <v>212</v>
      </c>
      <c r="I485" t="s">
        <v>213</v>
      </c>
      <c r="J485" t="s">
        <v>78</v>
      </c>
      <c r="K485" t="s">
        <v>100</v>
      </c>
      <c r="L485" t="s">
        <v>431</v>
      </c>
      <c r="M485" t="s">
        <v>432</v>
      </c>
      <c r="N485" t="s">
        <v>103</v>
      </c>
      <c r="O485" t="s">
        <v>251</v>
      </c>
      <c r="P485" s="8">
        <v>2</v>
      </c>
      <c r="Q485" s="10">
        <v>40.200000000000003</v>
      </c>
      <c r="R485" s="11">
        <v>0.01</v>
      </c>
      <c r="S485" s="10">
        <v>12.11</v>
      </c>
      <c r="T485" t="s">
        <v>105</v>
      </c>
      <c r="U485" t="s">
        <v>85</v>
      </c>
      <c r="V485" s="8">
        <v>1</v>
      </c>
      <c r="W485" t="s">
        <v>1270</v>
      </c>
      <c r="X485" t="str">
        <f>_xlfn.XLOOKUP(Cleaned_data[[#This Row],[Customer_ID]],Customers[S],Customers[Loyalty_Tier])</f>
        <v>Silver</v>
      </c>
      <c r="Y485" s="9">
        <f>_xlfn.XLOOKUP(Cleaned_data[[#This Row],[Customer_ID]],Customers[S],Customers[Signup_Date])</f>
        <v>45243</v>
      </c>
      <c r="Z485" s="12">
        <f>_xlfn.XLOOKUP(Cleaned_data[[#This Row],[SKU]],Products[SKU],Products[Standard_Cost])</f>
        <v>20</v>
      </c>
      <c r="AA485" s="10">
        <f>Cleaned_data[[#This Row],[Quantity]]*Cleaned_data[[#This Row],[Unit_Price]]</f>
        <v>80.400000000000006</v>
      </c>
      <c r="AB485" s="10">
        <f>Cleaned_data[[#This Row],[Unit_Price]]*Cleaned_data[[#This Row],[Discount_Pct]]</f>
        <v>0.40200000000000002</v>
      </c>
      <c r="AC485" s="10">
        <f>Cleaned_data[[#This Row],[Gross Sales]]-Cleaned_data[[#This Row],[Discount amount]]</f>
        <v>79.998000000000005</v>
      </c>
      <c r="AD485" s="10">
        <f>Cleaned_data[[#This Row],[Product Cost]]*Cleaned_data[[#This Row],[Quantity]]</f>
        <v>40</v>
      </c>
      <c r="AE485" s="10">
        <f>Cleaned_data[[#This Row],[Net Sales]]-Cleaned_data[[#This Row],[COGS]]</f>
        <v>39.998000000000005</v>
      </c>
      <c r="AF485" s="11">
        <f>Cleaned_data[[#This Row],[Gross Profit]]/Cleaned_data[[#This Row],[Net Sales]]</f>
        <v>0.49998749968749223</v>
      </c>
      <c r="AG485">
        <f>Cleaned_data[[#This Row],[Ship_Date]]-Cleaned_data[[#This Row],[Order_Date]]</f>
        <v>10</v>
      </c>
      <c r="AH485" t="str">
        <f>IF(Cleaned_data[[#This Row],[Delivery Days]]&gt;10,"late","on time")</f>
        <v>on time</v>
      </c>
      <c r="AI485" t="str">
        <f>TEXT(Cleaned_data[[#This Row],[Order_Date]],"mmmm")</f>
        <v>May</v>
      </c>
      <c r="AJ485" s="9" t="str">
        <f>"Q"&amp;ROUNDUP(MONTH(Cleaned_data[[#This Row],[Order_Date]])/3,0)</f>
        <v>Q2</v>
      </c>
    </row>
    <row r="486" spans="1:36">
      <c r="A486" t="s">
        <v>975</v>
      </c>
      <c r="B486" s="9">
        <v>45798</v>
      </c>
      <c r="C486" s="9">
        <v>45804</v>
      </c>
      <c r="D486" t="s">
        <v>586</v>
      </c>
      <c r="E486" t="s">
        <v>587</v>
      </c>
      <c r="F486" t="s">
        <v>89</v>
      </c>
      <c r="G486" t="s">
        <v>138</v>
      </c>
      <c r="H486" t="s">
        <v>139</v>
      </c>
      <c r="I486" t="s">
        <v>140</v>
      </c>
      <c r="J486" t="s">
        <v>129</v>
      </c>
      <c r="K486" t="s">
        <v>168</v>
      </c>
      <c r="L486" t="s">
        <v>110</v>
      </c>
      <c r="M486" t="s">
        <v>111</v>
      </c>
      <c r="N486" t="s">
        <v>82</v>
      </c>
      <c r="O486" t="s">
        <v>112</v>
      </c>
      <c r="P486" s="8">
        <v>8</v>
      </c>
      <c r="Q486" s="10">
        <v>301.67</v>
      </c>
      <c r="R486" s="11">
        <v>7.0000000000000007E-2</v>
      </c>
      <c r="S486" s="10">
        <v>8.48</v>
      </c>
      <c r="T486" t="s">
        <v>122</v>
      </c>
      <c r="U486" t="s">
        <v>85</v>
      </c>
      <c r="V486" s="8">
        <v>5</v>
      </c>
      <c r="W486" t="s">
        <v>1270</v>
      </c>
      <c r="X486" t="str">
        <f>_xlfn.XLOOKUP(Cleaned_data[[#This Row],[Customer_ID]],Customers[S],Customers[Loyalty_Tier])</f>
        <v>Silver</v>
      </c>
      <c r="Y486" s="9">
        <f>_xlfn.XLOOKUP(Cleaned_data[[#This Row],[Customer_ID]],Customers[S],Customers[Signup_Date])</f>
        <v>45201</v>
      </c>
      <c r="Z486" s="12">
        <f>_xlfn.XLOOKUP(Cleaned_data[[#This Row],[SKU]],Products[SKU],Products[Standard_Cost])</f>
        <v>165</v>
      </c>
      <c r="AA486" s="10">
        <f>Cleaned_data[[#This Row],[Quantity]]*Cleaned_data[[#This Row],[Unit_Price]]</f>
        <v>2413.36</v>
      </c>
      <c r="AB486" s="10">
        <f>Cleaned_data[[#This Row],[Unit_Price]]*Cleaned_data[[#This Row],[Discount_Pct]]</f>
        <v>21.116900000000005</v>
      </c>
      <c r="AC486" s="10">
        <f>Cleaned_data[[#This Row],[Gross Sales]]-Cleaned_data[[#This Row],[Discount amount]]</f>
        <v>2392.2431000000001</v>
      </c>
      <c r="AD486" s="10">
        <f>Cleaned_data[[#This Row],[Product Cost]]*Cleaned_data[[#This Row],[Quantity]]</f>
        <v>1320</v>
      </c>
      <c r="AE486" s="10">
        <f>Cleaned_data[[#This Row],[Net Sales]]-Cleaned_data[[#This Row],[COGS]]</f>
        <v>1072.2431000000001</v>
      </c>
      <c r="AF486" s="11">
        <f>Cleaned_data[[#This Row],[Gross Profit]]/Cleaned_data[[#This Row],[Net Sales]]</f>
        <v>0.4482166131025731</v>
      </c>
      <c r="AG486">
        <f>Cleaned_data[[#This Row],[Ship_Date]]-Cleaned_data[[#This Row],[Order_Date]]</f>
        <v>6</v>
      </c>
      <c r="AH486" t="str">
        <f>IF(Cleaned_data[[#This Row],[Delivery Days]]&gt;10,"late","on time")</f>
        <v>on time</v>
      </c>
      <c r="AI486" t="str">
        <f>TEXT(Cleaned_data[[#This Row],[Order_Date]],"mmmm")</f>
        <v>May</v>
      </c>
      <c r="AJ486" s="9" t="str">
        <f>"Q"&amp;ROUNDUP(MONTH(Cleaned_data[[#This Row],[Order_Date]])/3,0)</f>
        <v>Q2</v>
      </c>
    </row>
    <row r="487" spans="1:36">
      <c r="A487" t="s">
        <v>976</v>
      </c>
      <c r="B487" s="9">
        <v>45799</v>
      </c>
      <c r="C487" s="9">
        <v>45809</v>
      </c>
      <c r="D487" t="s">
        <v>550</v>
      </c>
      <c r="E487" t="s">
        <v>218</v>
      </c>
      <c r="F487" t="s">
        <v>152</v>
      </c>
      <c r="G487" t="s">
        <v>126</v>
      </c>
      <c r="H487" t="s">
        <v>127</v>
      </c>
      <c r="I487" t="s">
        <v>128</v>
      </c>
      <c r="J487" t="s">
        <v>78</v>
      </c>
      <c r="K487" t="s">
        <v>79</v>
      </c>
      <c r="L487" t="s">
        <v>91</v>
      </c>
      <c r="M487" t="s">
        <v>92</v>
      </c>
      <c r="N487" t="s">
        <v>93</v>
      </c>
      <c r="O487" t="s">
        <v>94</v>
      </c>
      <c r="P487" s="8">
        <v>3</v>
      </c>
      <c r="Q487" s="10">
        <v>315.76</v>
      </c>
      <c r="R487" s="11">
        <v>0.12</v>
      </c>
      <c r="S487" s="10">
        <v>25.97</v>
      </c>
      <c r="T487" t="s">
        <v>105</v>
      </c>
      <c r="U487" t="s">
        <v>148</v>
      </c>
      <c r="V487" s="8">
        <v>1</v>
      </c>
      <c r="W487" t="s">
        <v>1270</v>
      </c>
      <c r="X487" t="str">
        <f>_xlfn.XLOOKUP(Cleaned_data[[#This Row],[Customer_ID]],Customers[S],Customers[Loyalty_Tier])</f>
        <v>Platinum</v>
      </c>
      <c r="Y487" s="9">
        <f>_xlfn.XLOOKUP(Cleaned_data[[#This Row],[Customer_ID]],Customers[S],Customers[Signup_Date])</f>
        <v>44903</v>
      </c>
      <c r="Z487" s="12">
        <f>_xlfn.XLOOKUP(Cleaned_data[[#This Row],[SKU]],Products[SKU],Products[Standard_Cost])</f>
        <v>184</v>
      </c>
      <c r="AA487" s="10">
        <f>Cleaned_data[[#This Row],[Quantity]]*Cleaned_data[[#This Row],[Unit_Price]]</f>
        <v>947.28</v>
      </c>
      <c r="AB487" s="10">
        <f>Cleaned_data[[#This Row],[Unit_Price]]*Cleaned_data[[#This Row],[Discount_Pct]]</f>
        <v>37.891199999999998</v>
      </c>
      <c r="AC487" s="10">
        <f>Cleaned_data[[#This Row],[Gross Sales]]-Cleaned_data[[#This Row],[Discount amount]]</f>
        <v>909.38879999999995</v>
      </c>
      <c r="AD487" s="10">
        <f>Cleaned_data[[#This Row],[Product Cost]]*Cleaned_data[[#This Row],[Quantity]]</f>
        <v>552</v>
      </c>
      <c r="AE487" s="10">
        <f>Cleaned_data[[#This Row],[Net Sales]]-Cleaned_data[[#This Row],[COGS]]</f>
        <v>357.38879999999995</v>
      </c>
      <c r="AF487" s="11">
        <f>Cleaned_data[[#This Row],[Gross Profit]]/Cleaned_data[[#This Row],[Net Sales]]</f>
        <v>0.39299890211975336</v>
      </c>
      <c r="AG487">
        <f>Cleaned_data[[#This Row],[Ship_Date]]-Cleaned_data[[#This Row],[Order_Date]]</f>
        <v>10</v>
      </c>
      <c r="AH487" t="str">
        <f>IF(Cleaned_data[[#This Row],[Delivery Days]]&gt;10,"late","on time")</f>
        <v>on time</v>
      </c>
      <c r="AI487" t="str">
        <f>TEXT(Cleaned_data[[#This Row],[Order_Date]],"mmmm")</f>
        <v>May</v>
      </c>
      <c r="AJ487" s="9" t="str">
        <f>"Q"&amp;ROUNDUP(MONTH(Cleaned_data[[#This Row],[Order_Date]])/3,0)</f>
        <v>Q2</v>
      </c>
    </row>
    <row r="488" spans="1:36">
      <c r="A488" t="s">
        <v>977</v>
      </c>
      <c r="B488" s="9">
        <v>45799</v>
      </c>
      <c r="C488" s="9">
        <v>45805</v>
      </c>
      <c r="D488" t="s">
        <v>350</v>
      </c>
      <c r="E488" t="s">
        <v>351</v>
      </c>
      <c r="F488" t="s">
        <v>152</v>
      </c>
      <c r="G488" t="s">
        <v>126</v>
      </c>
      <c r="H488" t="s">
        <v>160</v>
      </c>
      <c r="I488" t="s">
        <v>182</v>
      </c>
      <c r="J488" t="s">
        <v>129</v>
      </c>
      <c r="K488" t="s">
        <v>79</v>
      </c>
      <c r="L488" t="s">
        <v>242</v>
      </c>
      <c r="M488" t="s">
        <v>243</v>
      </c>
      <c r="N488" t="s">
        <v>120</v>
      </c>
      <c r="O488" t="s">
        <v>133</v>
      </c>
      <c r="P488" s="8">
        <v>1</v>
      </c>
      <c r="Q488" s="10">
        <v>182.55</v>
      </c>
      <c r="R488" s="11">
        <v>0.05</v>
      </c>
      <c r="S488" s="10">
        <v>6.67</v>
      </c>
      <c r="T488" t="s">
        <v>122</v>
      </c>
      <c r="U488" t="s">
        <v>85</v>
      </c>
      <c r="W488" t="s">
        <v>1270</v>
      </c>
      <c r="X488" t="str">
        <f>_xlfn.XLOOKUP(Cleaned_data[[#This Row],[Customer_ID]],Customers[S],Customers[Loyalty_Tier])</f>
        <v>Bronze</v>
      </c>
      <c r="Y488" s="9">
        <f>_xlfn.XLOOKUP(Cleaned_data[[#This Row],[Customer_ID]],Customers[S],Customers[Signup_Date])</f>
        <v>45115</v>
      </c>
      <c r="Z488" s="12">
        <f>_xlfn.XLOOKUP(Cleaned_data[[#This Row],[SKU]],Products[SKU],Products[Standard_Cost])</f>
        <v>96</v>
      </c>
      <c r="AA488" s="10">
        <f>Cleaned_data[[#This Row],[Quantity]]*Cleaned_data[[#This Row],[Unit_Price]]</f>
        <v>182.55</v>
      </c>
      <c r="AB488" s="10">
        <f>Cleaned_data[[#This Row],[Unit_Price]]*Cleaned_data[[#This Row],[Discount_Pct]]</f>
        <v>9.1275000000000013</v>
      </c>
      <c r="AC488" s="10">
        <f>Cleaned_data[[#This Row],[Gross Sales]]-Cleaned_data[[#This Row],[Discount amount]]</f>
        <v>173.42250000000001</v>
      </c>
      <c r="AD488" s="10">
        <f>Cleaned_data[[#This Row],[Product Cost]]*Cleaned_data[[#This Row],[Quantity]]</f>
        <v>96</v>
      </c>
      <c r="AE488" s="10">
        <f>Cleaned_data[[#This Row],[Net Sales]]-Cleaned_data[[#This Row],[COGS]]</f>
        <v>77.422500000000014</v>
      </c>
      <c r="AF488" s="11">
        <f>Cleaned_data[[#This Row],[Gross Profit]]/Cleaned_data[[#This Row],[Net Sales]]</f>
        <v>0.4464386109068893</v>
      </c>
      <c r="AG488">
        <f>Cleaned_data[[#This Row],[Ship_Date]]-Cleaned_data[[#This Row],[Order_Date]]</f>
        <v>6</v>
      </c>
      <c r="AH488" t="str">
        <f>IF(Cleaned_data[[#This Row],[Delivery Days]]&gt;10,"late","on time")</f>
        <v>on time</v>
      </c>
      <c r="AI488" t="str">
        <f>TEXT(Cleaned_data[[#This Row],[Order_Date]],"mmmm")</f>
        <v>May</v>
      </c>
      <c r="AJ488" s="9" t="str">
        <f>"Q"&amp;ROUNDUP(MONTH(Cleaned_data[[#This Row],[Order_Date]])/3,0)</f>
        <v>Q2</v>
      </c>
    </row>
    <row r="489" spans="1:36">
      <c r="A489" t="s">
        <v>978</v>
      </c>
      <c r="B489" s="9">
        <v>45801</v>
      </c>
      <c r="C489" s="9">
        <v>45806</v>
      </c>
      <c r="D489" t="s">
        <v>353</v>
      </c>
      <c r="E489" t="s">
        <v>354</v>
      </c>
      <c r="F489" t="s">
        <v>74</v>
      </c>
      <c r="G489" t="s">
        <v>126</v>
      </c>
      <c r="H489" t="s">
        <v>160</v>
      </c>
      <c r="I489" t="s">
        <v>182</v>
      </c>
      <c r="J489" t="s">
        <v>78</v>
      </c>
      <c r="K489" t="s">
        <v>147</v>
      </c>
      <c r="L489" t="s">
        <v>175</v>
      </c>
      <c r="M489" t="s">
        <v>176</v>
      </c>
      <c r="N489" t="s">
        <v>93</v>
      </c>
      <c r="O489" t="s">
        <v>177</v>
      </c>
      <c r="P489" s="8">
        <v>4</v>
      </c>
      <c r="Q489" s="10">
        <v>173.97</v>
      </c>
      <c r="R489" s="11">
        <v>0.23</v>
      </c>
      <c r="S489" s="10">
        <v>19.149999999999999</v>
      </c>
      <c r="T489" t="s">
        <v>105</v>
      </c>
      <c r="U489" t="s">
        <v>85</v>
      </c>
      <c r="V489" s="8">
        <v>5</v>
      </c>
      <c r="W489" t="s">
        <v>1270</v>
      </c>
      <c r="X489" t="str">
        <f>_xlfn.XLOOKUP(Cleaned_data[[#This Row],[Customer_ID]],Customers[S],Customers[Loyalty_Tier])</f>
        <v>Bronze</v>
      </c>
      <c r="Y489" s="9">
        <f>_xlfn.XLOOKUP(Cleaned_data[[#This Row],[Customer_ID]],Customers[S],Customers[Signup_Date])</f>
        <v>44241</v>
      </c>
      <c r="Z489" s="12">
        <f>_xlfn.XLOOKUP(Cleaned_data[[#This Row],[SKU]],Products[SKU],Products[Standard_Cost])</f>
        <v>88</v>
      </c>
      <c r="AA489" s="10">
        <f>Cleaned_data[[#This Row],[Quantity]]*Cleaned_data[[#This Row],[Unit_Price]]</f>
        <v>695.88</v>
      </c>
      <c r="AB489" s="10">
        <f>Cleaned_data[[#This Row],[Unit_Price]]*Cleaned_data[[#This Row],[Discount_Pct]]</f>
        <v>40.013100000000001</v>
      </c>
      <c r="AC489" s="10">
        <f>Cleaned_data[[#This Row],[Gross Sales]]-Cleaned_data[[#This Row],[Discount amount]]</f>
        <v>655.86689999999999</v>
      </c>
      <c r="AD489" s="10">
        <f>Cleaned_data[[#This Row],[Product Cost]]*Cleaned_data[[#This Row],[Quantity]]</f>
        <v>352</v>
      </c>
      <c r="AE489" s="10">
        <f>Cleaned_data[[#This Row],[Net Sales]]-Cleaned_data[[#This Row],[COGS]]</f>
        <v>303.86689999999999</v>
      </c>
      <c r="AF489" s="11">
        <f>Cleaned_data[[#This Row],[Gross Profit]]/Cleaned_data[[#This Row],[Net Sales]]</f>
        <v>0.46330574084467441</v>
      </c>
      <c r="AG489">
        <f>Cleaned_data[[#This Row],[Ship_Date]]-Cleaned_data[[#This Row],[Order_Date]]</f>
        <v>5</v>
      </c>
      <c r="AH489" t="str">
        <f>IF(Cleaned_data[[#This Row],[Delivery Days]]&gt;10,"late","on time")</f>
        <v>on time</v>
      </c>
      <c r="AI489" t="str">
        <f>TEXT(Cleaned_data[[#This Row],[Order_Date]],"mmmm")</f>
        <v>May</v>
      </c>
      <c r="AJ489" s="9" t="str">
        <f>"Q"&amp;ROUNDUP(MONTH(Cleaned_data[[#This Row],[Order_Date]])/3,0)</f>
        <v>Q2</v>
      </c>
    </row>
    <row r="490" spans="1:36">
      <c r="A490" t="s">
        <v>979</v>
      </c>
      <c r="B490" s="9">
        <v>45801</v>
      </c>
      <c r="C490" s="9">
        <v>45807</v>
      </c>
      <c r="D490" t="s">
        <v>663</v>
      </c>
      <c r="E490" t="s">
        <v>664</v>
      </c>
      <c r="F490" t="s">
        <v>89</v>
      </c>
      <c r="G490" t="s">
        <v>194</v>
      </c>
      <c r="H490" t="s">
        <v>230</v>
      </c>
      <c r="I490" t="s">
        <v>231</v>
      </c>
      <c r="J490" t="s">
        <v>219</v>
      </c>
      <c r="K490" t="s">
        <v>90</v>
      </c>
      <c r="L490" t="s">
        <v>254</v>
      </c>
      <c r="M490" t="s">
        <v>255</v>
      </c>
      <c r="N490" t="s">
        <v>82</v>
      </c>
      <c r="O490" t="s">
        <v>83</v>
      </c>
      <c r="P490" s="8">
        <v>5</v>
      </c>
      <c r="Q490" s="10">
        <v>94.76</v>
      </c>
      <c r="R490" s="11">
        <v>0.06</v>
      </c>
      <c r="S490" s="10">
        <v>14.71</v>
      </c>
      <c r="T490" t="s">
        <v>122</v>
      </c>
      <c r="U490" t="s">
        <v>85</v>
      </c>
      <c r="V490" s="8">
        <v>3</v>
      </c>
      <c r="W490" t="s">
        <v>1270</v>
      </c>
      <c r="X490" t="str">
        <f>_xlfn.XLOOKUP(Cleaned_data[[#This Row],[Customer_ID]],Customers[S],Customers[Loyalty_Tier])</f>
        <v>Bronze</v>
      </c>
      <c r="Y490" s="9">
        <f>_xlfn.XLOOKUP(Cleaned_data[[#This Row],[Customer_ID]],Customers[S],Customers[Signup_Date])</f>
        <v>44975</v>
      </c>
      <c r="Z490" s="12">
        <f>_xlfn.XLOOKUP(Cleaned_data[[#This Row],[SKU]],Products[SKU],Products[Standard_Cost])</f>
        <v>48</v>
      </c>
      <c r="AA490" s="10">
        <f>Cleaned_data[[#This Row],[Quantity]]*Cleaned_data[[#This Row],[Unit_Price]]</f>
        <v>473.8</v>
      </c>
      <c r="AB490" s="10">
        <f>Cleaned_data[[#This Row],[Unit_Price]]*Cleaned_data[[#This Row],[Discount_Pct]]</f>
        <v>5.6856</v>
      </c>
      <c r="AC490" s="10">
        <f>Cleaned_data[[#This Row],[Gross Sales]]-Cleaned_data[[#This Row],[Discount amount]]</f>
        <v>468.11439999999999</v>
      </c>
      <c r="AD490" s="10">
        <f>Cleaned_data[[#This Row],[Product Cost]]*Cleaned_data[[#This Row],[Quantity]]</f>
        <v>240</v>
      </c>
      <c r="AE490" s="10">
        <f>Cleaned_data[[#This Row],[Net Sales]]-Cleaned_data[[#This Row],[COGS]]</f>
        <v>228.11439999999999</v>
      </c>
      <c r="AF490" s="11">
        <f>Cleaned_data[[#This Row],[Gross Profit]]/Cleaned_data[[#This Row],[Net Sales]]</f>
        <v>0.48730481266972347</v>
      </c>
      <c r="AG490">
        <f>Cleaned_data[[#This Row],[Ship_Date]]-Cleaned_data[[#This Row],[Order_Date]]</f>
        <v>6</v>
      </c>
      <c r="AH490" t="str">
        <f>IF(Cleaned_data[[#This Row],[Delivery Days]]&gt;10,"late","on time")</f>
        <v>on time</v>
      </c>
      <c r="AI490" t="str">
        <f>TEXT(Cleaned_data[[#This Row],[Order_Date]],"mmmm")</f>
        <v>May</v>
      </c>
      <c r="AJ490" s="9" t="str">
        <f>"Q"&amp;ROUNDUP(MONTH(Cleaned_data[[#This Row],[Order_Date]])/3,0)</f>
        <v>Q2</v>
      </c>
    </row>
    <row r="491" spans="1:36">
      <c r="A491" t="s">
        <v>980</v>
      </c>
      <c r="B491" s="9">
        <v>45801</v>
      </c>
      <c r="C491" s="9">
        <v>45805</v>
      </c>
      <c r="D491" t="s">
        <v>659</v>
      </c>
      <c r="E491" t="s">
        <v>660</v>
      </c>
      <c r="F491" t="s">
        <v>74</v>
      </c>
      <c r="G491" t="s">
        <v>126</v>
      </c>
      <c r="H491" t="s">
        <v>291</v>
      </c>
      <c r="I491" t="s">
        <v>292</v>
      </c>
      <c r="J491" t="s">
        <v>78</v>
      </c>
      <c r="K491" t="s">
        <v>100</v>
      </c>
      <c r="L491" t="s">
        <v>101</v>
      </c>
      <c r="M491" t="s">
        <v>102</v>
      </c>
      <c r="N491" t="s">
        <v>103</v>
      </c>
      <c r="O491" t="s">
        <v>104</v>
      </c>
      <c r="P491" s="8">
        <v>3</v>
      </c>
      <c r="Q491" s="10">
        <v>72.81</v>
      </c>
      <c r="R491" s="11">
        <v>0.03</v>
      </c>
      <c r="S491" s="10">
        <v>9.3699999999999992</v>
      </c>
      <c r="T491" t="s">
        <v>122</v>
      </c>
      <c r="U491" t="s">
        <v>85</v>
      </c>
      <c r="V491" s="8">
        <v>4</v>
      </c>
      <c r="W491" t="s">
        <v>1270</v>
      </c>
      <c r="X491" t="str">
        <f>_xlfn.XLOOKUP(Cleaned_data[[#This Row],[Customer_ID]],Customers[S],Customers[Loyalty_Tier])</f>
        <v>Bronze</v>
      </c>
      <c r="Y491" s="9">
        <f>_xlfn.XLOOKUP(Cleaned_data[[#This Row],[Customer_ID]],Customers[S],Customers[Signup_Date])</f>
        <v>45255</v>
      </c>
      <c r="Z491" s="12">
        <f>_xlfn.XLOOKUP(Cleaned_data[[#This Row],[SKU]],Products[SKU],Products[Standard_Cost])</f>
        <v>36</v>
      </c>
      <c r="AA491" s="10">
        <f>Cleaned_data[[#This Row],[Quantity]]*Cleaned_data[[#This Row],[Unit_Price]]</f>
        <v>218.43</v>
      </c>
      <c r="AB491" s="10">
        <f>Cleaned_data[[#This Row],[Unit_Price]]*Cleaned_data[[#This Row],[Discount_Pct]]</f>
        <v>2.1842999999999999</v>
      </c>
      <c r="AC491" s="10">
        <f>Cleaned_data[[#This Row],[Gross Sales]]-Cleaned_data[[#This Row],[Discount amount]]</f>
        <v>216.2457</v>
      </c>
      <c r="AD491" s="10">
        <f>Cleaned_data[[#This Row],[Product Cost]]*Cleaned_data[[#This Row],[Quantity]]</f>
        <v>108</v>
      </c>
      <c r="AE491" s="10">
        <f>Cleaned_data[[#This Row],[Net Sales]]-Cleaned_data[[#This Row],[COGS]]</f>
        <v>108.2457</v>
      </c>
      <c r="AF491" s="11">
        <f>Cleaned_data[[#This Row],[Gross Profit]]/Cleaned_data[[#This Row],[Net Sales]]</f>
        <v>0.50056810378194805</v>
      </c>
      <c r="AG491">
        <f>Cleaned_data[[#This Row],[Ship_Date]]-Cleaned_data[[#This Row],[Order_Date]]</f>
        <v>4</v>
      </c>
      <c r="AH491" t="str">
        <f>IF(Cleaned_data[[#This Row],[Delivery Days]]&gt;10,"late","on time")</f>
        <v>on time</v>
      </c>
      <c r="AI491" t="str">
        <f>TEXT(Cleaned_data[[#This Row],[Order_Date]],"mmmm")</f>
        <v>May</v>
      </c>
      <c r="AJ491" s="9" t="str">
        <f>"Q"&amp;ROUNDUP(MONTH(Cleaned_data[[#This Row],[Order_Date]])/3,0)</f>
        <v>Q2</v>
      </c>
    </row>
    <row r="492" spans="1:36">
      <c r="A492" t="s">
        <v>981</v>
      </c>
      <c r="B492" s="9">
        <v>45802</v>
      </c>
      <c r="C492" s="9">
        <v>45803</v>
      </c>
      <c r="D492" t="s">
        <v>728</v>
      </c>
      <c r="E492" t="s">
        <v>333</v>
      </c>
      <c r="F492" t="s">
        <v>89</v>
      </c>
      <c r="G492" t="s">
        <v>194</v>
      </c>
      <c r="H492" t="s">
        <v>195</v>
      </c>
      <c r="I492" t="s">
        <v>196</v>
      </c>
      <c r="J492" t="s">
        <v>129</v>
      </c>
      <c r="K492" t="s">
        <v>168</v>
      </c>
      <c r="L492" t="s">
        <v>131</v>
      </c>
      <c r="M492" t="s">
        <v>132</v>
      </c>
      <c r="N492" t="s">
        <v>120</v>
      </c>
      <c r="O492" t="s">
        <v>133</v>
      </c>
      <c r="P492" s="8">
        <v>3</v>
      </c>
      <c r="Q492" s="10">
        <v>93.56</v>
      </c>
      <c r="R492" s="11">
        <v>0.12</v>
      </c>
      <c r="S492" s="10">
        <v>15.96</v>
      </c>
      <c r="T492" t="s">
        <v>122</v>
      </c>
      <c r="U492" t="s">
        <v>85</v>
      </c>
      <c r="V492" s="8">
        <v>1</v>
      </c>
      <c r="W492" t="s">
        <v>1270</v>
      </c>
      <c r="X492" t="str">
        <f>_xlfn.XLOOKUP(Cleaned_data[[#This Row],[Customer_ID]],Customers[S],Customers[Loyalty_Tier])</f>
        <v>Platinum</v>
      </c>
      <c r="Y492" s="9">
        <f>_xlfn.XLOOKUP(Cleaned_data[[#This Row],[Customer_ID]],Customers[S],Customers[Signup_Date])</f>
        <v>45616</v>
      </c>
      <c r="Z492" s="12">
        <f>_xlfn.XLOOKUP(Cleaned_data[[#This Row],[SKU]],Products[SKU],Products[Standard_Cost])</f>
        <v>44</v>
      </c>
      <c r="AA492" s="10">
        <f>Cleaned_data[[#This Row],[Quantity]]*Cleaned_data[[#This Row],[Unit_Price]]</f>
        <v>280.68</v>
      </c>
      <c r="AB492" s="10">
        <f>Cleaned_data[[#This Row],[Unit_Price]]*Cleaned_data[[#This Row],[Discount_Pct]]</f>
        <v>11.2272</v>
      </c>
      <c r="AC492" s="10">
        <f>Cleaned_data[[#This Row],[Gross Sales]]-Cleaned_data[[#This Row],[Discount amount]]</f>
        <v>269.45280000000002</v>
      </c>
      <c r="AD492" s="10">
        <f>Cleaned_data[[#This Row],[Product Cost]]*Cleaned_data[[#This Row],[Quantity]]</f>
        <v>132</v>
      </c>
      <c r="AE492" s="10">
        <f>Cleaned_data[[#This Row],[Net Sales]]-Cleaned_data[[#This Row],[COGS]]</f>
        <v>137.45280000000002</v>
      </c>
      <c r="AF492" s="11">
        <f>Cleaned_data[[#This Row],[Gross Profit]]/Cleaned_data[[#This Row],[Net Sales]]</f>
        <v>0.51011828416702298</v>
      </c>
      <c r="AG492">
        <f>Cleaned_data[[#This Row],[Ship_Date]]-Cleaned_data[[#This Row],[Order_Date]]</f>
        <v>1</v>
      </c>
      <c r="AH492" t="str">
        <f>IF(Cleaned_data[[#This Row],[Delivery Days]]&gt;10,"late","on time")</f>
        <v>on time</v>
      </c>
      <c r="AI492" t="str">
        <f>TEXT(Cleaned_data[[#This Row],[Order_Date]],"mmmm")</f>
        <v>May</v>
      </c>
      <c r="AJ492" s="9" t="str">
        <f>"Q"&amp;ROUNDUP(MONTH(Cleaned_data[[#This Row],[Order_Date]])/3,0)</f>
        <v>Q2</v>
      </c>
    </row>
    <row r="493" spans="1:36">
      <c r="A493" t="s">
        <v>982</v>
      </c>
      <c r="B493" s="9">
        <v>45802</v>
      </c>
      <c r="C493" s="9">
        <v>45805</v>
      </c>
      <c r="D493" t="s">
        <v>406</v>
      </c>
      <c r="E493" t="s">
        <v>407</v>
      </c>
      <c r="F493" t="s">
        <v>89</v>
      </c>
      <c r="G493" t="s">
        <v>75</v>
      </c>
      <c r="H493" t="s">
        <v>116</v>
      </c>
      <c r="I493" t="s">
        <v>117</v>
      </c>
      <c r="J493" t="s">
        <v>109</v>
      </c>
      <c r="K493" t="s">
        <v>79</v>
      </c>
      <c r="L493" t="s">
        <v>234</v>
      </c>
      <c r="M493" t="s">
        <v>235</v>
      </c>
      <c r="N493" t="s">
        <v>93</v>
      </c>
      <c r="O493" t="s">
        <v>236</v>
      </c>
      <c r="P493" s="8">
        <v>2</v>
      </c>
      <c r="Q493" s="10">
        <v>151.76</v>
      </c>
      <c r="R493" s="11">
        <v>7.0000000000000007E-2</v>
      </c>
      <c r="S493" s="10">
        <v>22.28</v>
      </c>
      <c r="T493" t="s">
        <v>105</v>
      </c>
      <c r="U493" t="s">
        <v>85</v>
      </c>
      <c r="V493" s="8">
        <v>4</v>
      </c>
      <c r="W493" t="s">
        <v>1270</v>
      </c>
      <c r="X493" t="str">
        <f>_xlfn.XLOOKUP(Cleaned_data[[#This Row],[Customer_ID]],Customers[S],Customers[Loyalty_Tier])</f>
        <v>Bronze</v>
      </c>
      <c r="Y493" s="9">
        <f>_xlfn.XLOOKUP(Cleaned_data[[#This Row],[Customer_ID]],Customers[S],Customers[Signup_Date])</f>
        <v>45879</v>
      </c>
      <c r="Z493" s="12">
        <f>_xlfn.XLOOKUP(Cleaned_data[[#This Row],[SKU]],Products[SKU],Products[Standard_Cost])</f>
        <v>82</v>
      </c>
      <c r="AA493" s="10">
        <f>Cleaned_data[[#This Row],[Quantity]]*Cleaned_data[[#This Row],[Unit_Price]]</f>
        <v>303.52</v>
      </c>
      <c r="AB493" s="10">
        <f>Cleaned_data[[#This Row],[Unit_Price]]*Cleaned_data[[#This Row],[Discount_Pct]]</f>
        <v>10.623200000000001</v>
      </c>
      <c r="AC493" s="10">
        <f>Cleaned_data[[#This Row],[Gross Sales]]-Cleaned_data[[#This Row],[Discount amount]]</f>
        <v>292.89679999999998</v>
      </c>
      <c r="AD493" s="10">
        <f>Cleaned_data[[#This Row],[Product Cost]]*Cleaned_data[[#This Row],[Quantity]]</f>
        <v>164</v>
      </c>
      <c r="AE493" s="10">
        <f>Cleaned_data[[#This Row],[Net Sales]]-Cleaned_data[[#This Row],[COGS]]</f>
        <v>128.89679999999998</v>
      </c>
      <c r="AF493" s="11">
        <f>Cleaned_data[[#This Row],[Gross Profit]]/Cleaned_data[[#This Row],[Net Sales]]</f>
        <v>0.44007582192772332</v>
      </c>
      <c r="AG493">
        <f>Cleaned_data[[#This Row],[Ship_Date]]-Cleaned_data[[#This Row],[Order_Date]]</f>
        <v>3</v>
      </c>
      <c r="AH493" t="str">
        <f>IF(Cleaned_data[[#This Row],[Delivery Days]]&gt;10,"late","on time")</f>
        <v>on time</v>
      </c>
      <c r="AI493" t="str">
        <f>TEXT(Cleaned_data[[#This Row],[Order_Date]],"mmmm")</f>
        <v>May</v>
      </c>
      <c r="AJ493" s="9" t="str">
        <f>"Q"&amp;ROUNDUP(MONTH(Cleaned_data[[#This Row],[Order_Date]])/3,0)</f>
        <v>Q2</v>
      </c>
    </row>
    <row r="494" spans="1:36">
      <c r="A494" t="s">
        <v>983</v>
      </c>
      <c r="B494" s="9">
        <v>45802</v>
      </c>
      <c r="C494" s="9">
        <v>45803</v>
      </c>
      <c r="D494" t="s">
        <v>96</v>
      </c>
      <c r="E494" t="s">
        <v>97</v>
      </c>
      <c r="F494" t="s">
        <v>74</v>
      </c>
      <c r="G494" t="s">
        <v>75</v>
      </c>
      <c r="H494" t="s">
        <v>98</v>
      </c>
      <c r="I494" t="s">
        <v>99</v>
      </c>
      <c r="J494" t="s">
        <v>219</v>
      </c>
      <c r="K494" t="s">
        <v>79</v>
      </c>
      <c r="L494" t="s">
        <v>431</v>
      </c>
      <c r="M494" t="s">
        <v>432</v>
      </c>
      <c r="N494" t="s">
        <v>103</v>
      </c>
      <c r="O494" t="s">
        <v>251</v>
      </c>
      <c r="P494" s="8">
        <v>10</v>
      </c>
      <c r="Q494" s="10">
        <v>37.29</v>
      </c>
      <c r="R494" s="11">
        <v>0.06</v>
      </c>
      <c r="S494" s="10">
        <v>8.86</v>
      </c>
      <c r="T494" t="s">
        <v>105</v>
      </c>
      <c r="U494" t="s">
        <v>85</v>
      </c>
      <c r="V494" s="8">
        <v>4</v>
      </c>
      <c r="W494" t="s">
        <v>1270</v>
      </c>
      <c r="X494" t="str">
        <f>_xlfn.XLOOKUP(Cleaned_data[[#This Row],[Customer_ID]],Customers[S],Customers[Loyalty_Tier])</f>
        <v>Platinum</v>
      </c>
      <c r="Y494" s="9">
        <f>_xlfn.XLOOKUP(Cleaned_data[[#This Row],[Customer_ID]],Customers[S],Customers[Signup_Date])</f>
        <v>44461</v>
      </c>
      <c r="Z494" s="12">
        <f>_xlfn.XLOOKUP(Cleaned_data[[#This Row],[SKU]],Products[SKU],Products[Standard_Cost])</f>
        <v>20</v>
      </c>
      <c r="AA494" s="10">
        <f>Cleaned_data[[#This Row],[Quantity]]*Cleaned_data[[#This Row],[Unit_Price]]</f>
        <v>372.9</v>
      </c>
      <c r="AB494" s="10">
        <f>Cleaned_data[[#This Row],[Unit_Price]]*Cleaned_data[[#This Row],[Discount_Pct]]</f>
        <v>2.2374000000000001</v>
      </c>
      <c r="AC494" s="10">
        <f>Cleaned_data[[#This Row],[Gross Sales]]-Cleaned_data[[#This Row],[Discount amount]]</f>
        <v>370.6626</v>
      </c>
      <c r="AD494" s="10">
        <f>Cleaned_data[[#This Row],[Product Cost]]*Cleaned_data[[#This Row],[Quantity]]</f>
        <v>200</v>
      </c>
      <c r="AE494" s="10">
        <f>Cleaned_data[[#This Row],[Net Sales]]-Cleaned_data[[#This Row],[COGS]]</f>
        <v>170.6626</v>
      </c>
      <c r="AF494" s="11">
        <f>Cleaned_data[[#This Row],[Gross Profit]]/Cleaned_data[[#This Row],[Net Sales]]</f>
        <v>0.46042573488665972</v>
      </c>
      <c r="AG494">
        <f>Cleaned_data[[#This Row],[Ship_Date]]-Cleaned_data[[#This Row],[Order_Date]]</f>
        <v>1</v>
      </c>
      <c r="AH494" t="str">
        <f>IF(Cleaned_data[[#This Row],[Delivery Days]]&gt;10,"late","on time")</f>
        <v>on time</v>
      </c>
      <c r="AI494" t="str">
        <f>TEXT(Cleaned_data[[#This Row],[Order_Date]],"mmmm")</f>
        <v>May</v>
      </c>
      <c r="AJ494" s="9" t="str">
        <f>"Q"&amp;ROUNDUP(MONTH(Cleaned_data[[#This Row],[Order_Date]])/3,0)</f>
        <v>Q2</v>
      </c>
    </row>
    <row r="495" spans="1:36">
      <c r="A495" t="s">
        <v>984</v>
      </c>
      <c r="B495" s="9">
        <v>45803</v>
      </c>
      <c r="C495" s="9">
        <v>45805</v>
      </c>
      <c r="D495" t="s">
        <v>677</v>
      </c>
      <c r="E495" t="s">
        <v>678</v>
      </c>
      <c r="F495" t="s">
        <v>152</v>
      </c>
      <c r="G495" t="s">
        <v>138</v>
      </c>
      <c r="H495" t="s">
        <v>347</v>
      </c>
      <c r="I495" t="s">
        <v>348</v>
      </c>
      <c r="J495" t="s">
        <v>109</v>
      </c>
      <c r="K495" t="s">
        <v>100</v>
      </c>
      <c r="L495" t="s">
        <v>359</v>
      </c>
      <c r="M495" t="s">
        <v>360</v>
      </c>
      <c r="N495" t="s">
        <v>93</v>
      </c>
      <c r="O495" t="s">
        <v>94</v>
      </c>
      <c r="P495" s="8">
        <v>3</v>
      </c>
      <c r="Q495" s="10">
        <v>446.92</v>
      </c>
      <c r="R495" s="11">
        <v>0.06</v>
      </c>
      <c r="S495" s="10">
        <v>20.86</v>
      </c>
      <c r="T495" t="s">
        <v>105</v>
      </c>
      <c r="U495" t="s">
        <v>85</v>
      </c>
      <c r="V495" s="8">
        <v>2</v>
      </c>
      <c r="W495" t="s">
        <v>1270</v>
      </c>
      <c r="X495" t="str">
        <f>_xlfn.XLOOKUP(Cleaned_data[[#This Row],[Customer_ID]],Customers[S],Customers[Loyalty_Tier])</f>
        <v>Platinum</v>
      </c>
      <c r="Y495" s="9">
        <f>_xlfn.XLOOKUP(Cleaned_data[[#This Row],[Customer_ID]],Customers[S],Customers[Signup_Date])</f>
        <v>44219</v>
      </c>
      <c r="Z495" s="12">
        <f>_xlfn.XLOOKUP(Cleaned_data[[#This Row],[SKU]],Products[SKU],Products[Standard_Cost])</f>
        <v>265</v>
      </c>
      <c r="AA495" s="10">
        <f>Cleaned_data[[#This Row],[Quantity]]*Cleaned_data[[#This Row],[Unit_Price]]</f>
        <v>1340.76</v>
      </c>
      <c r="AB495" s="10">
        <f>Cleaned_data[[#This Row],[Unit_Price]]*Cleaned_data[[#This Row],[Discount_Pct]]</f>
        <v>26.815200000000001</v>
      </c>
      <c r="AC495" s="10">
        <f>Cleaned_data[[#This Row],[Gross Sales]]-Cleaned_data[[#This Row],[Discount amount]]</f>
        <v>1313.9448</v>
      </c>
      <c r="AD495" s="10">
        <f>Cleaned_data[[#This Row],[Product Cost]]*Cleaned_data[[#This Row],[Quantity]]</f>
        <v>795</v>
      </c>
      <c r="AE495" s="10">
        <f>Cleaned_data[[#This Row],[Net Sales]]-Cleaned_data[[#This Row],[COGS]]</f>
        <v>518.94479999999999</v>
      </c>
      <c r="AF495" s="11">
        <f>Cleaned_data[[#This Row],[Gross Profit]]/Cleaned_data[[#This Row],[Net Sales]]</f>
        <v>0.39495175139777561</v>
      </c>
      <c r="AG495">
        <f>Cleaned_data[[#This Row],[Ship_Date]]-Cleaned_data[[#This Row],[Order_Date]]</f>
        <v>2</v>
      </c>
      <c r="AH495" t="str">
        <f>IF(Cleaned_data[[#This Row],[Delivery Days]]&gt;10,"late","on time")</f>
        <v>on time</v>
      </c>
      <c r="AI495" t="str">
        <f>TEXT(Cleaned_data[[#This Row],[Order_Date]],"mmmm")</f>
        <v>May</v>
      </c>
      <c r="AJ495" s="9" t="str">
        <f>"Q"&amp;ROUNDUP(MONTH(Cleaned_data[[#This Row],[Order_Date]])/3,0)</f>
        <v>Q2</v>
      </c>
    </row>
    <row r="496" spans="1:36">
      <c r="A496" t="s">
        <v>985</v>
      </c>
      <c r="B496" s="9">
        <v>45804</v>
      </c>
      <c r="C496" s="9">
        <v>45806</v>
      </c>
      <c r="D496" t="s">
        <v>482</v>
      </c>
      <c r="E496" t="s">
        <v>483</v>
      </c>
      <c r="F496" t="s">
        <v>74</v>
      </c>
      <c r="G496" t="s">
        <v>194</v>
      </c>
      <c r="H496" t="s">
        <v>240</v>
      </c>
      <c r="I496" t="s">
        <v>241</v>
      </c>
      <c r="J496" t="s">
        <v>219</v>
      </c>
      <c r="K496" t="s">
        <v>90</v>
      </c>
      <c r="L496" t="s">
        <v>254</v>
      </c>
      <c r="M496" t="s">
        <v>255</v>
      </c>
      <c r="N496" t="s">
        <v>82</v>
      </c>
      <c r="O496" t="s">
        <v>83</v>
      </c>
      <c r="P496" s="8">
        <v>9</v>
      </c>
      <c r="Q496" s="10">
        <v>91.52</v>
      </c>
      <c r="R496" s="11">
        <v>0.81</v>
      </c>
      <c r="S496" s="10">
        <v>6.35</v>
      </c>
      <c r="T496" t="s">
        <v>134</v>
      </c>
      <c r="U496" t="s">
        <v>85</v>
      </c>
      <c r="V496" s="8">
        <v>1</v>
      </c>
      <c r="W496" t="s">
        <v>1270</v>
      </c>
      <c r="X496" t="str">
        <f>_xlfn.XLOOKUP(Cleaned_data[[#This Row],[Customer_ID]],Customers[S],Customers[Loyalty_Tier])</f>
        <v>Platinum</v>
      </c>
      <c r="Y496" s="9">
        <f>_xlfn.XLOOKUP(Cleaned_data[[#This Row],[Customer_ID]],Customers[S],Customers[Signup_Date])</f>
        <v>44396</v>
      </c>
      <c r="Z496" s="12">
        <f>_xlfn.XLOOKUP(Cleaned_data[[#This Row],[SKU]],Products[SKU],Products[Standard_Cost])</f>
        <v>48</v>
      </c>
      <c r="AA496" s="10">
        <f>Cleaned_data[[#This Row],[Quantity]]*Cleaned_data[[#This Row],[Unit_Price]]</f>
        <v>823.68</v>
      </c>
      <c r="AB496" s="10">
        <f>Cleaned_data[[#This Row],[Unit_Price]]*Cleaned_data[[#This Row],[Discount_Pct]]</f>
        <v>74.131200000000007</v>
      </c>
      <c r="AC496" s="10">
        <f>Cleaned_data[[#This Row],[Gross Sales]]-Cleaned_data[[#This Row],[Discount amount]]</f>
        <v>749.54879999999991</v>
      </c>
      <c r="AD496" s="10">
        <f>Cleaned_data[[#This Row],[Product Cost]]*Cleaned_data[[#This Row],[Quantity]]</f>
        <v>432</v>
      </c>
      <c r="AE496" s="10">
        <f>Cleaned_data[[#This Row],[Net Sales]]-Cleaned_data[[#This Row],[COGS]]</f>
        <v>317.54879999999991</v>
      </c>
      <c r="AF496" s="11">
        <f>Cleaned_data[[#This Row],[Gross Profit]]/Cleaned_data[[#This Row],[Net Sales]]</f>
        <v>0.42365326980711587</v>
      </c>
      <c r="AG496">
        <f>Cleaned_data[[#This Row],[Ship_Date]]-Cleaned_data[[#This Row],[Order_Date]]</f>
        <v>2</v>
      </c>
      <c r="AH496" t="str">
        <f>IF(Cleaned_data[[#This Row],[Delivery Days]]&gt;10,"late","on time")</f>
        <v>on time</v>
      </c>
      <c r="AI496" t="str">
        <f>TEXT(Cleaned_data[[#This Row],[Order_Date]],"mmmm")</f>
        <v>May</v>
      </c>
      <c r="AJ496" s="9" t="str">
        <f>"Q"&amp;ROUNDUP(MONTH(Cleaned_data[[#This Row],[Order_Date]])/3,0)</f>
        <v>Q2</v>
      </c>
    </row>
    <row r="497" spans="1:36">
      <c r="A497" t="s">
        <v>986</v>
      </c>
      <c r="B497" s="9">
        <v>45805</v>
      </c>
      <c r="C497" s="9">
        <v>45813</v>
      </c>
      <c r="D497" t="s">
        <v>315</v>
      </c>
      <c r="E497" t="s">
        <v>316</v>
      </c>
      <c r="F497" t="s">
        <v>89</v>
      </c>
      <c r="G497" t="s">
        <v>75</v>
      </c>
      <c r="H497" t="s">
        <v>273</v>
      </c>
      <c r="I497" t="s">
        <v>274</v>
      </c>
      <c r="J497" t="s">
        <v>109</v>
      </c>
      <c r="K497" t="s">
        <v>130</v>
      </c>
      <c r="L497" t="s">
        <v>141</v>
      </c>
      <c r="M497" t="s">
        <v>142</v>
      </c>
      <c r="N497" t="s">
        <v>103</v>
      </c>
      <c r="O497" t="s">
        <v>143</v>
      </c>
      <c r="P497" s="8">
        <v>2</v>
      </c>
      <c r="Q497" s="10">
        <v>34.450000000000003</v>
      </c>
      <c r="R497" s="11">
        <v>0.06</v>
      </c>
      <c r="S497" s="10">
        <v>16.559999999999999</v>
      </c>
      <c r="T497" t="s">
        <v>134</v>
      </c>
      <c r="U497" t="s">
        <v>85</v>
      </c>
      <c r="V497" s="8">
        <v>3</v>
      </c>
      <c r="W497" t="s">
        <v>1270</v>
      </c>
      <c r="X497" t="str">
        <f>_xlfn.XLOOKUP(Cleaned_data[[#This Row],[Customer_ID]],Customers[S],Customers[Loyalty_Tier])</f>
        <v>Bronze</v>
      </c>
      <c r="Y497" s="9">
        <f>_xlfn.XLOOKUP(Cleaned_data[[#This Row],[Customer_ID]],Customers[S],Customers[Signup_Date])</f>
        <v>45787</v>
      </c>
      <c r="Z497" s="12">
        <f>_xlfn.XLOOKUP(Cleaned_data[[#This Row],[SKU]],Products[SKU],Products[Standard_Cost])</f>
        <v>18</v>
      </c>
      <c r="AA497" s="10">
        <f>Cleaned_data[[#This Row],[Quantity]]*Cleaned_data[[#This Row],[Unit_Price]]</f>
        <v>68.900000000000006</v>
      </c>
      <c r="AB497" s="10">
        <f>Cleaned_data[[#This Row],[Unit_Price]]*Cleaned_data[[#This Row],[Discount_Pct]]</f>
        <v>2.0670000000000002</v>
      </c>
      <c r="AC497" s="10">
        <f>Cleaned_data[[#This Row],[Gross Sales]]-Cleaned_data[[#This Row],[Discount amount]]</f>
        <v>66.832999999999998</v>
      </c>
      <c r="AD497" s="10">
        <f>Cleaned_data[[#This Row],[Product Cost]]*Cleaned_data[[#This Row],[Quantity]]</f>
        <v>36</v>
      </c>
      <c r="AE497" s="10">
        <f>Cleaned_data[[#This Row],[Net Sales]]-Cleaned_data[[#This Row],[COGS]]</f>
        <v>30.832999999999998</v>
      </c>
      <c r="AF497" s="11">
        <f>Cleaned_data[[#This Row],[Gross Profit]]/Cleaned_data[[#This Row],[Net Sales]]</f>
        <v>0.46134394685260277</v>
      </c>
      <c r="AG497">
        <f>Cleaned_data[[#This Row],[Ship_Date]]-Cleaned_data[[#This Row],[Order_Date]]</f>
        <v>8</v>
      </c>
      <c r="AH497" t="str">
        <f>IF(Cleaned_data[[#This Row],[Delivery Days]]&gt;10,"late","on time")</f>
        <v>on time</v>
      </c>
      <c r="AI497" t="str">
        <f>TEXT(Cleaned_data[[#This Row],[Order_Date]],"mmmm")</f>
        <v>May</v>
      </c>
      <c r="AJ497" s="9" t="str">
        <f>"Q"&amp;ROUNDUP(MONTH(Cleaned_data[[#This Row],[Order_Date]])/3,0)</f>
        <v>Q2</v>
      </c>
    </row>
    <row r="498" spans="1:36">
      <c r="A498" t="s">
        <v>987</v>
      </c>
      <c r="B498" s="9">
        <v>45805</v>
      </c>
      <c r="C498" s="9">
        <v>45815</v>
      </c>
      <c r="D498" t="s">
        <v>787</v>
      </c>
      <c r="E498" t="s">
        <v>660</v>
      </c>
      <c r="F498" t="s">
        <v>152</v>
      </c>
      <c r="G498" t="s">
        <v>194</v>
      </c>
      <c r="H498" t="s">
        <v>202</v>
      </c>
      <c r="I498" t="s">
        <v>203</v>
      </c>
      <c r="J498" t="s">
        <v>78</v>
      </c>
      <c r="K498" t="s">
        <v>100</v>
      </c>
      <c r="L498" t="s">
        <v>359</v>
      </c>
      <c r="M498" t="s">
        <v>360</v>
      </c>
      <c r="N498" t="s">
        <v>93</v>
      </c>
      <c r="O498" t="s">
        <v>94</v>
      </c>
      <c r="P498" s="8">
        <v>1</v>
      </c>
      <c r="Q498" s="10">
        <v>429.86</v>
      </c>
      <c r="R498" s="11">
        <v>0.01</v>
      </c>
      <c r="S498" s="10">
        <v>23.18</v>
      </c>
      <c r="T498" t="s">
        <v>84</v>
      </c>
      <c r="U498" t="s">
        <v>85</v>
      </c>
      <c r="V498" s="8">
        <v>1</v>
      </c>
      <c r="W498" t="s">
        <v>1270</v>
      </c>
      <c r="X498" t="str">
        <f>_xlfn.XLOOKUP(Cleaned_data[[#This Row],[Customer_ID]],Customers[S],Customers[Loyalty_Tier])</f>
        <v>Gold</v>
      </c>
      <c r="Y498" s="9">
        <f>_xlfn.XLOOKUP(Cleaned_data[[#This Row],[Customer_ID]],Customers[S],Customers[Signup_Date])</f>
        <v>44524</v>
      </c>
      <c r="Z498" s="12">
        <f>_xlfn.XLOOKUP(Cleaned_data[[#This Row],[SKU]],Products[SKU],Products[Standard_Cost])</f>
        <v>265</v>
      </c>
      <c r="AA498" s="10">
        <f>Cleaned_data[[#This Row],[Quantity]]*Cleaned_data[[#This Row],[Unit_Price]]</f>
        <v>429.86</v>
      </c>
      <c r="AB498" s="10">
        <f>Cleaned_data[[#This Row],[Unit_Price]]*Cleaned_data[[#This Row],[Discount_Pct]]</f>
        <v>4.2986000000000004</v>
      </c>
      <c r="AC498" s="10">
        <f>Cleaned_data[[#This Row],[Gross Sales]]-Cleaned_data[[#This Row],[Discount amount]]</f>
        <v>425.56139999999999</v>
      </c>
      <c r="AD498" s="10">
        <f>Cleaned_data[[#This Row],[Product Cost]]*Cleaned_data[[#This Row],[Quantity]]</f>
        <v>265</v>
      </c>
      <c r="AE498" s="10">
        <f>Cleaned_data[[#This Row],[Net Sales]]-Cleaned_data[[#This Row],[COGS]]</f>
        <v>160.56139999999999</v>
      </c>
      <c r="AF498" s="11">
        <f>Cleaned_data[[#This Row],[Gross Profit]]/Cleaned_data[[#This Row],[Net Sales]]</f>
        <v>0.37729314735781955</v>
      </c>
      <c r="AG498">
        <f>Cleaned_data[[#This Row],[Ship_Date]]-Cleaned_data[[#This Row],[Order_Date]]</f>
        <v>10</v>
      </c>
      <c r="AH498" t="str">
        <f>IF(Cleaned_data[[#This Row],[Delivery Days]]&gt;10,"late","on time")</f>
        <v>on time</v>
      </c>
      <c r="AI498" t="str">
        <f>TEXT(Cleaned_data[[#This Row],[Order_Date]],"mmmm")</f>
        <v>May</v>
      </c>
      <c r="AJ498" s="9" t="str">
        <f>"Q"&amp;ROUNDUP(MONTH(Cleaned_data[[#This Row],[Order_Date]])/3,0)</f>
        <v>Q2</v>
      </c>
    </row>
    <row r="499" spans="1:36">
      <c r="A499" t="s">
        <v>988</v>
      </c>
      <c r="B499" s="9">
        <v>45805</v>
      </c>
      <c r="C499" s="9">
        <v>45809</v>
      </c>
      <c r="D499" t="s">
        <v>445</v>
      </c>
      <c r="E499" t="s">
        <v>446</v>
      </c>
      <c r="F499" t="s">
        <v>152</v>
      </c>
      <c r="G499" t="s">
        <v>126</v>
      </c>
      <c r="H499" t="s">
        <v>160</v>
      </c>
      <c r="I499" t="s">
        <v>182</v>
      </c>
      <c r="J499" t="s">
        <v>109</v>
      </c>
      <c r="K499" t="s">
        <v>168</v>
      </c>
      <c r="L499" t="s">
        <v>91</v>
      </c>
      <c r="M499" t="s">
        <v>92</v>
      </c>
      <c r="N499" t="s">
        <v>93</v>
      </c>
      <c r="O499" t="s">
        <v>94</v>
      </c>
      <c r="P499" s="8">
        <v>2</v>
      </c>
      <c r="Q499" s="10">
        <v>340.52</v>
      </c>
      <c r="R499" s="11">
        <v>0.24</v>
      </c>
      <c r="S499" s="10">
        <v>18.68</v>
      </c>
      <c r="T499" t="s">
        <v>105</v>
      </c>
      <c r="U499" t="s">
        <v>85</v>
      </c>
      <c r="V499" s="8">
        <v>3</v>
      </c>
      <c r="W499" t="s">
        <v>1270</v>
      </c>
      <c r="X499" t="str">
        <f>_xlfn.XLOOKUP(Cleaned_data[[#This Row],[Customer_ID]],Customers[S],Customers[Loyalty_Tier])</f>
        <v>Bronze</v>
      </c>
      <c r="Y499" s="9">
        <f>_xlfn.XLOOKUP(Cleaned_data[[#This Row],[Customer_ID]],Customers[S],Customers[Signup_Date])</f>
        <v>45690</v>
      </c>
      <c r="Z499" s="12">
        <f>_xlfn.XLOOKUP(Cleaned_data[[#This Row],[SKU]],Products[SKU],Products[Standard_Cost])</f>
        <v>184</v>
      </c>
      <c r="AA499" s="10">
        <f>Cleaned_data[[#This Row],[Quantity]]*Cleaned_data[[#This Row],[Unit_Price]]</f>
        <v>681.04</v>
      </c>
      <c r="AB499" s="10">
        <f>Cleaned_data[[#This Row],[Unit_Price]]*Cleaned_data[[#This Row],[Discount_Pct]]</f>
        <v>81.724799999999988</v>
      </c>
      <c r="AC499" s="10">
        <f>Cleaned_data[[#This Row],[Gross Sales]]-Cleaned_data[[#This Row],[Discount amount]]</f>
        <v>599.3152</v>
      </c>
      <c r="AD499" s="10">
        <f>Cleaned_data[[#This Row],[Product Cost]]*Cleaned_data[[#This Row],[Quantity]]</f>
        <v>368</v>
      </c>
      <c r="AE499" s="10">
        <f>Cleaned_data[[#This Row],[Net Sales]]-Cleaned_data[[#This Row],[COGS]]</f>
        <v>231.3152</v>
      </c>
      <c r="AF499" s="11">
        <f>Cleaned_data[[#This Row],[Gross Profit]]/Cleaned_data[[#This Row],[Net Sales]]</f>
        <v>0.38596584902235087</v>
      </c>
      <c r="AG499">
        <f>Cleaned_data[[#This Row],[Ship_Date]]-Cleaned_data[[#This Row],[Order_Date]]</f>
        <v>4</v>
      </c>
      <c r="AH499" t="str">
        <f>IF(Cleaned_data[[#This Row],[Delivery Days]]&gt;10,"late","on time")</f>
        <v>on time</v>
      </c>
      <c r="AI499" t="str">
        <f>TEXT(Cleaned_data[[#This Row],[Order_Date]],"mmmm")</f>
        <v>May</v>
      </c>
      <c r="AJ499" s="9" t="str">
        <f>"Q"&amp;ROUNDUP(MONTH(Cleaned_data[[#This Row],[Order_Date]])/3,0)</f>
        <v>Q2</v>
      </c>
    </row>
    <row r="500" spans="1:36">
      <c r="A500" t="s">
        <v>989</v>
      </c>
      <c r="B500" s="9">
        <v>45806</v>
      </c>
      <c r="C500" s="9">
        <v>45815</v>
      </c>
      <c r="D500" t="s">
        <v>504</v>
      </c>
      <c r="E500" t="s">
        <v>505</v>
      </c>
      <c r="F500" t="s">
        <v>74</v>
      </c>
      <c r="G500" t="s">
        <v>126</v>
      </c>
      <c r="H500" t="s">
        <v>160</v>
      </c>
      <c r="I500" t="s">
        <v>161</v>
      </c>
      <c r="J500" t="s">
        <v>129</v>
      </c>
      <c r="K500" t="s">
        <v>79</v>
      </c>
      <c r="L500" t="s">
        <v>301</v>
      </c>
      <c r="M500" t="s">
        <v>302</v>
      </c>
      <c r="N500" t="s">
        <v>120</v>
      </c>
      <c r="O500" t="s">
        <v>190</v>
      </c>
      <c r="P500" s="8">
        <v>3</v>
      </c>
      <c r="Q500" s="10">
        <v>140.34</v>
      </c>
      <c r="R500" s="11">
        <v>0.01</v>
      </c>
      <c r="S500" s="10">
        <v>22.16</v>
      </c>
      <c r="T500" t="s">
        <v>84</v>
      </c>
      <c r="U500" t="s">
        <v>85</v>
      </c>
      <c r="V500" s="8">
        <v>5</v>
      </c>
      <c r="W500" t="s">
        <v>1270</v>
      </c>
      <c r="X500" t="str">
        <f>_xlfn.XLOOKUP(Cleaned_data[[#This Row],[Customer_ID]],Customers[S],Customers[Loyalty_Tier])</f>
        <v>Bronze</v>
      </c>
      <c r="Y500" s="9">
        <f>_xlfn.XLOOKUP(Cleaned_data[[#This Row],[Customer_ID]],Customers[S],Customers[Signup_Date])</f>
        <v>44699</v>
      </c>
      <c r="Z500" s="12">
        <f>_xlfn.XLOOKUP(Cleaned_data[[#This Row],[SKU]],Products[SKU],Products[Standard_Cost])</f>
        <v>72</v>
      </c>
      <c r="AA500" s="10">
        <f>Cleaned_data[[#This Row],[Quantity]]*Cleaned_data[[#This Row],[Unit_Price]]</f>
        <v>421.02</v>
      </c>
      <c r="AB500" s="10">
        <f>Cleaned_data[[#This Row],[Unit_Price]]*Cleaned_data[[#This Row],[Discount_Pct]]</f>
        <v>1.4034</v>
      </c>
      <c r="AC500" s="10">
        <f>Cleaned_data[[#This Row],[Gross Sales]]-Cleaned_data[[#This Row],[Discount amount]]</f>
        <v>419.61660000000001</v>
      </c>
      <c r="AD500" s="10">
        <f>Cleaned_data[[#This Row],[Product Cost]]*Cleaned_data[[#This Row],[Quantity]]</f>
        <v>216</v>
      </c>
      <c r="AE500" s="10">
        <f>Cleaned_data[[#This Row],[Net Sales]]-Cleaned_data[[#This Row],[COGS]]</f>
        <v>203.61660000000001</v>
      </c>
      <c r="AF500" s="11">
        <f>Cleaned_data[[#This Row],[Gross Profit]]/Cleaned_data[[#This Row],[Net Sales]]</f>
        <v>0.48524438737647652</v>
      </c>
      <c r="AG500">
        <f>Cleaned_data[[#This Row],[Ship_Date]]-Cleaned_data[[#This Row],[Order_Date]]</f>
        <v>9</v>
      </c>
      <c r="AH500" t="str">
        <f>IF(Cleaned_data[[#This Row],[Delivery Days]]&gt;10,"late","on time")</f>
        <v>on time</v>
      </c>
      <c r="AI500" t="str">
        <f>TEXT(Cleaned_data[[#This Row],[Order_Date]],"mmmm")</f>
        <v>May</v>
      </c>
      <c r="AJ500" s="9" t="str">
        <f>"Q"&amp;ROUNDUP(MONTH(Cleaned_data[[#This Row],[Order_Date]])/3,0)</f>
        <v>Q2</v>
      </c>
    </row>
    <row r="501" spans="1:36">
      <c r="A501" t="s">
        <v>990</v>
      </c>
      <c r="B501" s="9">
        <v>45808</v>
      </c>
      <c r="C501" s="9">
        <v>45809</v>
      </c>
      <c r="D501" t="s">
        <v>158</v>
      </c>
      <c r="E501" t="s">
        <v>159</v>
      </c>
      <c r="F501" t="s">
        <v>89</v>
      </c>
      <c r="G501" t="s">
        <v>126</v>
      </c>
      <c r="H501" t="s">
        <v>160</v>
      </c>
      <c r="I501" t="s">
        <v>161</v>
      </c>
      <c r="J501" t="s">
        <v>78</v>
      </c>
      <c r="K501" t="s">
        <v>90</v>
      </c>
      <c r="L501" t="s">
        <v>169</v>
      </c>
      <c r="M501" t="s">
        <v>170</v>
      </c>
      <c r="N501" t="s">
        <v>103</v>
      </c>
      <c r="O501" t="s">
        <v>171</v>
      </c>
      <c r="P501" s="8">
        <v>3</v>
      </c>
      <c r="Q501" s="10">
        <v>15.11</v>
      </c>
      <c r="R501" s="11">
        <v>0.28999999999999998</v>
      </c>
      <c r="S501" s="10">
        <v>14.71</v>
      </c>
      <c r="T501" t="s">
        <v>122</v>
      </c>
      <c r="U501" t="s">
        <v>85</v>
      </c>
      <c r="V501" s="8">
        <v>1</v>
      </c>
      <c r="W501" t="s">
        <v>1270</v>
      </c>
      <c r="X501" t="str">
        <f>_xlfn.XLOOKUP(Cleaned_data[[#This Row],[Customer_ID]],Customers[S],Customers[Loyalty_Tier])</f>
        <v>Silver</v>
      </c>
      <c r="Y501" s="9">
        <f>_xlfn.XLOOKUP(Cleaned_data[[#This Row],[Customer_ID]],Customers[S],Customers[Signup_Date])</f>
        <v>44476</v>
      </c>
      <c r="Z501" s="12">
        <f>_xlfn.XLOOKUP(Cleaned_data[[#This Row],[SKU]],Products[SKU],Products[Standard_Cost])</f>
        <v>6</v>
      </c>
      <c r="AA501" s="10">
        <f>Cleaned_data[[#This Row],[Quantity]]*Cleaned_data[[#This Row],[Unit_Price]]</f>
        <v>45.33</v>
      </c>
      <c r="AB501" s="10">
        <f>Cleaned_data[[#This Row],[Unit_Price]]*Cleaned_data[[#This Row],[Discount_Pct]]</f>
        <v>4.3818999999999999</v>
      </c>
      <c r="AC501" s="10">
        <f>Cleaned_data[[#This Row],[Gross Sales]]-Cleaned_data[[#This Row],[Discount amount]]</f>
        <v>40.948099999999997</v>
      </c>
      <c r="AD501" s="10">
        <f>Cleaned_data[[#This Row],[Product Cost]]*Cleaned_data[[#This Row],[Quantity]]</f>
        <v>18</v>
      </c>
      <c r="AE501" s="10">
        <f>Cleaned_data[[#This Row],[Net Sales]]-Cleaned_data[[#This Row],[COGS]]</f>
        <v>22.948099999999997</v>
      </c>
      <c r="AF501" s="11">
        <f>Cleaned_data[[#This Row],[Gross Profit]]/Cleaned_data[[#This Row],[Net Sales]]</f>
        <v>0.5604191647475707</v>
      </c>
      <c r="AG501">
        <f>Cleaned_data[[#This Row],[Ship_Date]]-Cleaned_data[[#This Row],[Order_Date]]</f>
        <v>1</v>
      </c>
      <c r="AH501" t="str">
        <f>IF(Cleaned_data[[#This Row],[Delivery Days]]&gt;10,"late","on time")</f>
        <v>on time</v>
      </c>
      <c r="AI501" t="str">
        <f>TEXT(Cleaned_data[[#This Row],[Order_Date]],"mmmm")</f>
        <v>May</v>
      </c>
      <c r="AJ501" s="9" t="str">
        <f>"Q"&amp;ROUNDUP(MONTH(Cleaned_data[[#This Row],[Order_Date]])/3,0)</f>
        <v>Q2</v>
      </c>
    </row>
    <row r="502" spans="1:36">
      <c r="A502" t="s">
        <v>991</v>
      </c>
      <c r="B502" s="9">
        <v>45808</v>
      </c>
      <c r="C502" s="9">
        <v>45809</v>
      </c>
      <c r="D502" t="s">
        <v>427</v>
      </c>
      <c r="E502" t="s">
        <v>428</v>
      </c>
      <c r="F502" t="s">
        <v>152</v>
      </c>
      <c r="G502" t="s">
        <v>194</v>
      </c>
      <c r="H502" t="s">
        <v>240</v>
      </c>
      <c r="I502" t="s">
        <v>241</v>
      </c>
      <c r="J502" t="s">
        <v>129</v>
      </c>
      <c r="K502" t="s">
        <v>90</v>
      </c>
      <c r="L502" t="s">
        <v>110</v>
      </c>
      <c r="M502" t="s">
        <v>111</v>
      </c>
      <c r="N502" t="s">
        <v>82</v>
      </c>
      <c r="O502" t="s">
        <v>112</v>
      </c>
      <c r="P502" s="8">
        <v>9</v>
      </c>
      <c r="Q502" s="10">
        <v>305.58999999999997</v>
      </c>
      <c r="R502" s="11">
        <v>0.04</v>
      </c>
      <c r="S502" s="10">
        <v>10.94</v>
      </c>
      <c r="T502" t="s">
        <v>105</v>
      </c>
      <c r="U502" t="s">
        <v>85</v>
      </c>
      <c r="V502" s="8">
        <v>5</v>
      </c>
      <c r="W502" t="s">
        <v>1270</v>
      </c>
      <c r="X502" t="str">
        <f>_xlfn.XLOOKUP(Cleaned_data[[#This Row],[Customer_ID]],Customers[S],Customers[Loyalty_Tier])</f>
        <v>Gold</v>
      </c>
      <c r="Y502" s="9">
        <f>_xlfn.XLOOKUP(Cleaned_data[[#This Row],[Customer_ID]],Customers[S],Customers[Signup_Date])</f>
        <v>45885</v>
      </c>
      <c r="Z502" s="12">
        <f>_xlfn.XLOOKUP(Cleaned_data[[#This Row],[SKU]],Products[SKU],Products[Standard_Cost])</f>
        <v>165</v>
      </c>
      <c r="AA502" s="10">
        <f>Cleaned_data[[#This Row],[Quantity]]*Cleaned_data[[#This Row],[Unit_Price]]</f>
        <v>2750.31</v>
      </c>
      <c r="AB502" s="10">
        <f>Cleaned_data[[#This Row],[Unit_Price]]*Cleaned_data[[#This Row],[Discount_Pct]]</f>
        <v>12.223599999999999</v>
      </c>
      <c r="AC502" s="10">
        <f>Cleaned_data[[#This Row],[Gross Sales]]-Cleaned_data[[#This Row],[Discount amount]]</f>
        <v>2738.0864000000001</v>
      </c>
      <c r="AD502" s="10">
        <f>Cleaned_data[[#This Row],[Product Cost]]*Cleaned_data[[#This Row],[Quantity]]</f>
        <v>1485</v>
      </c>
      <c r="AE502" s="10">
        <f>Cleaned_data[[#This Row],[Net Sales]]-Cleaned_data[[#This Row],[COGS]]</f>
        <v>1253.0864000000001</v>
      </c>
      <c r="AF502" s="11">
        <f>Cleaned_data[[#This Row],[Gross Profit]]/Cleaned_data[[#This Row],[Net Sales]]</f>
        <v>0.4576504233029316</v>
      </c>
      <c r="AG502">
        <f>Cleaned_data[[#This Row],[Ship_Date]]-Cleaned_data[[#This Row],[Order_Date]]</f>
        <v>1</v>
      </c>
      <c r="AH502" t="str">
        <f>IF(Cleaned_data[[#This Row],[Delivery Days]]&gt;10,"late","on time")</f>
        <v>on time</v>
      </c>
      <c r="AI502" t="str">
        <f>TEXT(Cleaned_data[[#This Row],[Order_Date]],"mmmm")</f>
        <v>May</v>
      </c>
      <c r="AJ502" s="9" t="str">
        <f>"Q"&amp;ROUNDUP(MONTH(Cleaned_data[[#This Row],[Order_Date]])/3,0)</f>
        <v>Q2</v>
      </c>
    </row>
    <row r="503" spans="1:36">
      <c r="A503" t="s">
        <v>992</v>
      </c>
      <c r="B503" s="9">
        <v>45810</v>
      </c>
      <c r="C503" s="9">
        <v>45820</v>
      </c>
      <c r="D503" t="s">
        <v>667</v>
      </c>
      <c r="E503" t="s">
        <v>336</v>
      </c>
      <c r="F503" t="s">
        <v>152</v>
      </c>
      <c r="G503" t="s">
        <v>138</v>
      </c>
      <c r="H503" t="s">
        <v>457</v>
      </c>
      <c r="I503" t="s">
        <v>458</v>
      </c>
      <c r="J503" t="s">
        <v>219</v>
      </c>
      <c r="K503" t="s">
        <v>79</v>
      </c>
      <c r="L503" t="s">
        <v>162</v>
      </c>
      <c r="M503" t="s">
        <v>163</v>
      </c>
      <c r="N503" t="s">
        <v>120</v>
      </c>
      <c r="O503" t="s">
        <v>164</v>
      </c>
      <c r="P503" s="8">
        <v>2</v>
      </c>
      <c r="Q503" s="10">
        <v>929.35</v>
      </c>
      <c r="R503" s="11">
        <v>0.12</v>
      </c>
      <c r="S503" s="10">
        <v>5.64</v>
      </c>
      <c r="T503" t="s">
        <v>105</v>
      </c>
      <c r="U503" t="s">
        <v>85</v>
      </c>
      <c r="W503" t="s">
        <v>1270</v>
      </c>
      <c r="X503" t="str">
        <f>_xlfn.XLOOKUP(Cleaned_data[[#This Row],[Customer_ID]],Customers[S],Customers[Loyalty_Tier])</f>
        <v>Gold</v>
      </c>
      <c r="Y503" s="9">
        <f>_xlfn.XLOOKUP(Cleaned_data[[#This Row],[Customer_ID]],Customers[S],Customers[Signup_Date])</f>
        <v>45372</v>
      </c>
      <c r="Z503" s="12">
        <f>_xlfn.XLOOKUP(Cleaned_data[[#This Row],[SKU]],Products[SKU],Products[Standard_Cost])</f>
        <v>585</v>
      </c>
      <c r="AA503" s="10">
        <f>Cleaned_data[[#This Row],[Quantity]]*Cleaned_data[[#This Row],[Unit_Price]]</f>
        <v>1858.7</v>
      </c>
      <c r="AB503" s="10">
        <f>Cleaned_data[[#This Row],[Unit_Price]]*Cleaned_data[[#This Row],[Discount_Pct]]</f>
        <v>111.52200000000001</v>
      </c>
      <c r="AC503" s="10">
        <f>Cleaned_data[[#This Row],[Gross Sales]]-Cleaned_data[[#This Row],[Discount amount]]</f>
        <v>1747.1780000000001</v>
      </c>
      <c r="AD503" s="10">
        <f>Cleaned_data[[#This Row],[Product Cost]]*Cleaned_data[[#This Row],[Quantity]]</f>
        <v>1170</v>
      </c>
      <c r="AE503" s="10">
        <f>Cleaned_data[[#This Row],[Net Sales]]-Cleaned_data[[#This Row],[COGS]]</f>
        <v>577.17800000000011</v>
      </c>
      <c r="AF503" s="11">
        <f>Cleaned_data[[#This Row],[Gross Profit]]/Cleaned_data[[#This Row],[Net Sales]]</f>
        <v>0.33034871089265094</v>
      </c>
      <c r="AG503">
        <f>Cleaned_data[[#This Row],[Ship_Date]]-Cleaned_data[[#This Row],[Order_Date]]</f>
        <v>10</v>
      </c>
      <c r="AH503" t="str">
        <f>IF(Cleaned_data[[#This Row],[Delivery Days]]&gt;10,"late","on time")</f>
        <v>on time</v>
      </c>
      <c r="AI503" t="str">
        <f>TEXT(Cleaned_data[[#This Row],[Order_Date]],"mmmm")</f>
        <v>June</v>
      </c>
      <c r="AJ503" s="9" t="str">
        <f>"Q"&amp;ROUNDUP(MONTH(Cleaned_data[[#This Row],[Order_Date]])/3,0)</f>
        <v>Q2</v>
      </c>
    </row>
    <row r="504" spans="1:36">
      <c r="A504" t="s">
        <v>993</v>
      </c>
      <c r="B504" s="9">
        <v>45811</v>
      </c>
      <c r="C504" s="9">
        <v>45821</v>
      </c>
      <c r="D504" t="s">
        <v>150</v>
      </c>
      <c r="E504" t="s">
        <v>151</v>
      </c>
      <c r="F504" t="s">
        <v>152</v>
      </c>
      <c r="G504" t="s">
        <v>138</v>
      </c>
      <c r="H504" t="s">
        <v>153</v>
      </c>
      <c r="I504" t="s">
        <v>154</v>
      </c>
      <c r="J504" t="s">
        <v>109</v>
      </c>
      <c r="K504" t="s">
        <v>168</v>
      </c>
      <c r="L504" t="s">
        <v>284</v>
      </c>
      <c r="M504" t="s">
        <v>285</v>
      </c>
      <c r="N504" t="s">
        <v>103</v>
      </c>
      <c r="O504" t="s">
        <v>143</v>
      </c>
      <c r="P504" s="8">
        <v>6</v>
      </c>
      <c r="Q504" s="10">
        <v>28.13</v>
      </c>
      <c r="R504" s="11">
        <v>0.03</v>
      </c>
      <c r="S504" s="10">
        <v>7.35</v>
      </c>
      <c r="T504" t="s">
        <v>122</v>
      </c>
      <c r="U504" t="s">
        <v>85</v>
      </c>
      <c r="V504" s="8">
        <v>1</v>
      </c>
      <c r="W504" t="s">
        <v>1270</v>
      </c>
      <c r="X504" t="str">
        <f>_xlfn.XLOOKUP(Cleaned_data[[#This Row],[Customer_ID]],Customers[S],Customers[Loyalty_Tier])</f>
        <v>Platinum</v>
      </c>
      <c r="Y504" s="9">
        <f>_xlfn.XLOOKUP(Cleaned_data[[#This Row],[Customer_ID]],Customers[S],Customers[Signup_Date])</f>
        <v>45858</v>
      </c>
      <c r="Z504" s="12">
        <f>_xlfn.XLOOKUP(Cleaned_data[[#This Row],[SKU]],Products[SKU],Products[Standard_Cost])</f>
        <v>14</v>
      </c>
      <c r="AA504" s="10">
        <f>Cleaned_data[[#This Row],[Quantity]]*Cleaned_data[[#This Row],[Unit_Price]]</f>
        <v>168.78</v>
      </c>
      <c r="AB504" s="10">
        <f>Cleaned_data[[#This Row],[Unit_Price]]*Cleaned_data[[#This Row],[Discount_Pct]]</f>
        <v>0.84389999999999998</v>
      </c>
      <c r="AC504" s="10">
        <f>Cleaned_data[[#This Row],[Gross Sales]]-Cleaned_data[[#This Row],[Discount amount]]</f>
        <v>167.93610000000001</v>
      </c>
      <c r="AD504" s="10">
        <f>Cleaned_data[[#This Row],[Product Cost]]*Cleaned_data[[#This Row],[Quantity]]</f>
        <v>84</v>
      </c>
      <c r="AE504" s="10">
        <f>Cleaned_data[[#This Row],[Net Sales]]-Cleaned_data[[#This Row],[COGS]]</f>
        <v>83.93610000000001</v>
      </c>
      <c r="AF504" s="11">
        <f>Cleaned_data[[#This Row],[Gross Profit]]/Cleaned_data[[#This Row],[Net Sales]]</f>
        <v>0.49980974906526948</v>
      </c>
      <c r="AG504">
        <f>Cleaned_data[[#This Row],[Ship_Date]]-Cleaned_data[[#This Row],[Order_Date]]</f>
        <v>10</v>
      </c>
      <c r="AH504" t="str">
        <f>IF(Cleaned_data[[#This Row],[Delivery Days]]&gt;10,"late","on time")</f>
        <v>on time</v>
      </c>
      <c r="AI504" t="str">
        <f>TEXT(Cleaned_data[[#This Row],[Order_Date]],"mmmm")</f>
        <v>June</v>
      </c>
      <c r="AJ504" s="9" t="str">
        <f>"Q"&amp;ROUNDUP(MONTH(Cleaned_data[[#This Row],[Order_Date]])/3,0)</f>
        <v>Q2</v>
      </c>
    </row>
    <row r="505" spans="1:36">
      <c r="A505" t="s">
        <v>994</v>
      </c>
      <c r="B505" s="9">
        <v>45813</v>
      </c>
      <c r="C505" s="9">
        <v>45815</v>
      </c>
      <c r="D505" t="s">
        <v>451</v>
      </c>
      <c r="E505" t="s">
        <v>452</v>
      </c>
      <c r="F505" t="s">
        <v>89</v>
      </c>
      <c r="G505" t="s">
        <v>126</v>
      </c>
      <c r="H505" t="s">
        <v>160</v>
      </c>
      <c r="I505" t="s">
        <v>161</v>
      </c>
      <c r="J505" t="s">
        <v>219</v>
      </c>
      <c r="K505" t="s">
        <v>90</v>
      </c>
      <c r="L505" t="s">
        <v>214</v>
      </c>
      <c r="M505" t="s">
        <v>215</v>
      </c>
      <c r="N505" t="s">
        <v>103</v>
      </c>
      <c r="O505" t="s">
        <v>171</v>
      </c>
      <c r="P505" s="8">
        <v>6</v>
      </c>
      <c r="Q505" s="10">
        <v>12.01</v>
      </c>
      <c r="R505" s="11">
        <v>0.11</v>
      </c>
      <c r="S505" s="10">
        <v>16.84</v>
      </c>
      <c r="T505" t="s">
        <v>134</v>
      </c>
      <c r="U505" t="s">
        <v>85</v>
      </c>
      <c r="V505" s="8">
        <v>3</v>
      </c>
      <c r="W505" t="s">
        <v>1270</v>
      </c>
      <c r="X505" t="str">
        <f>_xlfn.XLOOKUP(Cleaned_data[[#This Row],[Customer_ID]],Customers[S],Customers[Loyalty_Tier])</f>
        <v>Silver</v>
      </c>
      <c r="Y505" s="9">
        <f>_xlfn.XLOOKUP(Cleaned_data[[#This Row],[Customer_ID]],Customers[S],Customers[Signup_Date])</f>
        <v>45495</v>
      </c>
      <c r="Z505" s="12">
        <f>_xlfn.XLOOKUP(Cleaned_data[[#This Row],[SKU]],Products[SKU],Products[Standard_Cost])</f>
        <v>5</v>
      </c>
      <c r="AA505" s="10">
        <f>Cleaned_data[[#This Row],[Quantity]]*Cleaned_data[[#This Row],[Unit_Price]]</f>
        <v>72.06</v>
      </c>
      <c r="AB505" s="10">
        <f>Cleaned_data[[#This Row],[Unit_Price]]*Cleaned_data[[#This Row],[Discount_Pct]]</f>
        <v>1.3210999999999999</v>
      </c>
      <c r="AC505" s="10">
        <f>Cleaned_data[[#This Row],[Gross Sales]]-Cleaned_data[[#This Row],[Discount amount]]</f>
        <v>70.738900000000001</v>
      </c>
      <c r="AD505" s="10">
        <f>Cleaned_data[[#This Row],[Product Cost]]*Cleaned_data[[#This Row],[Quantity]]</f>
        <v>30</v>
      </c>
      <c r="AE505" s="10">
        <f>Cleaned_data[[#This Row],[Net Sales]]-Cleaned_data[[#This Row],[COGS]]</f>
        <v>40.738900000000001</v>
      </c>
      <c r="AF505" s="11">
        <f>Cleaned_data[[#This Row],[Gross Profit]]/Cleaned_data[[#This Row],[Net Sales]]</f>
        <v>0.57590519501999604</v>
      </c>
      <c r="AG505">
        <f>Cleaned_data[[#This Row],[Ship_Date]]-Cleaned_data[[#This Row],[Order_Date]]</f>
        <v>2</v>
      </c>
      <c r="AH505" t="str">
        <f>IF(Cleaned_data[[#This Row],[Delivery Days]]&gt;10,"late","on time")</f>
        <v>on time</v>
      </c>
      <c r="AI505" t="str">
        <f>TEXT(Cleaned_data[[#This Row],[Order_Date]],"mmmm")</f>
        <v>June</v>
      </c>
      <c r="AJ505" s="9" t="str">
        <f>"Q"&amp;ROUNDUP(MONTH(Cleaned_data[[#This Row],[Order_Date]])/3,0)</f>
        <v>Q2</v>
      </c>
    </row>
    <row r="506" spans="1:36">
      <c r="A506" t="s">
        <v>995</v>
      </c>
      <c r="B506" s="9">
        <v>45813</v>
      </c>
      <c r="C506" s="9">
        <v>45819</v>
      </c>
      <c r="D506" t="s">
        <v>478</v>
      </c>
      <c r="E506" t="s">
        <v>479</v>
      </c>
      <c r="F506" t="s">
        <v>74</v>
      </c>
      <c r="G506" t="s">
        <v>194</v>
      </c>
      <c r="H506" t="s">
        <v>240</v>
      </c>
      <c r="I506" t="s">
        <v>241</v>
      </c>
      <c r="J506" t="s">
        <v>109</v>
      </c>
      <c r="K506" t="s">
        <v>168</v>
      </c>
      <c r="L506" t="s">
        <v>207</v>
      </c>
      <c r="M506" t="s">
        <v>208</v>
      </c>
      <c r="N506" t="s">
        <v>120</v>
      </c>
      <c r="O506" t="s">
        <v>164</v>
      </c>
      <c r="P506" s="8">
        <v>4</v>
      </c>
      <c r="Q506" s="10">
        <v>1355.58</v>
      </c>
      <c r="R506" s="11">
        <v>0.11</v>
      </c>
      <c r="S506" s="10">
        <v>14.09</v>
      </c>
      <c r="T506" t="s">
        <v>105</v>
      </c>
      <c r="U506" t="s">
        <v>85</v>
      </c>
      <c r="V506" s="8">
        <v>2</v>
      </c>
      <c r="W506" t="s">
        <v>1270</v>
      </c>
      <c r="X506" t="str">
        <f>_xlfn.XLOOKUP(Cleaned_data[[#This Row],[Customer_ID]],Customers[S],Customers[Loyalty_Tier])</f>
        <v>Gold</v>
      </c>
      <c r="Y506" s="9">
        <f>_xlfn.XLOOKUP(Cleaned_data[[#This Row],[Customer_ID]],Customers[S],Customers[Signup_Date])</f>
        <v>45756</v>
      </c>
      <c r="Z506" s="12">
        <f>_xlfn.XLOOKUP(Cleaned_data[[#This Row],[SKU]],Products[SKU],Products[Standard_Cost])</f>
        <v>885</v>
      </c>
      <c r="AA506" s="10">
        <f>Cleaned_data[[#This Row],[Quantity]]*Cleaned_data[[#This Row],[Unit_Price]]</f>
        <v>5422.32</v>
      </c>
      <c r="AB506" s="10">
        <f>Cleaned_data[[#This Row],[Unit_Price]]*Cleaned_data[[#This Row],[Discount_Pct]]</f>
        <v>149.1138</v>
      </c>
      <c r="AC506" s="10">
        <f>Cleaned_data[[#This Row],[Gross Sales]]-Cleaned_data[[#This Row],[Discount amount]]</f>
        <v>5273.2061999999996</v>
      </c>
      <c r="AD506" s="10">
        <f>Cleaned_data[[#This Row],[Product Cost]]*Cleaned_data[[#This Row],[Quantity]]</f>
        <v>3540</v>
      </c>
      <c r="AE506" s="10">
        <f>Cleaned_data[[#This Row],[Net Sales]]-Cleaned_data[[#This Row],[COGS]]</f>
        <v>1733.2061999999996</v>
      </c>
      <c r="AF506" s="11">
        <f>Cleaned_data[[#This Row],[Gross Profit]]/Cleaned_data[[#This Row],[Net Sales]]</f>
        <v>0.32868166619389921</v>
      </c>
      <c r="AG506">
        <f>Cleaned_data[[#This Row],[Ship_Date]]-Cleaned_data[[#This Row],[Order_Date]]</f>
        <v>6</v>
      </c>
      <c r="AH506" t="str">
        <f>IF(Cleaned_data[[#This Row],[Delivery Days]]&gt;10,"late","on time")</f>
        <v>on time</v>
      </c>
      <c r="AI506" t="str">
        <f>TEXT(Cleaned_data[[#This Row],[Order_Date]],"mmmm")</f>
        <v>June</v>
      </c>
      <c r="AJ506" s="9" t="str">
        <f>"Q"&amp;ROUNDUP(MONTH(Cleaned_data[[#This Row],[Order_Date]])/3,0)</f>
        <v>Q2</v>
      </c>
    </row>
    <row r="507" spans="1:36">
      <c r="A507" t="s">
        <v>996</v>
      </c>
      <c r="B507" s="9">
        <v>45815</v>
      </c>
      <c r="C507" s="9">
        <v>45821</v>
      </c>
      <c r="D507" t="s">
        <v>392</v>
      </c>
      <c r="E507" t="s">
        <v>393</v>
      </c>
      <c r="F507" t="s">
        <v>74</v>
      </c>
      <c r="G507" t="s">
        <v>126</v>
      </c>
      <c r="H507" t="s">
        <v>160</v>
      </c>
      <c r="I507" t="s">
        <v>161</v>
      </c>
      <c r="J507" t="s">
        <v>129</v>
      </c>
      <c r="K507" t="s">
        <v>100</v>
      </c>
      <c r="L507" t="s">
        <v>169</v>
      </c>
      <c r="M507" t="s">
        <v>170</v>
      </c>
      <c r="N507" t="s">
        <v>103</v>
      </c>
      <c r="O507" t="s">
        <v>171</v>
      </c>
      <c r="P507" s="8">
        <v>9</v>
      </c>
      <c r="Q507" s="10">
        <v>14.28</v>
      </c>
      <c r="R507" s="11">
        <v>0.25</v>
      </c>
      <c r="S507" s="10">
        <v>13.93</v>
      </c>
      <c r="T507" t="s">
        <v>134</v>
      </c>
      <c r="U507" t="s">
        <v>85</v>
      </c>
      <c r="V507" s="8">
        <v>4</v>
      </c>
      <c r="W507" t="s">
        <v>1270</v>
      </c>
      <c r="X507" t="str">
        <f>_xlfn.XLOOKUP(Cleaned_data[[#This Row],[Customer_ID]],Customers[S],Customers[Loyalty_Tier])</f>
        <v>Gold</v>
      </c>
      <c r="Y507" s="9">
        <f>_xlfn.XLOOKUP(Cleaned_data[[#This Row],[Customer_ID]],Customers[S],Customers[Signup_Date])</f>
        <v>44236</v>
      </c>
      <c r="Z507" s="12">
        <f>_xlfn.XLOOKUP(Cleaned_data[[#This Row],[SKU]],Products[SKU],Products[Standard_Cost])</f>
        <v>6</v>
      </c>
      <c r="AA507" s="10">
        <f>Cleaned_data[[#This Row],[Quantity]]*Cleaned_data[[#This Row],[Unit_Price]]</f>
        <v>128.51999999999998</v>
      </c>
      <c r="AB507" s="10">
        <f>Cleaned_data[[#This Row],[Unit_Price]]*Cleaned_data[[#This Row],[Discount_Pct]]</f>
        <v>3.57</v>
      </c>
      <c r="AC507" s="10">
        <f>Cleaned_data[[#This Row],[Gross Sales]]-Cleaned_data[[#This Row],[Discount amount]]</f>
        <v>124.94999999999999</v>
      </c>
      <c r="AD507" s="10">
        <f>Cleaned_data[[#This Row],[Product Cost]]*Cleaned_data[[#This Row],[Quantity]]</f>
        <v>54</v>
      </c>
      <c r="AE507" s="10">
        <f>Cleaned_data[[#This Row],[Net Sales]]-Cleaned_data[[#This Row],[COGS]]</f>
        <v>70.949999999999989</v>
      </c>
      <c r="AF507" s="11">
        <f>Cleaned_data[[#This Row],[Gross Profit]]/Cleaned_data[[#This Row],[Net Sales]]</f>
        <v>0.56782713085234093</v>
      </c>
      <c r="AG507">
        <f>Cleaned_data[[#This Row],[Ship_Date]]-Cleaned_data[[#This Row],[Order_Date]]</f>
        <v>6</v>
      </c>
      <c r="AH507" t="str">
        <f>IF(Cleaned_data[[#This Row],[Delivery Days]]&gt;10,"late","on time")</f>
        <v>on time</v>
      </c>
      <c r="AI507" t="str">
        <f>TEXT(Cleaned_data[[#This Row],[Order_Date]],"mmmm")</f>
        <v>June</v>
      </c>
      <c r="AJ507" s="9" t="str">
        <f>"Q"&amp;ROUNDUP(MONTH(Cleaned_data[[#This Row],[Order_Date]])/3,0)</f>
        <v>Q2</v>
      </c>
    </row>
    <row r="508" spans="1:36">
      <c r="A508" t="s">
        <v>997</v>
      </c>
      <c r="B508" s="9">
        <v>45817</v>
      </c>
      <c r="C508" s="9">
        <v>45820</v>
      </c>
      <c r="D508" t="s">
        <v>712</v>
      </c>
      <c r="E508" t="s">
        <v>515</v>
      </c>
      <c r="F508" t="s">
        <v>152</v>
      </c>
      <c r="G508" t="s">
        <v>138</v>
      </c>
      <c r="H508" t="s">
        <v>153</v>
      </c>
      <c r="I508" t="s">
        <v>154</v>
      </c>
      <c r="J508" t="s">
        <v>129</v>
      </c>
      <c r="K508" t="s">
        <v>79</v>
      </c>
      <c r="L508" t="s">
        <v>80</v>
      </c>
      <c r="M508" t="s">
        <v>81</v>
      </c>
      <c r="N508" t="s">
        <v>82</v>
      </c>
      <c r="O508" t="s">
        <v>83</v>
      </c>
      <c r="P508" s="8">
        <v>1</v>
      </c>
      <c r="Q508" s="10">
        <v>243.18</v>
      </c>
      <c r="R508" s="11">
        <v>0.08</v>
      </c>
      <c r="S508" s="10">
        <v>11.45</v>
      </c>
      <c r="T508" t="s">
        <v>122</v>
      </c>
      <c r="U508" t="s">
        <v>85</v>
      </c>
      <c r="V508" s="8">
        <v>1</v>
      </c>
      <c r="W508" t="s">
        <v>1270</v>
      </c>
      <c r="X508" t="str">
        <f>_xlfn.XLOOKUP(Cleaned_data[[#This Row],[Customer_ID]],Customers[S],Customers[Loyalty_Tier])</f>
        <v>Gold</v>
      </c>
      <c r="Y508" s="9">
        <f>_xlfn.XLOOKUP(Cleaned_data[[#This Row],[Customer_ID]],Customers[S],Customers[Signup_Date])</f>
        <v>45527</v>
      </c>
      <c r="Z508" s="12">
        <f>_xlfn.XLOOKUP(Cleaned_data[[#This Row],[SKU]],Products[SKU],Products[Standard_Cost])</f>
        <v>125</v>
      </c>
      <c r="AA508" s="10">
        <f>Cleaned_data[[#This Row],[Quantity]]*Cleaned_data[[#This Row],[Unit_Price]]</f>
        <v>243.18</v>
      </c>
      <c r="AB508" s="10">
        <f>Cleaned_data[[#This Row],[Unit_Price]]*Cleaned_data[[#This Row],[Discount_Pct]]</f>
        <v>19.4544</v>
      </c>
      <c r="AC508" s="10">
        <f>Cleaned_data[[#This Row],[Gross Sales]]-Cleaned_data[[#This Row],[Discount amount]]</f>
        <v>223.72560000000001</v>
      </c>
      <c r="AD508" s="10">
        <f>Cleaned_data[[#This Row],[Product Cost]]*Cleaned_data[[#This Row],[Quantity]]</f>
        <v>125</v>
      </c>
      <c r="AE508" s="10">
        <f>Cleaned_data[[#This Row],[Net Sales]]-Cleaned_data[[#This Row],[COGS]]</f>
        <v>98.725600000000014</v>
      </c>
      <c r="AF508" s="11">
        <f>Cleaned_data[[#This Row],[Gross Profit]]/Cleaned_data[[#This Row],[Net Sales]]</f>
        <v>0.44127985353486598</v>
      </c>
      <c r="AG508">
        <f>Cleaned_data[[#This Row],[Ship_Date]]-Cleaned_data[[#This Row],[Order_Date]]</f>
        <v>3</v>
      </c>
      <c r="AH508" t="str">
        <f>IF(Cleaned_data[[#This Row],[Delivery Days]]&gt;10,"late","on time")</f>
        <v>on time</v>
      </c>
      <c r="AI508" t="str">
        <f>TEXT(Cleaned_data[[#This Row],[Order_Date]],"mmmm")</f>
        <v>June</v>
      </c>
      <c r="AJ508" s="9" t="str">
        <f>"Q"&amp;ROUNDUP(MONTH(Cleaned_data[[#This Row],[Order_Date]])/3,0)</f>
        <v>Q2</v>
      </c>
    </row>
    <row r="509" spans="1:36">
      <c r="A509" t="s">
        <v>998</v>
      </c>
      <c r="B509" s="9">
        <v>45820</v>
      </c>
      <c r="C509" s="9">
        <v>45823</v>
      </c>
      <c r="D509" t="s">
        <v>124</v>
      </c>
      <c r="E509" t="s">
        <v>125</v>
      </c>
      <c r="F509" t="s">
        <v>74</v>
      </c>
      <c r="G509" t="s">
        <v>126</v>
      </c>
      <c r="H509" t="s">
        <v>127</v>
      </c>
      <c r="I509" t="s">
        <v>128</v>
      </c>
      <c r="J509" t="s">
        <v>78</v>
      </c>
      <c r="K509" t="s">
        <v>79</v>
      </c>
      <c r="L509" t="s">
        <v>162</v>
      </c>
      <c r="M509" t="s">
        <v>163</v>
      </c>
      <c r="N509" t="s">
        <v>120</v>
      </c>
      <c r="O509" t="s">
        <v>164</v>
      </c>
      <c r="P509" s="8">
        <v>4</v>
      </c>
      <c r="Q509" s="10">
        <v>867.54</v>
      </c>
      <c r="R509" s="11">
        <v>0.03</v>
      </c>
      <c r="S509" s="10">
        <v>15.95</v>
      </c>
      <c r="T509" t="s">
        <v>122</v>
      </c>
      <c r="U509" t="s">
        <v>85</v>
      </c>
      <c r="V509" s="8">
        <v>3</v>
      </c>
      <c r="W509" t="s">
        <v>1270</v>
      </c>
      <c r="X509" t="str">
        <f>_xlfn.XLOOKUP(Cleaned_data[[#This Row],[Customer_ID]],Customers[S],Customers[Loyalty_Tier])</f>
        <v>Silver</v>
      </c>
      <c r="Y509" s="9">
        <f>_xlfn.XLOOKUP(Cleaned_data[[#This Row],[Customer_ID]],Customers[S],Customers[Signup_Date])</f>
        <v>45033</v>
      </c>
      <c r="Z509" s="12">
        <f>_xlfn.XLOOKUP(Cleaned_data[[#This Row],[SKU]],Products[SKU],Products[Standard_Cost])</f>
        <v>585</v>
      </c>
      <c r="AA509" s="10">
        <f>Cleaned_data[[#This Row],[Quantity]]*Cleaned_data[[#This Row],[Unit_Price]]</f>
        <v>3470.16</v>
      </c>
      <c r="AB509" s="10">
        <f>Cleaned_data[[#This Row],[Unit_Price]]*Cleaned_data[[#This Row],[Discount_Pct]]</f>
        <v>26.026199999999999</v>
      </c>
      <c r="AC509" s="10">
        <f>Cleaned_data[[#This Row],[Gross Sales]]-Cleaned_data[[#This Row],[Discount amount]]</f>
        <v>3444.1338000000001</v>
      </c>
      <c r="AD509" s="10">
        <f>Cleaned_data[[#This Row],[Product Cost]]*Cleaned_data[[#This Row],[Quantity]]</f>
        <v>2340</v>
      </c>
      <c r="AE509" s="10">
        <f>Cleaned_data[[#This Row],[Net Sales]]-Cleaned_data[[#This Row],[COGS]]</f>
        <v>1104.1338000000001</v>
      </c>
      <c r="AF509" s="11">
        <f>Cleaned_data[[#This Row],[Gross Profit]]/Cleaned_data[[#This Row],[Net Sales]]</f>
        <v>0.32058388672356458</v>
      </c>
      <c r="AG509">
        <f>Cleaned_data[[#This Row],[Ship_Date]]-Cleaned_data[[#This Row],[Order_Date]]</f>
        <v>3</v>
      </c>
      <c r="AH509" t="str">
        <f>IF(Cleaned_data[[#This Row],[Delivery Days]]&gt;10,"late","on time")</f>
        <v>on time</v>
      </c>
      <c r="AI509" t="str">
        <f>TEXT(Cleaned_data[[#This Row],[Order_Date]],"mmmm")</f>
        <v>June</v>
      </c>
      <c r="AJ509" s="9" t="str">
        <f>"Q"&amp;ROUNDUP(MONTH(Cleaned_data[[#This Row],[Order_Date]])/3,0)</f>
        <v>Q2</v>
      </c>
    </row>
    <row r="510" spans="1:36">
      <c r="A510" t="s">
        <v>999</v>
      </c>
      <c r="B510" s="9">
        <v>45820</v>
      </c>
      <c r="C510" s="9">
        <v>45821</v>
      </c>
      <c r="D510" t="s">
        <v>158</v>
      </c>
      <c r="E510" t="s">
        <v>159</v>
      </c>
      <c r="F510" t="s">
        <v>89</v>
      </c>
      <c r="G510" t="s">
        <v>126</v>
      </c>
      <c r="H510" t="s">
        <v>160</v>
      </c>
      <c r="I510" t="s">
        <v>161</v>
      </c>
      <c r="J510" t="s">
        <v>78</v>
      </c>
      <c r="K510" t="s">
        <v>168</v>
      </c>
      <c r="L510" t="s">
        <v>110</v>
      </c>
      <c r="M510" t="s">
        <v>111</v>
      </c>
      <c r="N510" t="s">
        <v>82</v>
      </c>
      <c r="O510" t="s">
        <v>112</v>
      </c>
      <c r="P510" s="8">
        <v>2</v>
      </c>
      <c r="Q510" s="10">
        <v>301.66000000000003</v>
      </c>
      <c r="R510" s="11">
        <v>0.05</v>
      </c>
      <c r="S510" s="10">
        <v>16.16</v>
      </c>
      <c r="T510" t="s">
        <v>122</v>
      </c>
      <c r="U510" t="s">
        <v>85</v>
      </c>
      <c r="W510" t="s">
        <v>1270</v>
      </c>
      <c r="X510" t="str">
        <f>_xlfn.XLOOKUP(Cleaned_data[[#This Row],[Customer_ID]],Customers[S],Customers[Loyalty_Tier])</f>
        <v>Silver</v>
      </c>
      <c r="Y510" s="9">
        <f>_xlfn.XLOOKUP(Cleaned_data[[#This Row],[Customer_ID]],Customers[S],Customers[Signup_Date])</f>
        <v>44476</v>
      </c>
      <c r="Z510" s="12">
        <f>_xlfn.XLOOKUP(Cleaned_data[[#This Row],[SKU]],Products[SKU],Products[Standard_Cost])</f>
        <v>165</v>
      </c>
      <c r="AA510" s="10">
        <f>Cleaned_data[[#This Row],[Quantity]]*Cleaned_data[[#This Row],[Unit_Price]]</f>
        <v>603.32000000000005</v>
      </c>
      <c r="AB510" s="10">
        <f>Cleaned_data[[#This Row],[Unit_Price]]*Cleaned_data[[#This Row],[Discount_Pct]]</f>
        <v>15.083000000000002</v>
      </c>
      <c r="AC510" s="10">
        <f>Cleaned_data[[#This Row],[Gross Sales]]-Cleaned_data[[#This Row],[Discount amount]]</f>
        <v>588.23700000000008</v>
      </c>
      <c r="AD510" s="10">
        <f>Cleaned_data[[#This Row],[Product Cost]]*Cleaned_data[[#This Row],[Quantity]]</f>
        <v>330</v>
      </c>
      <c r="AE510" s="10">
        <f>Cleaned_data[[#This Row],[Net Sales]]-Cleaned_data[[#This Row],[COGS]]</f>
        <v>258.23700000000008</v>
      </c>
      <c r="AF510" s="11">
        <f>Cleaned_data[[#This Row],[Gross Profit]]/Cleaned_data[[#This Row],[Net Sales]]</f>
        <v>0.4390016268952821</v>
      </c>
      <c r="AG510">
        <f>Cleaned_data[[#This Row],[Ship_Date]]-Cleaned_data[[#This Row],[Order_Date]]</f>
        <v>1</v>
      </c>
      <c r="AH510" t="str">
        <f>IF(Cleaned_data[[#This Row],[Delivery Days]]&gt;10,"late","on time")</f>
        <v>on time</v>
      </c>
      <c r="AI510" t="str">
        <f>TEXT(Cleaned_data[[#This Row],[Order_Date]],"mmmm")</f>
        <v>June</v>
      </c>
      <c r="AJ510" s="9" t="str">
        <f>"Q"&amp;ROUNDUP(MONTH(Cleaned_data[[#This Row],[Order_Date]])/3,0)</f>
        <v>Q2</v>
      </c>
    </row>
    <row r="511" spans="1:36">
      <c r="A511" t="s">
        <v>1000</v>
      </c>
      <c r="B511" s="9">
        <v>45821</v>
      </c>
      <c r="C511" s="9">
        <v>45822</v>
      </c>
      <c r="D511" t="s">
        <v>728</v>
      </c>
      <c r="E511" t="s">
        <v>333</v>
      </c>
      <c r="F511" t="s">
        <v>89</v>
      </c>
      <c r="G511" t="s">
        <v>194</v>
      </c>
      <c r="H511" t="s">
        <v>195</v>
      </c>
      <c r="I511" t="s">
        <v>196</v>
      </c>
      <c r="J511" t="s">
        <v>129</v>
      </c>
      <c r="K511" t="s">
        <v>147</v>
      </c>
      <c r="L511" t="s">
        <v>80</v>
      </c>
      <c r="M511" t="s">
        <v>81</v>
      </c>
      <c r="N511" t="s">
        <v>82</v>
      </c>
      <c r="O511" t="s">
        <v>83</v>
      </c>
      <c r="P511" s="8">
        <v>10</v>
      </c>
      <c r="Q511" s="10">
        <v>239.37</v>
      </c>
      <c r="R511" s="11">
        <v>0.04</v>
      </c>
      <c r="S511" s="10">
        <v>11.34</v>
      </c>
      <c r="T511" t="s">
        <v>134</v>
      </c>
      <c r="U511" t="s">
        <v>85</v>
      </c>
      <c r="V511" s="8">
        <v>4</v>
      </c>
      <c r="W511" t="s">
        <v>1270</v>
      </c>
      <c r="X511" t="str">
        <f>_xlfn.XLOOKUP(Cleaned_data[[#This Row],[Customer_ID]],Customers[S],Customers[Loyalty_Tier])</f>
        <v>Platinum</v>
      </c>
      <c r="Y511" s="9">
        <f>_xlfn.XLOOKUP(Cleaned_data[[#This Row],[Customer_ID]],Customers[S],Customers[Signup_Date])</f>
        <v>45616</v>
      </c>
      <c r="Z511" s="12">
        <f>_xlfn.XLOOKUP(Cleaned_data[[#This Row],[SKU]],Products[SKU],Products[Standard_Cost])</f>
        <v>125</v>
      </c>
      <c r="AA511" s="10">
        <f>Cleaned_data[[#This Row],[Quantity]]*Cleaned_data[[#This Row],[Unit_Price]]</f>
        <v>2393.6999999999998</v>
      </c>
      <c r="AB511" s="10">
        <f>Cleaned_data[[#This Row],[Unit_Price]]*Cleaned_data[[#This Row],[Discount_Pct]]</f>
        <v>9.5747999999999998</v>
      </c>
      <c r="AC511" s="10">
        <f>Cleaned_data[[#This Row],[Gross Sales]]-Cleaned_data[[#This Row],[Discount amount]]</f>
        <v>2384.1251999999999</v>
      </c>
      <c r="AD511" s="10">
        <f>Cleaned_data[[#This Row],[Product Cost]]*Cleaned_data[[#This Row],[Quantity]]</f>
        <v>1250</v>
      </c>
      <c r="AE511" s="10">
        <f>Cleaned_data[[#This Row],[Net Sales]]-Cleaned_data[[#This Row],[COGS]]</f>
        <v>1134.1251999999999</v>
      </c>
      <c r="AF511" s="11">
        <f>Cleaned_data[[#This Row],[Gross Profit]]/Cleaned_data[[#This Row],[Net Sales]]</f>
        <v>0.47569867555613271</v>
      </c>
      <c r="AG511">
        <f>Cleaned_data[[#This Row],[Ship_Date]]-Cleaned_data[[#This Row],[Order_Date]]</f>
        <v>1</v>
      </c>
      <c r="AH511" t="str">
        <f>IF(Cleaned_data[[#This Row],[Delivery Days]]&gt;10,"late","on time")</f>
        <v>on time</v>
      </c>
      <c r="AI511" t="str">
        <f>TEXT(Cleaned_data[[#This Row],[Order_Date]],"mmmm")</f>
        <v>June</v>
      </c>
      <c r="AJ511" s="9" t="str">
        <f>"Q"&amp;ROUNDUP(MONTH(Cleaned_data[[#This Row],[Order_Date]])/3,0)</f>
        <v>Q2</v>
      </c>
    </row>
    <row r="512" spans="1:36">
      <c r="A512" t="s">
        <v>1001</v>
      </c>
      <c r="B512" s="9">
        <v>45821</v>
      </c>
      <c r="C512" s="9">
        <v>45829</v>
      </c>
      <c r="D512" t="s">
        <v>406</v>
      </c>
      <c r="E512" t="s">
        <v>407</v>
      </c>
      <c r="F512" t="s">
        <v>89</v>
      </c>
      <c r="G512" t="s">
        <v>75</v>
      </c>
      <c r="H512" t="s">
        <v>116</v>
      </c>
      <c r="I512" t="s">
        <v>117</v>
      </c>
      <c r="J512" t="s">
        <v>219</v>
      </c>
      <c r="K512" t="s">
        <v>100</v>
      </c>
      <c r="L512" t="s">
        <v>207</v>
      </c>
      <c r="M512" t="s">
        <v>208</v>
      </c>
      <c r="N512" t="s">
        <v>120</v>
      </c>
      <c r="O512" t="s">
        <v>164</v>
      </c>
      <c r="P512" s="8">
        <v>3</v>
      </c>
      <c r="Q512" s="10">
        <v>1409.7</v>
      </c>
      <c r="R512" s="11">
        <v>0.03</v>
      </c>
      <c r="S512" s="10">
        <v>17.920000000000002</v>
      </c>
      <c r="T512" t="s">
        <v>134</v>
      </c>
      <c r="U512" t="s">
        <v>85</v>
      </c>
      <c r="W512" t="s">
        <v>1270</v>
      </c>
      <c r="X512" t="str">
        <f>_xlfn.XLOOKUP(Cleaned_data[[#This Row],[Customer_ID]],Customers[S],Customers[Loyalty_Tier])</f>
        <v>Bronze</v>
      </c>
      <c r="Y512" s="9">
        <f>_xlfn.XLOOKUP(Cleaned_data[[#This Row],[Customer_ID]],Customers[S],Customers[Signup_Date])</f>
        <v>45879</v>
      </c>
      <c r="Z512" s="12">
        <f>_xlfn.XLOOKUP(Cleaned_data[[#This Row],[SKU]],Products[SKU],Products[Standard_Cost])</f>
        <v>885</v>
      </c>
      <c r="AA512" s="10">
        <f>Cleaned_data[[#This Row],[Quantity]]*Cleaned_data[[#This Row],[Unit_Price]]</f>
        <v>4229.1000000000004</v>
      </c>
      <c r="AB512" s="10">
        <f>Cleaned_data[[#This Row],[Unit_Price]]*Cleaned_data[[#This Row],[Discount_Pct]]</f>
        <v>42.290999999999997</v>
      </c>
      <c r="AC512" s="10">
        <f>Cleaned_data[[#This Row],[Gross Sales]]-Cleaned_data[[#This Row],[Discount amount]]</f>
        <v>4186.8090000000002</v>
      </c>
      <c r="AD512" s="10">
        <f>Cleaned_data[[#This Row],[Product Cost]]*Cleaned_data[[#This Row],[Quantity]]</f>
        <v>2655</v>
      </c>
      <c r="AE512" s="10">
        <f>Cleaned_data[[#This Row],[Net Sales]]-Cleaned_data[[#This Row],[COGS]]</f>
        <v>1531.8090000000002</v>
      </c>
      <c r="AF512" s="11">
        <f>Cleaned_data[[#This Row],[Gross Profit]]/Cleaned_data[[#This Row],[Net Sales]]</f>
        <v>0.36586550759779107</v>
      </c>
      <c r="AG512">
        <f>Cleaned_data[[#This Row],[Ship_Date]]-Cleaned_data[[#This Row],[Order_Date]]</f>
        <v>8</v>
      </c>
      <c r="AH512" t="str">
        <f>IF(Cleaned_data[[#This Row],[Delivery Days]]&gt;10,"late","on time")</f>
        <v>on time</v>
      </c>
      <c r="AI512" t="str">
        <f>TEXT(Cleaned_data[[#This Row],[Order_Date]],"mmmm")</f>
        <v>June</v>
      </c>
      <c r="AJ512" s="9" t="str">
        <f>"Q"&amp;ROUNDUP(MONTH(Cleaned_data[[#This Row],[Order_Date]])/3,0)</f>
        <v>Q2</v>
      </c>
    </row>
    <row r="513" spans="1:36">
      <c r="A513" t="s">
        <v>1002</v>
      </c>
      <c r="B513" s="9">
        <v>45821</v>
      </c>
      <c r="C513" s="9">
        <v>45826</v>
      </c>
      <c r="D513" t="s">
        <v>332</v>
      </c>
      <c r="E513" t="s">
        <v>333</v>
      </c>
      <c r="F513" t="s">
        <v>74</v>
      </c>
      <c r="G513" t="s">
        <v>126</v>
      </c>
      <c r="H513" t="s">
        <v>127</v>
      </c>
      <c r="I513" t="s">
        <v>128</v>
      </c>
      <c r="J513" t="s">
        <v>78</v>
      </c>
      <c r="K513" t="s">
        <v>90</v>
      </c>
      <c r="L513" t="s">
        <v>301</v>
      </c>
      <c r="M513" t="s">
        <v>302</v>
      </c>
      <c r="N513" t="s">
        <v>120</v>
      </c>
      <c r="O513" t="s">
        <v>190</v>
      </c>
      <c r="P513" s="8">
        <v>1</v>
      </c>
      <c r="Q513" s="10">
        <v>137.78</v>
      </c>
      <c r="R513" s="11">
        <v>0.06</v>
      </c>
      <c r="S513" s="10">
        <v>19.46</v>
      </c>
      <c r="T513" t="s">
        <v>134</v>
      </c>
      <c r="U513" t="s">
        <v>85</v>
      </c>
      <c r="W513" t="s">
        <v>1270</v>
      </c>
      <c r="X513" t="str">
        <f>_xlfn.XLOOKUP(Cleaned_data[[#This Row],[Customer_ID]],Customers[S],Customers[Loyalty_Tier])</f>
        <v>Silver</v>
      </c>
      <c r="Y513" s="9">
        <f>_xlfn.XLOOKUP(Cleaned_data[[#This Row],[Customer_ID]],Customers[S],Customers[Signup_Date])</f>
        <v>45373</v>
      </c>
      <c r="Z513" s="12">
        <f>_xlfn.XLOOKUP(Cleaned_data[[#This Row],[SKU]],Products[SKU],Products[Standard_Cost])</f>
        <v>72</v>
      </c>
      <c r="AA513" s="10">
        <f>Cleaned_data[[#This Row],[Quantity]]*Cleaned_data[[#This Row],[Unit_Price]]</f>
        <v>137.78</v>
      </c>
      <c r="AB513" s="10">
        <f>Cleaned_data[[#This Row],[Unit_Price]]*Cleaned_data[[#This Row],[Discount_Pct]]</f>
        <v>8.2667999999999999</v>
      </c>
      <c r="AC513" s="10">
        <f>Cleaned_data[[#This Row],[Gross Sales]]-Cleaned_data[[#This Row],[Discount amount]]</f>
        <v>129.51320000000001</v>
      </c>
      <c r="AD513" s="10">
        <f>Cleaned_data[[#This Row],[Product Cost]]*Cleaned_data[[#This Row],[Quantity]]</f>
        <v>72</v>
      </c>
      <c r="AE513" s="10">
        <f>Cleaned_data[[#This Row],[Net Sales]]-Cleaned_data[[#This Row],[COGS]]</f>
        <v>57.513200000000012</v>
      </c>
      <c r="AF513" s="11">
        <f>Cleaned_data[[#This Row],[Gross Profit]]/Cleaned_data[[#This Row],[Net Sales]]</f>
        <v>0.44407211002430647</v>
      </c>
      <c r="AG513">
        <f>Cleaned_data[[#This Row],[Ship_Date]]-Cleaned_data[[#This Row],[Order_Date]]</f>
        <v>5</v>
      </c>
      <c r="AH513" t="str">
        <f>IF(Cleaned_data[[#This Row],[Delivery Days]]&gt;10,"late","on time")</f>
        <v>on time</v>
      </c>
      <c r="AI513" t="str">
        <f>TEXT(Cleaned_data[[#This Row],[Order_Date]],"mmmm")</f>
        <v>June</v>
      </c>
      <c r="AJ513" s="9" t="str">
        <f>"Q"&amp;ROUNDUP(MONTH(Cleaned_data[[#This Row],[Order_Date]])/3,0)</f>
        <v>Q2</v>
      </c>
    </row>
    <row r="514" spans="1:36">
      <c r="A514" t="s">
        <v>1003</v>
      </c>
      <c r="B514" s="9">
        <v>45822</v>
      </c>
      <c r="C514" s="9">
        <v>45824</v>
      </c>
      <c r="D514" t="s">
        <v>136</v>
      </c>
      <c r="E514" t="s">
        <v>137</v>
      </c>
      <c r="F514" t="s">
        <v>74</v>
      </c>
      <c r="G514" t="s">
        <v>138</v>
      </c>
      <c r="H514" t="s">
        <v>139</v>
      </c>
      <c r="I514" t="s">
        <v>140</v>
      </c>
      <c r="J514" t="s">
        <v>129</v>
      </c>
      <c r="K514" t="s">
        <v>130</v>
      </c>
      <c r="L514" t="s">
        <v>214</v>
      </c>
      <c r="M514" t="s">
        <v>215</v>
      </c>
      <c r="N514" t="s">
        <v>103</v>
      </c>
      <c r="O514" t="s">
        <v>171</v>
      </c>
      <c r="P514" s="8">
        <v>10</v>
      </c>
      <c r="Q514" s="10">
        <v>12.14</v>
      </c>
      <c r="R514" s="11">
        <v>7.0000000000000007E-2</v>
      </c>
      <c r="S514" s="10">
        <v>16.21</v>
      </c>
      <c r="T514" t="s">
        <v>122</v>
      </c>
      <c r="U514" t="s">
        <v>85</v>
      </c>
      <c r="V514" s="8">
        <v>2</v>
      </c>
      <c r="W514" t="s">
        <v>1270</v>
      </c>
      <c r="X514" t="str">
        <f>_xlfn.XLOOKUP(Cleaned_data[[#This Row],[Customer_ID]],Customers[S],Customers[Loyalty_Tier])</f>
        <v>Silver</v>
      </c>
      <c r="Y514" s="9">
        <f>_xlfn.XLOOKUP(Cleaned_data[[#This Row],[Customer_ID]],Customers[S],Customers[Signup_Date])</f>
        <v>45236</v>
      </c>
      <c r="Z514" s="12">
        <f>_xlfn.XLOOKUP(Cleaned_data[[#This Row],[SKU]],Products[SKU],Products[Standard_Cost])</f>
        <v>5</v>
      </c>
      <c r="AA514" s="10">
        <f>Cleaned_data[[#This Row],[Quantity]]*Cleaned_data[[#This Row],[Unit_Price]]</f>
        <v>121.4</v>
      </c>
      <c r="AB514" s="10">
        <f>Cleaned_data[[#This Row],[Unit_Price]]*Cleaned_data[[#This Row],[Discount_Pct]]</f>
        <v>0.84980000000000011</v>
      </c>
      <c r="AC514" s="10">
        <f>Cleaned_data[[#This Row],[Gross Sales]]-Cleaned_data[[#This Row],[Discount amount]]</f>
        <v>120.5502</v>
      </c>
      <c r="AD514" s="10">
        <f>Cleaned_data[[#This Row],[Product Cost]]*Cleaned_data[[#This Row],[Quantity]]</f>
        <v>50</v>
      </c>
      <c r="AE514" s="10">
        <f>Cleaned_data[[#This Row],[Net Sales]]-Cleaned_data[[#This Row],[COGS]]</f>
        <v>70.550200000000004</v>
      </c>
      <c r="AF514" s="11">
        <f>Cleaned_data[[#This Row],[Gross Profit]]/Cleaned_data[[#This Row],[Net Sales]]</f>
        <v>0.58523503071749361</v>
      </c>
      <c r="AG514">
        <f>Cleaned_data[[#This Row],[Ship_Date]]-Cleaned_data[[#This Row],[Order_Date]]</f>
        <v>2</v>
      </c>
      <c r="AH514" t="str">
        <f>IF(Cleaned_data[[#This Row],[Delivery Days]]&gt;10,"late","on time")</f>
        <v>on time</v>
      </c>
      <c r="AI514" t="str">
        <f>TEXT(Cleaned_data[[#This Row],[Order_Date]],"mmmm")</f>
        <v>June</v>
      </c>
      <c r="AJ514" s="9" t="str">
        <f>"Q"&amp;ROUNDUP(MONTH(Cleaned_data[[#This Row],[Order_Date]])/3,0)</f>
        <v>Q2</v>
      </c>
    </row>
    <row r="515" spans="1:36">
      <c r="A515" t="s">
        <v>1004</v>
      </c>
      <c r="B515" s="9">
        <v>45825</v>
      </c>
      <c r="C515" s="9">
        <v>45830</v>
      </c>
      <c r="D515" t="s">
        <v>345</v>
      </c>
      <c r="E515" t="s">
        <v>346</v>
      </c>
      <c r="F515" t="s">
        <v>89</v>
      </c>
      <c r="G515" t="s">
        <v>138</v>
      </c>
      <c r="H515" t="s">
        <v>347</v>
      </c>
      <c r="I515" t="s">
        <v>348</v>
      </c>
      <c r="J515" t="s">
        <v>78</v>
      </c>
      <c r="K515" t="s">
        <v>100</v>
      </c>
      <c r="L515" t="s">
        <v>214</v>
      </c>
      <c r="M515" t="s">
        <v>215</v>
      </c>
      <c r="N515" t="s">
        <v>103</v>
      </c>
      <c r="O515" t="s">
        <v>171</v>
      </c>
      <c r="P515" s="8">
        <v>5</v>
      </c>
      <c r="Q515" s="10">
        <v>11.71</v>
      </c>
      <c r="R515" s="11">
        <v>0.04</v>
      </c>
      <c r="S515" s="10">
        <v>15.79</v>
      </c>
      <c r="T515" t="s">
        <v>84</v>
      </c>
      <c r="U515" t="s">
        <v>85</v>
      </c>
      <c r="V515" s="8">
        <v>3</v>
      </c>
      <c r="W515" t="s">
        <v>1270</v>
      </c>
      <c r="X515" t="str">
        <f>_xlfn.XLOOKUP(Cleaned_data[[#This Row],[Customer_ID]],Customers[S],Customers[Loyalty_Tier])</f>
        <v>Gold</v>
      </c>
      <c r="Y515" s="9">
        <f>_xlfn.XLOOKUP(Cleaned_data[[#This Row],[Customer_ID]],Customers[S],Customers[Signup_Date])</f>
        <v>45997</v>
      </c>
      <c r="Z515" s="12">
        <f>_xlfn.XLOOKUP(Cleaned_data[[#This Row],[SKU]],Products[SKU],Products[Standard_Cost])</f>
        <v>5</v>
      </c>
      <c r="AA515" s="10">
        <f>Cleaned_data[[#This Row],[Quantity]]*Cleaned_data[[#This Row],[Unit_Price]]</f>
        <v>58.550000000000004</v>
      </c>
      <c r="AB515" s="10">
        <f>Cleaned_data[[#This Row],[Unit_Price]]*Cleaned_data[[#This Row],[Discount_Pct]]</f>
        <v>0.46840000000000004</v>
      </c>
      <c r="AC515" s="10">
        <f>Cleaned_data[[#This Row],[Gross Sales]]-Cleaned_data[[#This Row],[Discount amount]]</f>
        <v>58.081600000000002</v>
      </c>
      <c r="AD515" s="10">
        <f>Cleaned_data[[#This Row],[Product Cost]]*Cleaned_data[[#This Row],[Quantity]]</f>
        <v>25</v>
      </c>
      <c r="AE515" s="10">
        <f>Cleaned_data[[#This Row],[Net Sales]]-Cleaned_data[[#This Row],[COGS]]</f>
        <v>33.081600000000002</v>
      </c>
      <c r="AF515" s="11">
        <f>Cleaned_data[[#This Row],[Gross Profit]]/Cleaned_data[[#This Row],[Net Sales]]</f>
        <v>0.56957108619597252</v>
      </c>
      <c r="AG515">
        <f>Cleaned_data[[#This Row],[Ship_Date]]-Cleaned_data[[#This Row],[Order_Date]]</f>
        <v>5</v>
      </c>
      <c r="AH515" t="str">
        <f>IF(Cleaned_data[[#This Row],[Delivery Days]]&gt;10,"late","on time")</f>
        <v>on time</v>
      </c>
      <c r="AI515" t="str">
        <f>TEXT(Cleaned_data[[#This Row],[Order_Date]],"mmmm")</f>
        <v>June</v>
      </c>
      <c r="AJ515" s="9" t="str">
        <f>"Q"&amp;ROUNDUP(MONTH(Cleaned_data[[#This Row],[Order_Date]])/3,0)</f>
        <v>Q2</v>
      </c>
    </row>
    <row r="516" spans="1:36">
      <c r="A516" t="s">
        <v>1005</v>
      </c>
      <c r="B516" s="9">
        <v>45826</v>
      </c>
      <c r="C516" s="9">
        <v>45843</v>
      </c>
      <c r="D516" t="s">
        <v>427</v>
      </c>
      <c r="E516" t="s">
        <v>428</v>
      </c>
      <c r="F516" t="s">
        <v>152</v>
      </c>
      <c r="G516" t="s">
        <v>194</v>
      </c>
      <c r="H516" t="s">
        <v>240</v>
      </c>
      <c r="I516" t="s">
        <v>241</v>
      </c>
      <c r="J516" t="s">
        <v>129</v>
      </c>
      <c r="K516" t="s">
        <v>79</v>
      </c>
      <c r="L516" t="s">
        <v>337</v>
      </c>
      <c r="M516" t="s">
        <v>338</v>
      </c>
      <c r="N516" t="s">
        <v>93</v>
      </c>
      <c r="O516" t="s">
        <v>236</v>
      </c>
      <c r="P516" s="8">
        <v>3</v>
      </c>
      <c r="Q516" s="10">
        <v>253.89</v>
      </c>
      <c r="R516" s="11">
        <v>0.04</v>
      </c>
      <c r="S516" s="10">
        <v>29.69</v>
      </c>
      <c r="T516" t="s">
        <v>122</v>
      </c>
      <c r="U516" t="s">
        <v>85</v>
      </c>
      <c r="V516" s="8">
        <v>4</v>
      </c>
      <c r="W516" t="s">
        <v>1270</v>
      </c>
      <c r="X516" t="str">
        <f>_xlfn.XLOOKUP(Cleaned_data[[#This Row],[Customer_ID]],Customers[S],Customers[Loyalty_Tier])</f>
        <v>Gold</v>
      </c>
      <c r="Y516" s="9">
        <f>_xlfn.XLOOKUP(Cleaned_data[[#This Row],[Customer_ID]],Customers[S],Customers[Signup_Date])</f>
        <v>45885</v>
      </c>
      <c r="Z516" s="12">
        <f>_xlfn.XLOOKUP(Cleaned_data[[#This Row],[SKU]],Products[SKU],Products[Standard_Cost])</f>
        <v>146</v>
      </c>
      <c r="AA516" s="10">
        <f>Cleaned_data[[#This Row],[Quantity]]*Cleaned_data[[#This Row],[Unit_Price]]</f>
        <v>761.67</v>
      </c>
      <c r="AB516" s="10">
        <f>Cleaned_data[[#This Row],[Unit_Price]]*Cleaned_data[[#This Row],[Discount_Pct]]</f>
        <v>10.1556</v>
      </c>
      <c r="AC516" s="10">
        <f>Cleaned_data[[#This Row],[Gross Sales]]-Cleaned_data[[#This Row],[Discount amount]]</f>
        <v>751.51439999999991</v>
      </c>
      <c r="AD516" s="10">
        <f>Cleaned_data[[#This Row],[Product Cost]]*Cleaned_data[[#This Row],[Quantity]]</f>
        <v>438</v>
      </c>
      <c r="AE516" s="10">
        <f>Cleaned_data[[#This Row],[Net Sales]]-Cleaned_data[[#This Row],[COGS]]</f>
        <v>313.51439999999991</v>
      </c>
      <c r="AF516" s="11">
        <f>Cleaned_data[[#This Row],[Gross Profit]]/Cleaned_data[[#This Row],[Net Sales]]</f>
        <v>0.41717683653167514</v>
      </c>
      <c r="AG516">
        <f>Cleaned_data[[#This Row],[Ship_Date]]-Cleaned_data[[#This Row],[Order_Date]]</f>
        <v>17</v>
      </c>
      <c r="AH516" t="str">
        <f>IF(Cleaned_data[[#This Row],[Delivery Days]]&gt;10,"late","on time")</f>
        <v>late</v>
      </c>
      <c r="AI516" t="str">
        <f>TEXT(Cleaned_data[[#This Row],[Order_Date]],"mmmm")</f>
        <v>June</v>
      </c>
      <c r="AJ516" s="9" t="str">
        <f>"Q"&amp;ROUNDUP(MONTH(Cleaned_data[[#This Row],[Order_Date]])/3,0)</f>
        <v>Q2</v>
      </c>
    </row>
    <row r="517" spans="1:36">
      <c r="A517" t="s">
        <v>1006</v>
      </c>
      <c r="B517" s="9">
        <v>45827</v>
      </c>
      <c r="C517" s="9">
        <v>45833</v>
      </c>
      <c r="D517" t="s">
        <v>500</v>
      </c>
      <c r="E517" t="s">
        <v>501</v>
      </c>
      <c r="F517" t="s">
        <v>152</v>
      </c>
      <c r="G517" t="s">
        <v>194</v>
      </c>
      <c r="H517" t="s">
        <v>202</v>
      </c>
      <c r="I517" t="s">
        <v>203</v>
      </c>
      <c r="J517" t="s">
        <v>129</v>
      </c>
      <c r="K517" t="s">
        <v>79</v>
      </c>
      <c r="L517" t="s">
        <v>207</v>
      </c>
      <c r="M517" t="s">
        <v>208</v>
      </c>
      <c r="N517" t="s">
        <v>120</v>
      </c>
      <c r="O517" t="s">
        <v>164</v>
      </c>
      <c r="P517" s="8">
        <v>2</v>
      </c>
      <c r="Q517" s="10">
        <v>1408.32</v>
      </c>
      <c r="R517" s="11">
        <v>0.09</v>
      </c>
      <c r="S517" s="10">
        <v>10.62</v>
      </c>
      <c r="T517" t="s">
        <v>84</v>
      </c>
      <c r="U517" t="s">
        <v>85</v>
      </c>
      <c r="V517" s="8">
        <v>1</v>
      </c>
      <c r="W517" t="s">
        <v>1270</v>
      </c>
      <c r="X517" t="str">
        <f>_xlfn.XLOOKUP(Cleaned_data[[#This Row],[Customer_ID]],Customers[S],Customers[Loyalty_Tier])</f>
        <v>Gold</v>
      </c>
      <c r="Y517" s="9">
        <f>_xlfn.XLOOKUP(Cleaned_data[[#This Row],[Customer_ID]],Customers[S],Customers[Signup_Date])</f>
        <v>44897</v>
      </c>
      <c r="Z517" s="12">
        <f>_xlfn.XLOOKUP(Cleaned_data[[#This Row],[SKU]],Products[SKU],Products[Standard_Cost])</f>
        <v>885</v>
      </c>
      <c r="AA517" s="10">
        <f>Cleaned_data[[#This Row],[Quantity]]*Cleaned_data[[#This Row],[Unit_Price]]</f>
        <v>2816.64</v>
      </c>
      <c r="AB517" s="10">
        <f>Cleaned_data[[#This Row],[Unit_Price]]*Cleaned_data[[#This Row],[Discount_Pct]]</f>
        <v>126.74879999999999</v>
      </c>
      <c r="AC517" s="10">
        <f>Cleaned_data[[#This Row],[Gross Sales]]-Cleaned_data[[#This Row],[Discount amount]]</f>
        <v>2689.8912</v>
      </c>
      <c r="AD517" s="10">
        <f>Cleaned_data[[#This Row],[Product Cost]]*Cleaned_data[[#This Row],[Quantity]]</f>
        <v>1770</v>
      </c>
      <c r="AE517" s="10">
        <f>Cleaned_data[[#This Row],[Net Sales]]-Cleaned_data[[#This Row],[COGS]]</f>
        <v>919.89120000000003</v>
      </c>
      <c r="AF517" s="11">
        <f>Cleaned_data[[#This Row],[Gross Profit]]/Cleaned_data[[#This Row],[Net Sales]]</f>
        <v>0.34198082063690904</v>
      </c>
      <c r="AG517">
        <f>Cleaned_data[[#This Row],[Ship_Date]]-Cleaned_data[[#This Row],[Order_Date]]</f>
        <v>6</v>
      </c>
      <c r="AH517" t="str">
        <f>IF(Cleaned_data[[#This Row],[Delivery Days]]&gt;10,"late","on time")</f>
        <v>on time</v>
      </c>
      <c r="AI517" t="str">
        <f>TEXT(Cleaned_data[[#This Row],[Order_Date]],"mmmm")</f>
        <v>June</v>
      </c>
      <c r="AJ517" s="9" t="str">
        <f>"Q"&amp;ROUNDUP(MONTH(Cleaned_data[[#This Row],[Order_Date]])/3,0)</f>
        <v>Q2</v>
      </c>
    </row>
    <row r="518" spans="1:36">
      <c r="A518" t="s">
        <v>1007</v>
      </c>
      <c r="B518" s="9">
        <v>45827</v>
      </c>
      <c r="C518" s="9">
        <v>45832</v>
      </c>
      <c r="D518" t="s">
        <v>913</v>
      </c>
      <c r="E518" t="s">
        <v>914</v>
      </c>
      <c r="F518" t="s">
        <v>74</v>
      </c>
      <c r="G518" t="s">
        <v>138</v>
      </c>
      <c r="H518" t="s">
        <v>153</v>
      </c>
      <c r="I518" t="s">
        <v>154</v>
      </c>
      <c r="J518" t="s">
        <v>129</v>
      </c>
      <c r="K518" t="s">
        <v>100</v>
      </c>
      <c r="L518" t="s">
        <v>207</v>
      </c>
      <c r="M518" t="s">
        <v>208</v>
      </c>
      <c r="N518" t="s">
        <v>120</v>
      </c>
      <c r="O518" t="s">
        <v>164</v>
      </c>
      <c r="P518" s="8">
        <v>2</v>
      </c>
      <c r="Q518" s="10">
        <v>1378.7</v>
      </c>
      <c r="R518" s="11">
        <v>0.09</v>
      </c>
      <c r="S518" s="10">
        <v>22.51</v>
      </c>
      <c r="T518" t="s">
        <v>122</v>
      </c>
      <c r="U518" t="s">
        <v>85</v>
      </c>
      <c r="V518" s="8">
        <v>4</v>
      </c>
      <c r="W518" t="s">
        <v>1270</v>
      </c>
      <c r="X518" t="str">
        <f>_xlfn.XLOOKUP(Cleaned_data[[#This Row],[Customer_ID]],Customers[S],Customers[Loyalty_Tier])</f>
        <v>Gold</v>
      </c>
      <c r="Y518" s="9">
        <f>_xlfn.XLOOKUP(Cleaned_data[[#This Row],[Customer_ID]],Customers[S],Customers[Signup_Date])</f>
        <v>45217</v>
      </c>
      <c r="Z518" s="12">
        <f>_xlfn.XLOOKUP(Cleaned_data[[#This Row],[SKU]],Products[SKU],Products[Standard_Cost])</f>
        <v>885</v>
      </c>
      <c r="AA518" s="10">
        <f>Cleaned_data[[#This Row],[Quantity]]*Cleaned_data[[#This Row],[Unit_Price]]</f>
        <v>2757.4</v>
      </c>
      <c r="AB518" s="10">
        <f>Cleaned_data[[#This Row],[Unit_Price]]*Cleaned_data[[#This Row],[Discount_Pct]]</f>
        <v>124.083</v>
      </c>
      <c r="AC518" s="10">
        <f>Cleaned_data[[#This Row],[Gross Sales]]-Cleaned_data[[#This Row],[Discount amount]]</f>
        <v>2633.317</v>
      </c>
      <c r="AD518" s="10">
        <f>Cleaned_data[[#This Row],[Product Cost]]*Cleaned_data[[#This Row],[Quantity]]</f>
        <v>1770</v>
      </c>
      <c r="AE518" s="10">
        <f>Cleaned_data[[#This Row],[Net Sales]]-Cleaned_data[[#This Row],[COGS]]</f>
        <v>863.31700000000001</v>
      </c>
      <c r="AF518" s="11">
        <f>Cleaned_data[[#This Row],[Gross Profit]]/Cleaned_data[[#This Row],[Net Sales]]</f>
        <v>0.32784393219654145</v>
      </c>
      <c r="AG518">
        <f>Cleaned_data[[#This Row],[Ship_Date]]-Cleaned_data[[#This Row],[Order_Date]]</f>
        <v>5</v>
      </c>
      <c r="AH518" t="str">
        <f>IF(Cleaned_data[[#This Row],[Delivery Days]]&gt;10,"late","on time")</f>
        <v>on time</v>
      </c>
      <c r="AI518" t="str">
        <f>TEXT(Cleaned_data[[#This Row],[Order_Date]],"mmmm")</f>
        <v>June</v>
      </c>
      <c r="AJ518" s="9" t="str">
        <f>"Q"&amp;ROUNDUP(MONTH(Cleaned_data[[#This Row],[Order_Date]])/3,0)</f>
        <v>Q2</v>
      </c>
    </row>
    <row r="519" spans="1:36">
      <c r="A519" t="s">
        <v>1008</v>
      </c>
      <c r="B519" s="9">
        <v>45827</v>
      </c>
      <c r="C519" s="9">
        <v>45831</v>
      </c>
      <c r="D519" t="s">
        <v>550</v>
      </c>
      <c r="E519" t="s">
        <v>218</v>
      </c>
      <c r="F519" t="s">
        <v>152</v>
      </c>
      <c r="G519" t="s">
        <v>126</v>
      </c>
      <c r="H519" t="s">
        <v>127</v>
      </c>
      <c r="I519" t="s">
        <v>128</v>
      </c>
      <c r="J519" t="s">
        <v>129</v>
      </c>
      <c r="K519" t="s">
        <v>90</v>
      </c>
      <c r="L519" t="s">
        <v>249</v>
      </c>
      <c r="M519" t="s">
        <v>250</v>
      </c>
      <c r="N519" t="s">
        <v>103</v>
      </c>
      <c r="O519" t="s">
        <v>251</v>
      </c>
      <c r="P519" s="8">
        <v>7</v>
      </c>
      <c r="Q519" s="10">
        <v>21.96</v>
      </c>
      <c r="R519" s="11">
        <v>0.04</v>
      </c>
      <c r="S519" s="10">
        <v>12.15</v>
      </c>
      <c r="T519" t="s">
        <v>122</v>
      </c>
      <c r="U519" t="s">
        <v>85</v>
      </c>
      <c r="V519" s="8">
        <v>4</v>
      </c>
      <c r="W519" t="s">
        <v>1270</v>
      </c>
      <c r="X519" t="str">
        <f>_xlfn.XLOOKUP(Cleaned_data[[#This Row],[Customer_ID]],Customers[S],Customers[Loyalty_Tier])</f>
        <v>Platinum</v>
      </c>
      <c r="Y519" s="9">
        <f>_xlfn.XLOOKUP(Cleaned_data[[#This Row],[Customer_ID]],Customers[S],Customers[Signup_Date])</f>
        <v>44903</v>
      </c>
      <c r="Z519" s="12">
        <f>_xlfn.XLOOKUP(Cleaned_data[[#This Row],[SKU]],Products[SKU],Products[Standard_Cost])</f>
        <v>10</v>
      </c>
      <c r="AA519" s="10">
        <f>Cleaned_data[[#This Row],[Quantity]]*Cleaned_data[[#This Row],[Unit_Price]]</f>
        <v>153.72</v>
      </c>
      <c r="AB519" s="10">
        <f>Cleaned_data[[#This Row],[Unit_Price]]*Cleaned_data[[#This Row],[Discount_Pct]]</f>
        <v>0.87840000000000007</v>
      </c>
      <c r="AC519" s="10">
        <f>Cleaned_data[[#This Row],[Gross Sales]]-Cleaned_data[[#This Row],[Discount amount]]</f>
        <v>152.8416</v>
      </c>
      <c r="AD519" s="10">
        <f>Cleaned_data[[#This Row],[Product Cost]]*Cleaned_data[[#This Row],[Quantity]]</f>
        <v>70</v>
      </c>
      <c r="AE519" s="10">
        <f>Cleaned_data[[#This Row],[Net Sales]]-Cleaned_data[[#This Row],[COGS]]</f>
        <v>82.8416</v>
      </c>
      <c r="AF519" s="11">
        <f>Cleaned_data[[#This Row],[Gross Profit]]/Cleaned_data[[#This Row],[Net Sales]]</f>
        <v>0.54200950526558211</v>
      </c>
      <c r="AG519">
        <f>Cleaned_data[[#This Row],[Ship_Date]]-Cleaned_data[[#This Row],[Order_Date]]</f>
        <v>4</v>
      </c>
      <c r="AH519" t="str">
        <f>IF(Cleaned_data[[#This Row],[Delivery Days]]&gt;10,"late","on time")</f>
        <v>on time</v>
      </c>
      <c r="AI519" t="str">
        <f>TEXT(Cleaned_data[[#This Row],[Order_Date]],"mmmm")</f>
        <v>June</v>
      </c>
      <c r="AJ519" s="9" t="str">
        <f>"Q"&amp;ROUNDUP(MONTH(Cleaned_data[[#This Row],[Order_Date]])/3,0)</f>
        <v>Q2</v>
      </c>
    </row>
    <row r="520" spans="1:36">
      <c r="A520" t="s">
        <v>1009</v>
      </c>
      <c r="B520" s="9">
        <v>45828</v>
      </c>
      <c r="C520" s="9">
        <v>45842</v>
      </c>
      <c r="D520" t="s">
        <v>667</v>
      </c>
      <c r="E520" t="s">
        <v>336</v>
      </c>
      <c r="F520" t="s">
        <v>152</v>
      </c>
      <c r="G520" t="s">
        <v>138</v>
      </c>
      <c r="H520" t="s">
        <v>457</v>
      </c>
      <c r="I520" t="s">
        <v>458</v>
      </c>
      <c r="J520" t="s">
        <v>78</v>
      </c>
      <c r="K520" t="s">
        <v>79</v>
      </c>
      <c r="L520" t="s">
        <v>242</v>
      </c>
      <c r="M520" t="s">
        <v>243</v>
      </c>
      <c r="N520" t="s">
        <v>120</v>
      </c>
      <c r="O520" t="s">
        <v>133</v>
      </c>
      <c r="P520" s="8">
        <v>3</v>
      </c>
      <c r="Q520" s="10">
        <v>197.56</v>
      </c>
      <c r="R520" s="11">
        <v>0.11</v>
      </c>
      <c r="S520" s="10">
        <v>9.4</v>
      </c>
      <c r="T520" t="s">
        <v>84</v>
      </c>
      <c r="U520" t="s">
        <v>85</v>
      </c>
      <c r="V520" s="8">
        <v>5</v>
      </c>
      <c r="W520" t="s">
        <v>1270</v>
      </c>
      <c r="X520" t="str">
        <f>_xlfn.XLOOKUP(Cleaned_data[[#This Row],[Customer_ID]],Customers[S],Customers[Loyalty_Tier])</f>
        <v>Gold</v>
      </c>
      <c r="Y520" s="9">
        <f>_xlfn.XLOOKUP(Cleaned_data[[#This Row],[Customer_ID]],Customers[S],Customers[Signup_Date])</f>
        <v>45372</v>
      </c>
      <c r="Z520" s="12">
        <f>_xlfn.XLOOKUP(Cleaned_data[[#This Row],[SKU]],Products[SKU],Products[Standard_Cost])</f>
        <v>96</v>
      </c>
      <c r="AA520" s="10">
        <f>Cleaned_data[[#This Row],[Quantity]]*Cleaned_data[[#This Row],[Unit_Price]]</f>
        <v>592.68000000000006</v>
      </c>
      <c r="AB520" s="10">
        <f>Cleaned_data[[#This Row],[Unit_Price]]*Cleaned_data[[#This Row],[Discount_Pct]]</f>
        <v>21.7316</v>
      </c>
      <c r="AC520" s="10">
        <f>Cleaned_data[[#This Row],[Gross Sales]]-Cleaned_data[[#This Row],[Discount amount]]</f>
        <v>570.94840000000011</v>
      </c>
      <c r="AD520" s="10">
        <f>Cleaned_data[[#This Row],[Product Cost]]*Cleaned_data[[#This Row],[Quantity]]</f>
        <v>288</v>
      </c>
      <c r="AE520" s="10">
        <f>Cleaned_data[[#This Row],[Net Sales]]-Cleaned_data[[#This Row],[COGS]]</f>
        <v>282.94840000000011</v>
      </c>
      <c r="AF520" s="11">
        <f>Cleaned_data[[#This Row],[Gross Profit]]/Cleaned_data[[#This Row],[Net Sales]]</f>
        <v>0.49557613262424427</v>
      </c>
      <c r="AG520">
        <f>Cleaned_data[[#This Row],[Ship_Date]]-Cleaned_data[[#This Row],[Order_Date]]</f>
        <v>14</v>
      </c>
      <c r="AH520" t="str">
        <f>IF(Cleaned_data[[#This Row],[Delivery Days]]&gt;10,"late","on time")</f>
        <v>late</v>
      </c>
      <c r="AI520" t="str">
        <f>TEXT(Cleaned_data[[#This Row],[Order_Date]],"mmmm")</f>
        <v>June</v>
      </c>
      <c r="AJ520" s="9" t="str">
        <f>"Q"&amp;ROUNDUP(MONTH(Cleaned_data[[#This Row],[Order_Date]])/3,0)</f>
        <v>Q2</v>
      </c>
    </row>
    <row r="521" spans="1:36">
      <c r="A521" t="s">
        <v>1010</v>
      </c>
      <c r="B521" s="9">
        <v>45828</v>
      </c>
      <c r="C521" s="9">
        <v>45832</v>
      </c>
      <c r="D521" t="s">
        <v>294</v>
      </c>
      <c r="E521" t="s">
        <v>146</v>
      </c>
      <c r="F521" t="s">
        <v>152</v>
      </c>
      <c r="G521" t="s">
        <v>194</v>
      </c>
      <c r="H521" t="s">
        <v>225</v>
      </c>
      <c r="I521" t="s">
        <v>226</v>
      </c>
      <c r="J521" t="s">
        <v>129</v>
      </c>
      <c r="K521" t="s">
        <v>168</v>
      </c>
      <c r="L521" t="s">
        <v>234</v>
      </c>
      <c r="M521" t="s">
        <v>235</v>
      </c>
      <c r="N521" t="s">
        <v>93</v>
      </c>
      <c r="O521" t="s">
        <v>236</v>
      </c>
      <c r="P521" s="8">
        <v>1</v>
      </c>
      <c r="Q521" s="10">
        <v>144.05000000000001</v>
      </c>
      <c r="R521" s="11">
        <v>0.08</v>
      </c>
      <c r="S521" s="10">
        <v>23.99</v>
      </c>
      <c r="T521" t="s">
        <v>122</v>
      </c>
      <c r="U521" t="s">
        <v>85</v>
      </c>
      <c r="V521" s="8">
        <v>2</v>
      </c>
      <c r="W521" t="s">
        <v>1270</v>
      </c>
      <c r="X521" t="str">
        <f>_xlfn.XLOOKUP(Cleaned_data[[#This Row],[Customer_ID]],Customers[S],Customers[Loyalty_Tier])</f>
        <v>Bronze</v>
      </c>
      <c r="Y521" s="9">
        <f>_xlfn.XLOOKUP(Cleaned_data[[#This Row],[Customer_ID]],Customers[S],Customers[Signup_Date])</f>
        <v>45149</v>
      </c>
      <c r="Z521" s="12">
        <f>_xlfn.XLOOKUP(Cleaned_data[[#This Row],[SKU]],Products[SKU],Products[Standard_Cost])</f>
        <v>82</v>
      </c>
      <c r="AA521" s="10">
        <f>Cleaned_data[[#This Row],[Quantity]]*Cleaned_data[[#This Row],[Unit_Price]]</f>
        <v>144.05000000000001</v>
      </c>
      <c r="AB521" s="10">
        <f>Cleaned_data[[#This Row],[Unit_Price]]*Cleaned_data[[#This Row],[Discount_Pct]]</f>
        <v>11.524000000000001</v>
      </c>
      <c r="AC521" s="10">
        <f>Cleaned_data[[#This Row],[Gross Sales]]-Cleaned_data[[#This Row],[Discount amount]]</f>
        <v>132.52600000000001</v>
      </c>
      <c r="AD521" s="10">
        <f>Cleaned_data[[#This Row],[Product Cost]]*Cleaned_data[[#This Row],[Quantity]]</f>
        <v>82</v>
      </c>
      <c r="AE521" s="10">
        <f>Cleaned_data[[#This Row],[Net Sales]]-Cleaned_data[[#This Row],[COGS]]</f>
        <v>50.52600000000001</v>
      </c>
      <c r="AF521" s="11">
        <f>Cleaned_data[[#This Row],[Gross Profit]]/Cleaned_data[[#This Row],[Net Sales]]</f>
        <v>0.38125348988123092</v>
      </c>
      <c r="AG521">
        <f>Cleaned_data[[#This Row],[Ship_Date]]-Cleaned_data[[#This Row],[Order_Date]]</f>
        <v>4</v>
      </c>
      <c r="AH521" t="str">
        <f>IF(Cleaned_data[[#This Row],[Delivery Days]]&gt;10,"late","on time")</f>
        <v>on time</v>
      </c>
      <c r="AI521" t="str">
        <f>TEXT(Cleaned_data[[#This Row],[Order_Date]],"mmmm")</f>
        <v>June</v>
      </c>
      <c r="AJ521" s="9" t="str">
        <f>"Q"&amp;ROUNDUP(MONTH(Cleaned_data[[#This Row],[Order_Date]])/3,0)</f>
        <v>Q2</v>
      </c>
    </row>
    <row r="522" spans="1:36">
      <c r="A522" t="s">
        <v>1011</v>
      </c>
      <c r="B522" s="9">
        <v>45830</v>
      </c>
      <c r="C522" s="9">
        <v>45834</v>
      </c>
      <c r="D522" t="s">
        <v>124</v>
      </c>
      <c r="E522" t="s">
        <v>125</v>
      </c>
      <c r="F522" t="s">
        <v>74</v>
      </c>
      <c r="G522" t="s">
        <v>126</v>
      </c>
      <c r="H522" t="s">
        <v>127</v>
      </c>
      <c r="I522" t="s">
        <v>128</v>
      </c>
      <c r="J522" t="s">
        <v>78</v>
      </c>
      <c r="K522" t="s">
        <v>147</v>
      </c>
      <c r="L522" t="s">
        <v>169</v>
      </c>
      <c r="M522" t="s">
        <v>170</v>
      </c>
      <c r="N522" t="s">
        <v>103</v>
      </c>
      <c r="O522" t="s">
        <v>171</v>
      </c>
      <c r="P522" s="8">
        <v>6</v>
      </c>
      <c r="Q522" s="10">
        <v>15.16</v>
      </c>
      <c r="R522" s="11">
        <v>0.1</v>
      </c>
      <c r="S522" s="10">
        <v>13.17</v>
      </c>
      <c r="T522" t="s">
        <v>84</v>
      </c>
      <c r="U522" t="s">
        <v>85</v>
      </c>
      <c r="V522" s="8">
        <v>5</v>
      </c>
      <c r="W522" t="s">
        <v>1270</v>
      </c>
      <c r="X522" t="str">
        <f>_xlfn.XLOOKUP(Cleaned_data[[#This Row],[Customer_ID]],Customers[S],Customers[Loyalty_Tier])</f>
        <v>Silver</v>
      </c>
      <c r="Y522" s="9">
        <f>_xlfn.XLOOKUP(Cleaned_data[[#This Row],[Customer_ID]],Customers[S],Customers[Signup_Date])</f>
        <v>45033</v>
      </c>
      <c r="Z522" s="12">
        <f>_xlfn.XLOOKUP(Cleaned_data[[#This Row],[SKU]],Products[SKU],Products[Standard_Cost])</f>
        <v>6</v>
      </c>
      <c r="AA522" s="10">
        <f>Cleaned_data[[#This Row],[Quantity]]*Cleaned_data[[#This Row],[Unit_Price]]</f>
        <v>90.960000000000008</v>
      </c>
      <c r="AB522" s="10">
        <f>Cleaned_data[[#This Row],[Unit_Price]]*Cleaned_data[[#This Row],[Discount_Pct]]</f>
        <v>1.516</v>
      </c>
      <c r="AC522" s="10">
        <f>Cleaned_data[[#This Row],[Gross Sales]]-Cleaned_data[[#This Row],[Discount amount]]</f>
        <v>89.444000000000003</v>
      </c>
      <c r="AD522" s="10">
        <f>Cleaned_data[[#This Row],[Product Cost]]*Cleaned_data[[#This Row],[Quantity]]</f>
        <v>36</v>
      </c>
      <c r="AE522" s="10">
        <f>Cleaned_data[[#This Row],[Net Sales]]-Cleaned_data[[#This Row],[COGS]]</f>
        <v>53.444000000000003</v>
      </c>
      <c r="AF522" s="11">
        <f>Cleaned_data[[#This Row],[Gross Profit]]/Cleaned_data[[#This Row],[Net Sales]]</f>
        <v>0.59751352801753055</v>
      </c>
      <c r="AG522">
        <f>Cleaned_data[[#This Row],[Ship_Date]]-Cleaned_data[[#This Row],[Order_Date]]</f>
        <v>4</v>
      </c>
      <c r="AH522" t="str">
        <f>IF(Cleaned_data[[#This Row],[Delivery Days]]&gt;10,"late","on time")</f>
        <v>on time</v>
      </c>
      <c r="AI522" t="str">
        <f>TEXT(Cleaned_data[[#This Row],[Order_Date]],"mmmm")</f>
        <v>June</v>
      </c>
      <c r="AJ522" s="9" t="str">
        <f>"Q"&amp;ROUNDUP(MONTH(Cleaned_data[[#This Row],[Order_Date]])/3,0)</f>
        <v>Q2</v>
      </c>
    </row>
    <row r="523" spans="1:36">
      <c r="A523" t="s">
        <v>1012</v>
      </c>
      <c r="B523" s="9">
        <v>45830</v>
      </c>
      <c r="C523" s="9">
        <v>45840</v>
      </c>
      <c r="D523" t="s">
        <v>627</v>
      </c>
      <c r="E523" t="s">
        <v>542</v>
      </c>
      <c r="F523" t="s">
        <v>152</v>
      </c>
      <c r="G523" t="s">
        <v>194</v>
      </c>
      <c r="H523" t="s">
        <v>240</v>
      </c>
      <c r="I523" t="s">
        <v>241</v>
      </c>
      <c r="J523" t="s">
        <v>78</v>
      </c>
      <c r="K523" t="s">
        <v>147</v>
      </c>
      <c r="L523" t="s">
        <v>155</v>
      </c>
      <c r="M523" t="s">
        <v>156</v>
      </c>
      <c r="N523" t="s">
        <v>82</v>
      </c>
      <c r="O523" t="s">
        <v>112</v>
      </c>
      <c r="P523" s="8">
        <v>10</v>
      </c>
      <c r="Q523" s="10">
        <v>178.03</v>
      </c>
      <c r="R523" s="11">
        <v>0.1</v>
      </c>
      <c r="S523" s="10">
        <v>14.45</v>
      </c>
      <c r="T523" t="s">
        <v>84</v>
      </c>
      <c r="U523" t="s">
        <v>85</v>
      </c>
      <c r="V523" s="8">
        <v>3</v>
      </c>
      <c r="W523" t="s">
        <v>1270</v>
      </c>
      <c r="X523" t="str">
        <f>_xlfn.XLOOKUP(Cleaned_data[[#This Row],[Customer_ID]],Customers[S],Customers[Loyalty_Tier])</f>
        <v>Gold</v>
      </c>
      <c r="Y523" s="9">
        <f>_xlfn.XLOOKUP(Cleaned_data[[#This Row],[Customer_ID]],Customers[S],Customers[Signup_Date])</f>
        <v>44610</v>
      </c>
      <c r="Z523" s="12">
        <f>_xlfn.XLOOKUP(Cleaned_data[[#This Row],[SKU]],Products[SKU],Products[Standard_Cost])</f>
        <v>82</v>
      </c>
      <c r="AA523" s="10">
        <f>Cleaned_data[[#This Row],[Quantity]]*Cleaned_data[[#This Row],[Unit_Price]]</f>
        <v>1780.3</v>
      </c>
      <c r="AB523" s="10">
        <f>Cleaned_data[[#This Row],[Unit_Price]]*Cleaned_data[[#This Row],[Discount_Pct]]</f>
        <v>17.803000000000001</v>
      </c>
      <c r="AC523" s="10">
        <f>Cleaned_data[[#This Row],[Gross Sales]]-Cleaned_data[[#This Row],[Discount amount]]</f>
        <v>1762.4969999999998</v>
      </c>
      <c r="AD523" s="10">
        <f>Cleaned_data[[#This Row],[Product Cost]]*Cleaned_data[[#This Row],[Quantity]]</f>
        <v>820</v>
      </c>
      <c r="AE523" s="10">
        <f>Cleaned_data[[#This Row],[Net Sales]]-Cleaned_data[[#This Row],[COGS]]</f>
        <v>942.49699999999984</v>
      </c>
      <c r="AF523" s="11">
        <f>Cleaned_data[[#This Row],[Gross Profit]]/Cleaned_data[[#This Row],[Net Sales]]</f>
        <v>0.53475098113642172</v>
      </c>
      <c r="AG523">
        <f>Cleaned_data[[#This Row],[Ship_Date]]-Cleaned_data[[#This Row],[Order_Date]]</f>
        <v>10</v>
      </c>
      <c r="AH523" t="str">
        <f>IF(Cleaned_data[[#This Row],[Delivery Days]]&gt;10,"late","on time")</f>
        <v>on time</v>
      </c>
      <c r="AI523" t="str">
        <f>TEXT(Cleaned_data[[#This Row],[Order_Date]],"mmmm")</f>
        <v>June</v>
      </c>
      <c r="AJ523" s="9" t="str">
        <f>"Q"&amp;ROUNDUP(MONTH(Cleaned_data[[#This Row],[Order_Date]])/3,0)</f>
        <v>Q2</v>
      </c>
    </row>
    <row r="524" spans="1:36">
      <c r="A524" t="s">
        <v>1013</v>
      </c>
      <c r="B524" s="9">
        <v>45832</v>
      </c>
      <c r="C524" s="9">
        <v>45834</v>
      </c>
      <c r="D524" t="s">
        <v>392</v>
      </c>
      <c r="E524" t="s">
        <v>393</v>
      </c>
      <c r="F524" t="s">
        <v>74</v>
      </c>
      <c r="G524" t="s">
        <v>126</v>
      </c>
      <c r="H524" t="s">
        <v>160</v>
      </c>
      <c r="I524" t="s">
        <v>161</v>
      </c>
      <c r="J524" t="s">
        <v>219</v>
      </c>
      <c r="K524" t="s">
        <v>130</v>
      </c>
      <c r="L524" t="s">
        <v>131</v>
      </c>
      <c r="M524" t="s">
        <v>132</v>
      </c>
      <c r="N524" t="s">
        <v>120</v>
      </c>
      <c r="O524" t="s">
        <v>133</v>
      </c>
      <c r="P524" s="8">
        <v>1</v>
      </c>
      <c r="Q524" s="10">
        <v>85.37</v>
      </c>
      <c r="R524" s="11">
        <v>0.06</v>
      </c>
      <c r="S524" s="10">
        <v>9.27</v>
      </c>
      <c r="T524" t="s">
        <v>122</v>
      </c>
      <c r="U524" t="s">
        <v>85</v>
      </c>
      <c r="V524" s="8">
        <v>2</v>
      </c>
      <c r="W524" t="s">
        <v>1270</v>
      </c>
      <c r="X524" t="str">
        <f>_xlfn.XLOOKUP(Cleaned_data[[#This Row],[Customer_ID]],Customers[S],Customers[Loyalty_Tier])</f>
        <v>Gold</v>
      </c>
      <c r="Y524" s="9">
        <f>_xlfn.XLOOKUP(Cleaned_data[[#This Row],[Customer_ID]],Customers[S],Customers[Signup_Date])</f>
        <v>44236</v>
      </c>
      <c r="Z524" s="12">
        <f>_xlfn.XLOOKUP(Cleaned_data[[#This Row],[SKU]],Products[SKU],Products[Standard_Cost])</f>
        <v>44</v>
      </c>
      <c r="AA524" s="10">
        <f>Cleaned_data[[#This Row],[Quantity]]*Cleaned_data[[#This Row],[Unit_Price]]</f>
        <v>85.37</v>
      </c>
      <c r="AB524" s="10">
        <f>Cleaned_data[[#This Row],[Unit_Price]]*Cleaned_data[[#This Row],[Discount_Pct]]</f>
        <v>5.1222000000000003</v>
      </c>
      <c r="AC524" s="10">
        <f>Cleaned_data[[#This Row],[Gross Sales]]-Cleaned_data[[#This Row],[Discount amount]]</f>
        <v>80.247799999999998</v>
      </c>
      <c r="AD524" s="10">
        <f>Cleaned_data[[#This Row],[Product Cost]]*Cleaned_data[[#This Row],[Quantity]]</f>
        <v>44</v>
      </c>
      <c r="AE524" s="10">
        <f>Cleaned_data[[#This Row],[Net Sales]]-Cleaned_data[[#This Row],[COGS]]</f>
        <v>36.247799999999998</v>
      </c>
      <c r="AF524" s="11">
        <f>Cleaned_data[[#This Row],[Gross Profit]]/Cleaned_data[[#This Row],[Net Sales]]</f>
        <v>0.45169836431652954</v>
      </c>
      <c r="AG524">
        <f>Cleaned_data[[#This Row],[Ship_Date]]-Cleaned_data[[#This Row],[Order_Date]]</f>
        <v>2</v>
      </c>
      <c r="AH524" t="str">
        <f>IF(Cleaned_data[[#This Row],[Delivery Days]]&gt;10,"late","on time")</f>
        <v>on time</v>
      </c>
      <c r="AI524" t="str">
        <f>TEXT(Cleaned_data[[#This Row],[Order_Date]],"mmmm")</f>
        <v>June</v>
      </c>
      <c r="AJ524" s="9" t="str">
        <f>"Q"&amp;ROUNDUP(MONTH(Cleaned_data[[#This Row],[Order_Date]])/3,0)</f>
        <v>Q2</v>
      </c>
    </row>
    <row r="525" spans="1:36">
      <c r="A525" t="s">
        <v>1014</v>
      </c>
      <c r="B525" s="9">
        <v>45832</v>
      </c>
      <c r="C525" s="9">
        <v>45834</v>
      </c>
      <c r="D525" t="s">
        <v>268</v>
      </c>
      <c r="E525" t="s">
        <v>269</v>
      </c>
      <c r="F525" t="s">
        <v>74</v>
      </c>
      <c r="G525" t="s">
        <v>75</v>
      </c>
      <c r="H525" t="s">
        <v>212</v>
      </c>
      <c r="I525" t="s">
        <v>213</v>
      </c>
      <c r="J525" t="s">
        <v>219</v>
      </c>
      <c r="K525" t="s">
        <v>90</v>
      </c>
      <c r="L525" t="s">
        <v>254</v>
      </c>
      <c r="M525" t="s">
        <v>255</v>
      </c>
      <c r="N525" t="s">
        <v>82</v>
      </c>
      <c r="O525" t="s">
        <v>83</v>
      </c>
      <c r="P525" s="8">
        <v>3</v>
      </c>
      <c r="Q525" s="10">
        <v>94.99</v>
      </c>
      <c r="R525" s="11">
        <v>7.0000000000000007E-2</v>
      </c>
      <c r="S525" s="10">
        <v>6.21</v>
      </c>
      <c r="T525" t="s">
        <v>105</v>
      </c>
      <c r="U525" t="s">
        <v>85</v>
      </c>
      <c r="V525" s="8">
        <v>3</v>
      </c>
      <c r="W525" t="s">
        <v>1270</v>
      </c>
      <c r="X525" t="str">
        <f>_xlfn.XLOOKUP(Cleaned_data[[#This Row],[Customer_ID]],Customers[S],Customers[Loyalty_Tier])</f>
        <v>Bronze</v>
      </c>
      <c r="Y525" s="9">
        <f>_xlfn.XLOOKUP(Cleaned_data[[#This Row],[Customer_ID]],Customers[S],Customers[Signup_Date])</f>
        <v>44480</v>
      </c>
      <c r="Z525" s="12">
        <f>_xlfn.XLOOKUP(Cleaned_data[[#This Row],[SKU]],Products[SKU],Products[Standard_Cost])</f>
        <v>48</v>
      </c>
      <c r="AA525" s="10">
        <f>Cleaned_data[[#This Row],[Quantity]]*Cleaned_data[[#This Row],[Unit_Price]]</f>
        <v>284.96999999999997</v>
      </c>
      <c r="AB525" s="10">
        <f>Cleaned_data[[#This Row],[Unit_Price]]*Cleaned_data[[#This Row],[Discount_Pct]]</f>
        <v>6.6493000000000002</v>
      </c>
      <c r="AC525" s="10">
        <f>Cleaned_data[[#This Row],[Gross Sales]]-Cleaned_data[[#This Row],[Discount amount]]</f>
        <v>278.32069999999999</v>
      </c>
      <c r="AD525" s="10">
        <f>Cleaned_data[[#This Row],[Product Cost]]*Cleaned_data[[#This Row],[Quantity]]</f>
        <v>144</v>
      </c>
      <c r="AE525" s="10">
        <f>Cleaned_data[[#This Row],[Net Sales]]-Cleaned_data[[#This Row],[COGS]]</f>
        <v>134.32069999999999</v>
      </c>
      <c r="AF525" s="11">
        <f>Cleaned_data[[#This Row],[Gross Profit]]/Cleaned_data[[#This Row],[Net Sales]]</f>
        <v>0.482611246666166</v>
      </c>
      <c r="AG525">
        <f>Cleaned_data[[#This Row],[Ship_Date]]-Cleaned_data[[#This Row],[Order_Date]]</f>
        <v>2</v>
      </c>
      <c r="AH525" t="str">
        <f>IF(Cleaned_data[[#This Row],[Delivery Days]]&gt;10,"late","on time")</f>
        <v>on time</v>
      </c>
      <c r="AI525" t="str">
        <f>TEXT(Cleaned_data[[#This Row],[Order_Date]],"mmmm")</f>
        <v>June</v>
      </c>
      <c r="AJ525" s="9" t="str">
        <f>"Q"&amp;ROUNDUP(MONTH(Cleaned_data[[#This Row],[Order_Date]])/3,0)</f>
        <v>Q2</v>
      </c>
    </row>
    <row r="526" spans="1:36">
      <c r="A526" t="s">
        <v>1015</v>
      </c>
      <c r="B526" s="9">
        <v>45834</v>
      </c>
      <c r="C526" s="9">
        <v>45838</v>
      </c>
      <c r="D526" t="s">
        <v>467</v>
      </c>
      <c r="E526" t="s">
        <v>363</v>
      </c>
      <c r="F526" t="s">
        <v>152</v>
      </c>
      <c r="G526" t="s">
        <v>75</v>
      </c>
      <c r="H526" t="s">
        <v>76</v>
      </c>
      <c r="I526" t="s">
        <v>77</v>
      </c>
      <c r="J526" t="s">
        <v>219</v>
      </c>
      <c r="K526" t="s">
        <v>147</v>
      </c>
      <c r="L526" t="s">
        <v>234</v>
      </c>
      <c r="M526" t="s">
        <v>235</v>
      </c>
      <c r="N526" t="s">
        <v>93</v>
      </c>
      <c r="O526" t="s">
        <v>236</v>
      </c>
      <c r="P526" s="8">
        <v>3</v>
      </c>
      <c r="Q526" s="10">
        <v>153.19</v>
      </c>
      <c r="R526" s="11">
        <v>0.03</v>
      </c>
      <c r="S526" s="10">
        <v>22.06</v>
      </c>
      <c r="T526" t="s">
        <v>105</v>
      </c>
      <c r="U526" t="s">
        <v>85</v>
      </c>
      <c r="W526" t="s">
        <v>1270</v>
      </c>
      <c r="X526" t="str">
        <f>_xlfn.XLOOKUP(Cleaned_data[[#This Row],[Customer_ID]],Customers[S],Customers[Loyalty_Tier])</f>
        <v>Silver</v>
      </c>
      <c r="Y526" s="9">
        <f>_xlfn.XLOOKUP(Cleaned_data[[#This Row],[Customer_ID]],Customers[S],Customers[Signup_Date])</f>
        <v>44698</v>
      </c>
      <c r="Z526" s="12">
        <f>_xlfn.XLOOKUP(Cleaned_data[[#This Row],[SKU]],Products[SKU],Products[Standard_Cost])</f>
        <v>82</v>
      </c>
      <c r="AA526" s="10">
        <f>Cleaned_data[[#This Row],[Quantity]]*Cleaned_data[[#This Row],[Unit_Price]]</f>
        <v>459.57</v>
      </c>
      <c r="AB526" s="10">
        <f>Cleaned_data[[#This Row],[Unit_Price]]*Cleaned_data[[#This Row],[Discount_Pct]]</f>
        <v>4.5956999999999999</v>
      </c>
      <c r="AC526" s="10">
        <f>Cleaned_data[[#This Row],[Gross Sales]]-Cleaned_data[[#This Row],[Discount amount]]</f>
        <v>454.97429999999997</v>
      </c>
      <c r="AD526" s="10">
        <f>Cleaned_data[[#This Row],[Product Cost]]*Cleaned_data[[#This Row],[Quantity]]</f>
        <v>246</v>
      </c>
      <c r="AE526" s="10">
        <f>Cleaned_data[[#This Row],[Net Sales]]-Cleaned_data[[#This Row],[COGS]]</f>
        <v>208.97429999999997</v>
      </c>
      <c r="AF526" s="11">
        <f>Cleaned_data[[#This Row],[Gross Profit]]/Cleaned_data[[#This Row],[Net Sales]]</f>
        <v>0.45931011927486892</v>
      </c>
      <c r="AG526">
        <f>Cleaned_data[[#This Row],[Ship_Date]]-Cleaned_data[[#This Row],[Order_Date]]</f>
        <v>4</v>
      </c>
      <c r="AH526" t="str">
        <f>IF(Cleaned_data[[#This Row],[Delivery Days]]&gt;10,"late","on time")</f>
        <v>on time</v>
      </c>
      <c r="AI526" t="str">
        <f>TEXT(Cleaned_data[[#This Row],[Order_Date]],"mmmm")</f>
        <v>June</v>
      </c>
      <c r="AJ526" s="9" t="str">
        <f>"Q"&amp;ROUNDUP(MONTH(Cleaned_data[[#This Row],[Order_Date]])/3,0)</f>
        <v>Q2</v>
      </c>
    </row>
    <row r="527" spans="1:36">
      <c r="A527" t="s">
        <v>1016</v>
      </c>
      <c r="B527" s="9">
        <v>45835</v>
      </c>
      <c r="C527" s="9">
        <v>45838</v>
      </c>
      <c r="D527" t="s">
        <v>456</v>
      </c>
      <c r="E527" t="s">
        <v>369</v>
      </c>
      <c r="F527" t="s">
        <v>89</v>
      </c>
      <c r="G527" t="s">
        <v>138</v>
      </c>
      <c r="H527" t="s">
        <v>457</v>
      </c>
      <c r="I527" t="s">
        <v>458</v>
      </c>
      <c r="J527" t="s">
        <v>109</v>
      </c>
      <c r="K527" t="s">
        <v>168</v>
      </c>
      <c r="L527" t="s">
        <v>254</v>
      </c>
      <c r="M527" t="s">
        <v>255</v>
      </c>
      <c r="N527" t="s">
        <v>82</v>
      </c>
      <c r="O527" t="s">
        <v>83</v>
      </c>
      <c r="P527" s="8">
        <v>8</v>
      </c>
      <c r="Q527" s="10">
        <v>99.25</v>
      </c>
      <c r="R527" s="11">
        <v>0.01</v>
      </c>
      <c r="S527" s="10">
        <v>16.32</v>
      </c>
      <c r="T527" t="s">
        <v>134</v>
      </c>
      <c r="U527" t="s">
        <v>85</v>
      </c>
      <c r="V527" s="8">
        <v>2</v>
      </c>
      <c r="W527" t="s">
        <v>1270</v>
      </c>
      <c r="X527" t="str">
        <f>_xlfn.XLOOKUP(Cleaned_data[[#This Row],[Customer_ID]],Customers[S],Customers[Loyalty_Tier])</f>
        <v>Bronze</v>
      </c>
      <c r="Y527" s="9">
        <f>_xlfn.XLOOKUP(Cleaned_data[[#This Row],[Customer_ID]],Customers[S],Customers[Signup_Date])</f>
        <v>44735</v>
      </c>
      <c r="Z527" s="12">
        <f>_xlfn.XLOOKUP(Cleaned_data[[#This Row],[SKU]],Products[SKU],Products[Standard_Cost])</f>
        <v>48</v>
      </c>
      <c r="AA527" s="10">
        <f>Cleaned_data[[#This Row],[Quantity]]*Cleaned_data[[#This Row],[Unit_Price]]</f>
        <v>794</v>
      </c>
      <c r="AB527" s="10">
        <f>Cleaned_data[[#This Row],[Unit_Price]]*Cleaned_data[[#This Row],[Discount_Pct]]</f>
        <v>0.99250000000000005</v>
      </c>
      <c r="AC527" s="10">
        <f>Cleaned_data[[#This Row],[Gross Sales]]-Cleaned_data[[#This Row],[Discount amount]]</f>
        <v>793.00750000000005</v>
      </c>
      <c r="AD527" s="10">
        <f>Cleaned_data[[#This Row],[Product Cost]]*Cleaned_data[[#This Row],[Quantity]]</f>
        <v>384</v>
      </c>
      <c r="AE527" s="10">
        <f>Cleaned_data[[#This Row],[Net Sales]]-Cleaned_data[[#This Row],[COGS]]</f>
        <v>409.00750000000005</v>
      </c>
      <c r="AF527" s="11">
        <f>Cleaned_data[[#This Row],[Gross Profit]]/Cleaned_data[[#This Row],[Net Sales]]</f>
        <v>0.51576750535146265</v>
      </c>
      <c r="AG527">
        <f>Cleaned_data[[#This Row],[Ship_Date]]-Cleaned_data[[#This Row],[Order_Date]]</f>
        <v>3</v>
      </c>
      <c r="AH527" t="str">
        <f>IF(Cleaned_data[[#This Row],[Delivery Days]]&gt;10,"late","on time")</f>
        <v>on time</v>
      </c>
      <c r="AI527" t="str">
        <f>TEXT(Cleaned_data[[#This Row],[Order_Date]],"mmmm")</f>
        <v>June</v>
      </c>
      <c r="AJ527" s="9" t="str">
        <f>"Q"&amp;ROUNDUP(MONTH(Cleaned_data[[#This Row],[Order_Date]])/3,0)</f>
        <v>Q2</v>
      </c>
    </row>
    <row r="528" spans="1:36">
      <c r="A528" t="s">
        <v>1017</v>
      </c>
      <c r="B528" s="9">
        <v>45835</v>
      </c>
      <c r="C528" s="9">
        <v>45840</v>
      </c>
      <c r="D528" t="s">
        <v>332</v>
      </c>
      <c r="E528" t="s">
        <v>333</v>
      </c>
      <c r="F528" t="s">
        <v>74</v>
      </c>
      <c r="G528" t="s">
        <v>126</v>
      </c>
      <c r="H528" t="s">
        <v>127</v>
      </c>
      <c r="I528" t="s">
        <v>128</v>
      </c>
      <c r="J528" t="s">
        <v>109</v>
      </c>
      <c r="K528" t="s">
        <v>168</v>
      </c>
      <c r="L528" t="s">
        <v>175</v>
      </c>
      <c r="M528" t="s">
        <v>176</v>
      </c>
      <c r="N528" t="s">
        <v>93</v>
      </c>
      <c r="O528" t="s">
        <v>177</v>
      </c>
      <c r="P528" s="8">
        <v>1</v>
      </c>
      <c r="Q528" s="10">
        <v>168.38</v>
      </c>
      <c r="R528" s="11">
        <v>0.12</v>
      </c>
      <c r="S528" s="10">
        <v>24.03</v>
      </c>
      <c r="T528" t="s">
        <v>122</v>
      </c>
      <c r="U528" t="s">
        <v>148</v>
      </c>
      <c r="V528" s="8">
        <v>5</v>
      </c>
      <c r="W528" t="s">
        <v>1270</v>
      </c>
      <c r="X528" t="str">
        <f>_xlfn.XLOOKUP(Cleaned_data[[#This Row],[Customer_ID]],Customers[S],Customers[Loyalty_Tier])</f>
        <v>Silver</v>
      </c>
      <c r="Y528" s="9">
        <f>_xlfn.XLOOKUP(Cleaned_data[[#This Row],[Customer_ID]],Customers[S],Customers[Signup_Date])</f>
        <v>45373</v>
      </c>
      <c r="Z528" s="12">
        <f>_xlfn.XLOOKUP(Cleaned_data[[#This Row],[SKU]],Products[SKU],Products[Standard_Cost])</f>
        <v>88</v>
      </c>
      <c r="AA528" s="10">
        <f>Cleaned_data[[#This Row],[Quantity]]*Cleaned_data[[#This Row],[Unit_Price]]</f>
        <v>168.38</v>
      </c>
      <c r="AB528" s="10">
        <f>Cleaned_data[[#This Row],[Unit_Price]]*Cleaned_data[[#This Row],[Discount_Pct]]</f>
        <v>20.2056</v>
      </c>
      <c r="AC528" s="10">
        <f>Cleaned_data[[#This Row],[Gross Sales]]-Cleaned_data[[#This Row],[Discount amount]]</f>
        <v>148.17439999999999</v>
      </c>
      <c r="AD528" s="10">
        <f>Cleaned_data[[#This Row],[Product Cost]]*Cleaned_data[[#This Row],[Quantity]]</f>
        <v>88</v>
      </c>
      <c r="AE528" s="10">
        <f>Cleaned_data[[#This Row],[Net Sales]]-Cleaned_data[[#This Row],[COGS]]</f>
        <v>60.174399999999991</v>
      </c>
      <c r="AF528" s="11">
        <f>Cleaned_data[[#This Row],[Gross Profit]]/Cleaned_data[[#This Row],[Net Sales]]</f>
        <v>0.40610523815179944</v>
      </c>
      <c r="AG528">
        <f>Cleaned_data[[#This Row],[Ship_Date]]-Cleaned_data[[#This Row],[Order_Date]]</f>
        <v>5</v>
      </c>
      <c r="AH528" t="str">
        <f>IF(Cleaned_data[[#This Row],[Delivery Days]]&gt;10,"late","on time")</f>
        <v>on time</v>
      </c>
      <c r="AI528" t="str">
        <f>TEXT(Cleaned_data[[#This Row],[Order_Date]],"mmmm")</f>
        <v>June</v>
      </c>
      <c r="AJ528" s="9" t="str">
        <f>"Q"&amp;ROUNDUP(MONTH(Cleaned_data[[#This Row],[Order_Date]])/3,0)</f>
        <v>Q2</v>
      </c>
    </row>
    <row r="529" spans="1:36">
      <c r="A529" t="s">
        <v>1018</v>
      </c>
      <c r="B529" s="9">
        <v>45836</v>
      </c>
      <c r="C529" s="9">
        <v>45843</v>
      </c>
      <c r="D529" t="s">
        <v>305</v>
      </c>
      <c r="E529" t="s">
        <v>306</v>
      </c>
      <c r="F529" t="s">
        <v>152</v>
      </c>
      <c r="G529" t="s">
        <v>138</v>
      </c>
      <c r="H529" t="s">
        <v>186</v>
      </c>
      <c r="I529" t="s">
        <v>187</v>
      </c>
      <c r="J529" t="s">
        <v>78</v>
      </c>
      <c r="K529" t="s">
        <v>147</v>
      </c>
      <c r="L529" t="s">
        <v>254</v>
      </c>
      <c r="M529" t="s">
        <v>255</v>
      </c>
      <c r="N529" t="s">
        <v>82</v>
      </c>
      <c r="O529" t="s">
        <v>83</v>
      </c>
      <c r="P529" s="8">
        <v>1</v>
      </c>
      <c r="Q529" s="10">
        <v>90.61</v>
      </c>
      <c r="R529" s="11">
        <v>0.06</v>
      </c>
      <c r="S529" s="10">
        <v>6.62</v>
      </c>
      <c r="T529" t="s">
        <v>84</v>
      </c>
      <c r="U529" t="s">
        <v>85</v>
      </c>
      <c r="V529" s="8">
        <v>2</v>
      </c>
      <c r="W529" t="s">
        <v>1270</v>
      </c>
      <c r="X529" t="str">
        <f>_xlfn.XLOOKUP(Cleaned_data[[#This Row],[Customer_ID]],Customers[S],Customers[Loyalty_Tier])</f>
        <v>Gold</v>
      </c>
      <c r="Y529" s="9">
        <f>_xlfn.XLOOKUP(Cleaned_data[[#This Row],[Customer_ID]],Customers[S],Customers[Signup_Date])</f>
        <v>45333</v>
      </c>
      <c r="Z529" s="12">
        <f>_xlfn.XLOOKUP(Cleaned_data[[#This Row],[SKU]],Products[SKU],Products[Standard_Cost])</f>
        <v>48</v>
      </c>
      <c r="AA529" s="10">
        <f>Cleaned_data[[#This Row],[Quantity]]*Cleaned_data[[#This Row],[Unit_Price]]</f>
        <v>90.61</v>
      </c>
      <c r="AB529" s="10">
        <f>Cleaned_data[[#This Row],[Unit_Price]]*Cleaned_data[[#This Row],[Discount_Pct]]</f>
        <v>5.4365999999999994</v>
      </c>
      <c r="AC529" s="10">
        <f>Cleaned_data[[#This Row],[Gross Sales]]-Cleaned_data[[#This Row],[Discount amount]]</f>
        <v>85.173400000000001</v>
      </c>
      <c r="AD529" s="10">
        <f>Cleaned_data[[#This Row],[Product Cost]]*Cleaned_data[[#This Row],[Quantity]]</f>
        <v>48</v>
      </c>
      <c r="AE529" s="10">
        <f>Cleaned_data[[#This Row],[Net Sales]]-Cleaned_data[[#This Row],[COGS]]</f>
        <v>37.173400000000001</v>
      </c>
      <c r="AF529" s="11">
        <f>Cleaned_data[[#This Row],[Gross Profit]]/Cleaned_data[[#This Row],[Net Sales]]</f>
        <v>0.43644377235146187</v>
      </c>
      <c r="AG529">
        <f>Cleaned_data[[#This Row],[Ship_Date]]-Cleaned_data[[#This Row],[Order_Date]]</f>
        <v>7</v>
      </c>
      <c r="AH529" t="str">
        <f>IF(Cleaned_data[[#This Row],[Delivery Days]]&gt;10,"late","on time")</f>
        <v>on time</v>
      </c>
      <c r="AI529" t="str">
        <f>TEXT(Cleaned_data[[#This Row],[Order_Date]],"mmmm")</f>
        <v>June</v>
      </c>
      <c r="AJ529" s="9" t="str">
        <f>"Q"&amp;ROUNDUP(MONTH(Cleaned_data[[#This Row],[Order_Date]])/3,0)</f>
        <v>Q2</v>
      </c>
    </row>
    <row r="530" spans="1:36">
      <c r="A530" t="s">
        <v>1019</v>
      </c>
      <c r="B530" s="9">
        <v>45839</v>
      </c>
      <c r="C530" s="9">
        <v>45845</v>
      </c>
      <c r="D530" t="s">
        <v>96</v>
      </c>
      <c r="E530" t="s">
        <v>97</v>
      </c>
      <c r="F530" t="s">
        <v>74</v>
      </c>
      <c r="G530" t="s">
        <v>75</v>
      </c>
      <c r="H530" t="s">
        <v>98</v>
      </c>
      <c r="I530" t="s">
        <v>99</v>
      </c>
      <c r="J530" t="s">
        <v>129</v>
      </c>
      <c r="K530" t="s">
        <v>79</v>
      </c>
      <c r="L530" t="s">
        <v>207</v>
      </c>
      <c r="M530" t="s">
        <v>208</v>
      </c>
      <c r="N530" t="s">
        <v>120</v>
      </c>
      <c r="O530" t="s">
        <v>164</v>
      </c>
      <c r="P530" s="8">
        <v>2</v>
      </c>
      <c r="Q530" s="10">
        <v>1394.97</v>
      </c>
      <c r="R530" s="11">
        <v>0.23</v>
      </c>
      <c r="S530" s="10">
        <v>8.85</v>
      </c>
      <c r="T530" t="s">
        <v>84</v>
      </c>
      <c r="U530" t="s">
        <v>85</v>
      </c>
      <c r="V530" s="8">
        <v>4</v>
      </c>
      <c r="W530" t="s">
        <v>1270</v>
      </c>
      <c r="X530" t="str">
        <f>_xlfn.XLOOKUP(Cleaned_data[[#This Row],[Customer_ID]],Customers[S],Customers[Loyalty_Tier])</f>
        <v>Platinum</v>
      </c>
      <c r="Y530" s="9">
        <f>_xlfn.XLOOKUP(Cleaned_data[[#This Row],[Customer_ID]],Customers[S],Customers[Signup_Date])</f>
        <v>44461</v>
      </c>
      <c r="Z530" s="12">
        <f>_xlfn.XLOOKUP(Cleaned_data[[#This Row],[SKU]],Products[SKU],Products[Standard_Cost])</f>
        <v>885</v>
      </c>
      <c r="AA530" s="10">
        <f>Cleaned_data[[#This Row],[Quantity]]*Cleaned_data[[#This Row],[Unit_Price]]</f>
        <v>2789.94</v>
      </c>
      <c r="AB530" s="10">
        <f>Cleaned_data[[#This Row],[Unit_Price]]*Cleaned_data[[#This Row],[Discount_Pct]]</f>
        <v>320.84309999999999</v>
      </c>
      <c r="AC530" s="10">
        <f>Cleaned_data[[#This Row],[Gross Sales]]-Cleaned_data[[#This Row],[Discount amount]]</f>
        <v>2469.0969</v>
      </c>
      <c r="AD530" s="10">
        <f>Cleaned_data[[#This Row],[Product Cost]]*Cleaned_data[[#This Row],[Quantity]]</f>
        <v>1770</v>
      </c>
      <c r="AE530" s="10">
        <f>Cleaned_data[[#This Row],[Net Sales]]-Cleaned_data[[#This Row],[COGS]]</f>
        <v>699.09690000000001</v>
      </c>
      <c r="AF530" s="11">
        <f>Cleaned_data[[#This Row],[Gross Profit]]/Cleaned_data[[#This Row],[Net Sales]]</f>
        <v>0.28313870549187437</v>
      </c>
      <c r="AG530">
        <f>Cleaned_data[[#This Row],[Ship_Date]]-Cleaned_data[[#This Row],[Order_Date]]</f>
        <v>6</v>
      </c>
      <c r="AH530" t="str">
        <f>IF(Cleaned_data[[#This Row],[Delivery Days]]&gt;10,"late","on time")</f>
        <v>on time</v>
      </c>
      <c r="AI530" t="str">
        <f>TEXT(Cleaned_data[[#This Row],[Order_Date]],"mmmm")</f>
        <v>July</v>
      </c>
      <c r="AJ530" s="9" t="str">
        <f>"Q"&amp;ROUNDUP(MONTH(Cleaned_data[[#This Row],[Order_Date]])/3,0)</f>
        <v>Q3</v>
      </c>
    </row>
    <row r="531" spans="1:36">
      <c r="A531" t="s">
        <v>1020</v>
      </c>
      <c r="B531" s="9">
        <v>45840</v>
      </c>
      <c r="C531" s="9">
        <v>45848</v>
      </c>
      <c r="D531" t="s">
        <v>767</v>
      </c>
      <c r="E531" t="s">
        <v>617</v>
      </c>
      <c r="F531" t="s">
        <v>74</v>
      </c>
      <c r="G531" t="s">
        <v>138</v>
      </c>
      <c r="H531" t="s">
        <v>457</v>
      </c>
      <c r="I531" t="s">
        <v>458</v>
      </c>
      <c r="J531" t="s">
        <v>219</v>
      </c>
      <c r="K531" t="s">
        <v>79</v>
      </c>
      <c r="L531" t="s">
        <v>101</v>
      </c>
      <c r="M531" t="s">
        <v>102</v>
      </c>
      <c r="N531" t="s">
        <v>103</v>
      </c>
      <c r="O531" t="s">
        <v>104</v>
      </c>
      <c r="P531" s="8">
        <v>10</v>
      </c>
      <c r="Q531" s="10">
        <v>72.849999999999994</v>
      </c>
      <c r="R531" s="11">
        <v>0</v>
      </c>
      <c r="S531" s="10">
        <v>9.6</v>
      </c>
      <c r="T531" t="s">
        <v>134</v>
      </c>
      <c r="U531" t="s">
        <v>85</v>
      </c>
      <c r="V531" s="8">
        <v>2</v>
      </c>
      <c r="W531" t="s">
        <v>1270</v>
      </c>
      <c r="X531" t="str">
        <f>_xlfn.XLOOKUP(Cleaned_data[[#This Row],[Customer_ID]],Customers[S],Customers[Loyalty_Tier])</f>
        <v>Platinum</v>
      </c>
      <c r="Y531" s="9">
        <f>_xlfn.XLOOKUP(Cleaned_data[[#This Row],[Customer_ID]],Customers[S],Customers[Signup_Date])</f>
        <v>45269</v>
      </c>
      <c r="Z531" s="12">
        <f>_xlfn.XLOOKUP(Cleaned_data[[#This Row],[SKU]],Products[SKU],Products[Standard_Cost])</f>
        <v>36</v>
      </c>
      <c r="AA531" s="10">
        <f>Cleaned_data[[#This Row],[Quantity]]*Cleaned_data[[#This Row],[Unit_Price]]</f>
        <v>728.5</v>
      </c>
      <c r="AB531" s="10">
        <f>Cleaned_data[[#This Row],[Unit_Price]]*Cleaned_data[[#This Row],[Discount_Pct]]</f>
        <v>0</v>
      </c>
      <c r="AC531" s="10">
        <f>Cleaned_data[[#This Row],[Gross Sales]]-Cleaned_data[[#This Row],[Discount amount]]</f>
        <v>728.5</v>
      </c>
      <c r="AD531" s="10">
        <f>Cleaned_data[[#This Row],[Product Cost]]*Cleaned_data[[#This Row],[Quantity]]</f>
        <v>360</v>
      </c>
      <c r="AE531" s="10">
        <f>Cleaned_data[[#This Row],[Net Sales]]-Cleaned_data[[#This Row],[COGS]]</f>
        <v>368.5</v>
      </c>
      <c r="AF531" s="11">
        <f>Cleaned_data[[#This Row],[Gross Profit]]/Cleaned_data[[#This Row],[Net Sales]]</f>
        <v>0.50583390528483185</v>
      </c>
      <c r="AG531">
        <f>Cleaned_data[[#This Row],[Ship_Date]]-Cleaned_data[[#This Row],[Order_Date]]</f>
        <v>8</v>
      </c>
      <c r="AH531" t="str">
        <f>IF(Cleaned_data[[#This Row],[Delivery Days]]&gt;10,"late","on time")</f>
        <v>on time</v>
      </c>
      <c r="AI531" t="str">
        <f>TEXT(Cleaned_data[[#This Row],[Order_Date]],"mmmm")</f>
        <v>July</v>
      </c>
      <c r="AJ531" s="9" t="str">
        <f>"Q"&amp;ROUNDUP(MONTH(Cleaned_data[[#This Row],[Order_Date]])/3,0)</f>
        <v>Q3</v>
      </c>
    </row>
    <row r="532" spans="1:36">
      <c r="A532" t="s">
        <v>1021</v>
      </c>
      <c r="B532" s="9">
        <v>45840</v>
      </c>
      <c r="C532" s="9">
        <v>45842</v>
      </c>
      <c r="D532" t="s">
        <v>771</v>
      </c>
      <c r="E532" t="s">
        <v>772</v>
      </c>
      <c r="F532" t="s">
        <v>74</v>
      </c>
      <c r="G532" t="s">
        <v>126</v>
      </c>
      <c r="H532" t="s">
        <v>127</v>
      </c>
      <c r="I532" t="s">
        <v>128</v>
      </c>
      <c r="J532" t="s">
        <v>78</v>
      </c>
      <c r="K532" t="s">
        <v>90</v>
      </c>
      <c r="L532" t="s">
        <v>359</v>
      </c>
      <c r="M532" t="s">
        <v>360</v>
      </c>
      <c r="N532" t="s">
        <v>93</v>
      </c>
      <c r="O532" t="s">
        <v>94</v>
      </c>
      <c r="P532" s="8">
        <v>2</v>
      </c>
      <c r="Q532" s="10">
        <v>446.93</v>
      </c>
      <c r="R532" s="11">
        <v>0.06</v>
      </c>
      <c r="S532" s="10">
        <v>20.97</v>
      </c>
      <c r="T532" t="s">
        <v>84</v>
      </c>
      <c r="U532" t="s">
        <v>85</v>
      </c>
      <c r="V532" s="8">
        <v>3</v>
      </c>
      <c r="W532" t="s">
        <v>1270</v>
      </c>
      <c r="X532" t="str">
        <f>_xlfn.XLOOKUP(Cleaned_data[[#This Row],[Customer_ID]],Customers[S],Customers[Loyalty_Tier])</f>
        <v>Bronze</v>
      </c>
      <c r="Y532" s="9">
        <f>_xlfn.XLOOKUP(Cleaned_data[[#This Row],[Customer_ID]],Customers[S],Customers[Signup_Date])</f>
        <v>45891</v>
      </c>
      <c r="Z532" s="12">
        <f>_xlfn.XLOOKUP(Cleaned_data[[#This Row],[SKU]],Products[SKU],Products[Standard_Cost])</f>
        <v>265</v>
      </c>
      <c r="AA532" s="10">
        <f>Cleaned_data[[#This Row],[Quantity]]*Cleaned_data[[#This Row],[Unit_Price]]</f>
        <v>893.86</v>
      </c>
      <c r="AB532" s="10">
        <f>Cleaned_data[[#This Row],[Unit_Price]]*Cleaned_data[[#This Row],[Discount_Pct]]</f>
        <v>26.815799999999999</v>
      </c>
      <c r="AC532" s="10">
        <f>Cleaned_data[[#This Row],[Gross Sales]]-Cleaned_data[[#This Row],[Discount amount]]</f>
        <v>867.04420000000005</v>
      </c>
      <c r="AD532" s="10">
        <f>Cleaned_data[[#This Row],[Product Cost]]*Cleaned_data[[#This Row],[Quantity]]</f>
        <v>530</v>
      </c>
      <c r="AE532" s="10">
        <f>Cleaned_data[[#This Row],[Net Sales]]-Cleaned_data[[#This Row],[COGS]]</f>
        <v>337.04420000000005</v>
      </c>
      <c r="AF532" s="11">
        <f>Cleaned_data[[#This Row],[Gross Profit]]/Cleaned_data[[#This Row],[Net Sales]]</f>
        <v>0.38872781802819284</v>
      </c>
      <c r="AG532">
        <f>Cleaned_data[[#This Row],[Ship_Date]]-Cleaned_data[[#This Row],[Order_Date]]</f>
        <v>2</v>
      </c>
      <c r="AH532" t="str">
        <f>IF(Cleaned_data[[#This Row],[Delivery Days]]&gt;10,"late","on time")</f>
        <v>on time</v>
      </c>
      <c r="AI532" t="str">
        <f>TEXT(Cleaned_data[[#This Row],[Order_Date]],"mmmm")</f>
        <v>July</v>
      </c>
      <c r="AJ532" s="9" t="str">
        <f>"Q"&amp;ROUNDUP(MONTH(Cleaned_data[[#This Row],[Order_Date]])/3,0)</f>
        <v>Q3</v>
      </c>
    </row>
    <row r="533" spans="1:36">
      <c r="A533" t="s">
        <v>1022</v>
      </c>
      <c r="B533" s="9">
        <v>45844</v>
      </c>
      <c r="C533" s="9">
        <v>45854</v>
      </c>
      <c r="D533" t="s">
        <v>971</v>
      </c>
      <c r="E533" t="s">
        <v>631</v>
      </c>
      <c r="F533" t="s">
        <v>152</v>
      </c>
      <c r="G533" t="s">
        <v>194</v>
      </c>
      <c r="H533" t="s">
        <v>240</v>
      </c>
      <c r="I533" t="s">
        <v>241</v>
      </c>
      <c r="J533" t="s">
        <v>109</v>
      </c>
      <c r="K533" t="s">
        <v>168</v>
      </c>
      <c r="L533" t="s">
        <v>284</v>
      </c>
      <c r="M533" t="s">
        <v>285</v>
      </c>
      <c r="N533" t="s">
        <v>103</v>
      </c>
      <c r="O533" t="s">
        <v>143</v>
      </c>
      <c r="P533" s="8">
        <v>9</v>
      </c>
      <c r="Q533" s="10">
        <v>26.47</v>
      </c>
      <c r="R533" s="11">
        <v>0.02</v>
      </c>
      <c r="S533" s="10">
        <v>13.15</v>
      </c>
      <c r="T533" t="s">
        <v>84</v>
      </c>
      <c r="U533" t="s">
        <v>85</v>
      </c>
      <c r="V533" s="8">
        <v>3</v>
      </c>
      <c r="W533" t="s">
        <v>1270</v>
      </c>
      <c r="X533" t="str">
        <f>_xlfn.XLOOKUP(Cleaned_data[[#This Row],[Customer_ID]],Customers[S],Customers[Loyalty_Tier])</f>
        <v>Bronze</v>
      </c>
      <c r="Y533" s="9">
        <f>_xlfn.XLOOKUP(Cleaned_data[[#This Row],[Customer_ID]],Customers[S],Customers[Signup_Date])</f>
        <v>45385</v>
      </c>
      <c r="Z533" s="12">
        <f>_xlfn.XLOOKUP(Cleaned_data[[#This Row],[SKU]],Products[SKU],Products[Standard_Cost])</f>
        <v>14</v>
      </c>
      <c r="AA533" s="10">
        <f>Cleaned_data[[#This Row],[Quantity]]*Cleaned_data[[#This Row],[Unit_Price]]</f>
        <v>238.23</v>
      </c>
      <c r="AB533" s="10">
        <f>Cleaned_data[[#This Row],[Unit_Price]]*Cleaned_data[[#This Row],[Discount_Pct]]</f>
        <v>0.52939999999999998</v>
      </c>
      <c r="AC533" s="10">
        <f>Cleaned_data[[#This Row],[Gross Sales]]-Cleaned_data[[#This Row],[Discount amount]]</f>
        <v>237.70059999999998</v>
      </c>
      <c r="AD533" s="10">
        <f>Cleaned_data[[#This Row],[Product Cost]]*Cleaned_data[[#This Row],[Quantity]]</f>
        <v>126</v>
      </c>
      <c r="AE533" s="10">
        <f>Cleaned_data[[#This Row],[Net Sales]]-Cleaned_data[[#This Row],[COGS]]</f>
        <v>111.70059999999998</v>
      </c>
      <c r="AF533" s="11">
        <f>Cleaned_data[[#This Row],[Gross Profit]]/Cleaned_data[[#This Row],[Net Sales]]</f>
        <v>0.46992140533090782</v>
      </c>
      <c r="AG533">
        <f>Cleaned_data[[#This Row],[Ship_Date]]-Cleaned_data[[#This Row],[Order_Date]]</f>
        <v>10</v>
      </c>
      <c r="AH533" t="str">
        <f>IF(Cleaned_data[[#This Row],[Delivery Days]]&gt;10,"late","on time")</f>
        <v>on time</v>
      </c>
      <c r="AI533" t="str">
        <f>TEXT(Cleaned_data[[#This Row],[Order_Date]],"mmmm")</f>
        <v>July</v>
      </c>
      <c r="AJ533" s="9" t="str">
        <f>"Q"&amp;ROUNDUP(MONTH(Cleaned_data[[#This Row],[Order_Date]])/3,0)</f>
        <v>Q3</v>
      </c>
    </row>
    <row r="534" spans="1:36">
      <c r="A534" t="s">
        <v>1023</v>
      </c>
      <c r="B534" s="9">
        <v>45845</v>
      </c>
      <c r="C534" s="9">
        <v>45848</v>
      </c>
      <c r="D534" t="s">
        <v>490</v>
      </c>
      <c r="E534" t="s">
        <v>491</v>
      </c>
      <c r="F534" t="s">
        <v>152</v>
      </c>
      <c r="G534" t="s">
        <v>194</v>
      </c>
      <c r="H534" t="s">
        <v>202</v>
      </c>
      <c r="I534" t="s">
        <v>203</v>
      </c>
      <c r="J534" t="s">
        <v>78</v>
      </c>
      <c r="K534" t="s">
        <v>100</v>
      </c>
      <c r="L534" t="s">
        <v>188</v>
      </c>
      <c r="M534" t="s">
        <v>189</v>
      </c>
      <c r="N534" t="s">
        <v>120</v>
      </c>
      <c r="O534" t="s">
        <v>190</v>
      </c>
      <c r="P534" s="8">
        <v>2</v>
      </c>
      <c r="Q534" s="10">
        <v>55.91</v>
      </c>
      <c r="R534" s="11">
        <v>0.27</v>
      </c>
      <c r="S534" s="10">
        <v>17.190000000000001</v>
      </c>
      <c r="T534" t="s">
        <v>122</v>
      </c>
      <c r="U534" t="s">
        <v>85</v>
      </c>
      <c r="V534" s="8">
        <v>2</v>
      </c>
      <c r="W534" t="s">
        <v>1270</v>
      </c>
      <c r="X534" t="str">
        <f>_xlfn.XLOOKUP(Cleaned_data[[#This Row],[Customer_ID]],Customers[S],Customers[Loyalty_Tier])</f>
        <v>Gold</v>
      </c>
      <c r="Y534" s="9">
        <f>_xlfn.XLOOKUP(Cleaned_data[[#This Row],[Customer_ID]],Customers[S],Customers[Signup_Date])</f>
        <v>44414</v>
      </c>
      <c r="Z534" s="12">
        <f>_xlfn.XLOOKUP(Cleaned_data[[#This Row],[SKU]],Products[SKU],Products[Standard_Cost])</f>
        <v>28</v>
      </c>
      <c r="AA534" s="10">
        <f>Cleaned_data[[#This Row],[Quantity]]*Cleaned_data[[#This Row],[Unit_Price]]</f>
        <v>111.82</v>
      </c>
      <c r="AB534" s="10">
        <f>Cleaned_data[[#This Row],[Unit_Price]]*Cleaned_data[[#This Row],[Discount_Pct]]</f>
        <v>15.095700000000001</v>
      </c>
      <c r="AC534" s="10">
        <f>Cleaned_data[[#This Row],[Gross Sales]]-Cleaned_data[[#This Row],[Discount amount]]</f>
        <v>96.724299999999999</v>
      </c>
      <c r="AD534" s="10">
        <f>Cleaned_data[[#This Row],[Product Cost]]*Cleaned_data[[#This Row],[Quantity]]</f>
        <v>56</v>
      </c>
      <c r="AE534" s="10">
        <f>Cleaned_data[[#This Row],[Net Sales]]-Cleaned_data[[#This Row],[COGS]]</f>
        <v>40.724299999999999</v>
      </c>
      <c r="AF534" s="11">
        <f>Cleaned_data[[#This Row],[Gross Profit]]/Cleaned_data[[#This Row],[Net Sales]]</f>
        <v>0.42103483819474524</v>
      </c>
      <c r="AG534">
        <f>Cleaned_data[[#This Row],[Ship_Date]]-Cleaned_data[[#This Row],[Order_Date]]</f>
        <v>3</v>
      </c>
      <c r="AH534" t="str">
        <f>IF(Cleaned_data[[#This Row],[Delivery Days]]&gt;10,"late","on time")</f>
        <v>on time</v>
      </c>
      <c r="AI534" t="str">
        <f>TEXT(Cleaned_data[[#This Row],[Order_Date]],"mmmm")</f>
        <v>July</v>
      </c>
      <c r="AJ534" s="9" t="str">
        <f>"Q"&amp;ROUNDUP(MONTH(Cleaned_data[[#This Row],[Order_Date]])/3,0)</f>
        <v>Q3</v>
      </c>
    </row>
    <row r="535" spans="1:36">
      <c r="A535" t="s">
        <v>1024</v>
      </c>
      <c r="B535" s="9">
        <v>45847</v>
      </c>
      <c r="C535" s="9">
        <v>45850</v>
      </c>
      <c r="D535" t="s">
        <v>849</v>
      </c>
      <c r="E535" t="s">
        <v>137</v>
      </c>
      <c r="F535" t="s">
        <v>152</v>
      </c>
      <c r="G535" t="s">
        <v>126</v>
      </c>
      <c r="H535" t="s">
        <v>160</v>
      </c>
      <c r="I535" t="s">
        <v>161</v>
      </c>
      <c r="J535" t="s">
        <v>219</v>
      </c>
      <c r="K535" t="s">
        <v>100</v>
      </c>
      <c r="L535" t="s">
        <v>141</v>
      </c>
      <c r="M535" t="s">
        <v>142</v>
      </c>
      <c r="N535" t="s">
        <v>103</v>
      </c>
      <c r="O535" t="s">
        <v>143</v>
      </c>
      <c r="P535" s="8">
        <v>9</v>
      </c>
      <c r="Q535" s="10">
        <v>35.14</v>
      </c>
      <c r="R535" s="11">
        <v>0.09</v>
      </c>
      <c r="S535" s="10">
        <v>11.74</v>
      </c>
      <c r="T535" t="s">
        <v>122</v>
      </c>
      <c r="U535" t="s">
        <v>85</v>
      </c>
      <c r="V535" s="8">
        <v>5</v>
      </c>
      <c r="W535" t="s">
        <v>1270</v>
      </c>
      <c r="X535" t="str">
        <f>_xlfn.XLOOKUP(Cleaned_data[[#This Row],[Customer_ID]],Customers[S],Customers[Loyalty_Tier])</f>
        <v>Gold</v>
      </c>
      <c r="Y535" s="9">
        <f>_xlfn.XLOOKUP(Cleaned_data[[#This Row],[Customer_ID]],Customers[S],Customers[Signup_Date])</f>
        <v>45677</v>
      </c>
      <c r="Z535" s="12">
        <f>_xlfn.XLOOKUP(Cleaned_data[[#This Row],[SKU]],Products[SKU],Products[Standard_Cost])</f>
        <v>18</v>
      </c>
      <c r="AA535" s="10">
        <f>Cleaned_data[[#This Row],[Quantity]]*Cleaned_data[[#This Row],[Unit_Price]]</f>
        <v>316.26</v>
      </c>
      <c r="AB535" s="10">
        <f>Cleaned_data[[#This Row],[Unit_Price]]*Cleaned_data[[#This Row],[Discount_Pct]]</f>
        <v>3.1625999999999999</v>
      </c>
      <c r="AC535" s="10">
        <f>Cleaned_data[[#This Row],[Gross Sales]]-Cleaned_data[[#This Row],[Discount amount]]</f>
        <v>313.09739999999999</v>
      </c>
      <c r="AD535" s="10">
        <f>Cleaned_data[[#This Row],[Product Cost]]*Cleaned_data[[#This Row],[Quantity]]</f>
        <v>162</v>
      </c>
      <c r="AE535" s="10">
        <f>Cleaned_data[[#This Row],[Net Sales]]-Cleaned_data[[#This Row],[COGS]]</f>
        <v>151.09739999999999</v>
      </c>
      <c r="AF535" s="11">
        <f>Cleaned_data[[#This Row],[Gross Profit]]/Cleaned_data[[#This Row],[Net Sales]]</f>
        <v>0.48258912402338694</v>
      </c>
      <c r="AG535">
        <f>Cleaned_data[[#This Row],[Ship_Date]]-Cleaned_data[[#This Row],[Order_Date]]</f>
        <v>3</v>
      </c>
      <c r="AH535" t="str">
        <f>IF(Cleaned_data[[#This Row],[Delivery Days]]&gt;10,"late","on time")</f>
        <v>on time</v>
      </c>
      <c r="AI535" t="str">
        <f>TEXT(Cleaned_data[[#This Row],[Order_Date]],"mmmm")</f>
        <v>July</v>
      </c>
      <c r="AJ535" s="9" t="str">
        <f>"Q"&amp;ROUNDUP(MONTH(Cleaned_data[[#This Row],[Order_Date]])/3,0)</f>
        <v>Q3</v>
      </c>
    </row>
    <row r="536" spans="1:36">
      <c r="A536" t="s">
        <v>1025</v>
      </c>
      <c r="B536" s="9">
        <v>45847</v>
      </c>
      <c r="C536" s="9">
        <v>45852</v>
      </c>
      <c r="D536" t="s">
        <v>180</v>
      </c>
      <c r="E536" t="s">
        <v>181</v>
      </c>
      <c r="F536" t="s">
        <v>74</v>
      </c>
      <c r="G536" t="s">
        <v>126</v>
      </c>
      <c r="H536" t="s">
        <v>160</v>
      </c>
      <c r="I536" t="s">
        <v>182</v>
      </c>
      <c r="J536" t="s">
        <v>219</v>
      </c>
      <c r="K536" t="s">
        <v>147</v>
      </c>
      <c r="L536" t="s">
        <v>141</v>
      </c>
      <c r="M536" t="s">
        <v>142</v>
      </c>
      <c r="N536" t="s">
        <v>103</v>
      </c>
      <c r="O536" t="s">
        <v>143</v>
      </c>
      <c r="P536" s="8">
        <v>6</v>
      </c>
      <c r="Q536" s="10">
        <v>34.19</v>
      </c>
      <c r="R536" s="11">
        <v>0.22</v>
      </c>
      <c r="S536" s="10">
        <v>13.83</v>
      </c>
      <c r="T536" t="s">
        <v>84</v>
      </c>
      <c r="U536" t="s">
        <v>85</v>
      </c>
      <c r="V536" s="8">
        <v>1</v>
      </c>
      <c r="W536" t="s">
        <v>1270</v>
      </c>
      <c r="X536" t="str">
        <f>_xlfn.XLOOKUP(Cleaned_data[[#This Row],[Customer_ID]],Customers[S],Customers[Loyalty_Tier])</f>
        <v>Gold</v>
      </c>
      <c r="Y536" s="9">
        <f>_xlfn.XLOOKUP(Cleaned_data[[#This Row],[Customer_ID]],Customers[S],Customers[Signup_Date])</f>
        <v>45931</v>
      </c>
      <c r="Z536" s="12">
        <f>_xlfn.XLOOKUP(Cleaned_data[[#This Row],[SKU]],Products[SKU],Products[Standard_Cost])</f>
        <v>18</v>
      </c>
      <c r="AA536" s="10">
        <f>Cleaned_data[[#This Row],[Quantity]]*Cleaned_data[[#This Row],[Unit_Price]]</f>
        <v>205.14</v>
      </c>
      <c r="AB536" s="10">
        <f>Cleaned_data[[#This Row],[Unit_Price]]*Cleaned_data[[#This Row],[Discount_Pct]]</f>
        <v>7.5217999999999998</v>
      </c>
      <c r="AC536" s="10">
        <f>Cleaned_data[[#This Row],[Gross Sales]]-Cleaned_data[[#This Row],[Discount amount]]</f>
        <v>197.61819999999997</v>
      </c>
      <c r="AD536" s="10">
        <f>Cleaned_data[[#This Row],[Product Cost]]*Cleaned_data[[#This Row],[Quantity]]</f>
        <v>108</v>
      </c>
      <c r="AE536" s="10">
        <f>Cleaned_data[[#This Row],[Net Sales]]-Cleaned_data[[#This Row],[COGS]]</f>
        <v>89.618199999999973</v>
      </c>
      <c r="AF536" s="11">
        <f>Cleaned_data[[#This Row],[Gross Profit]]/Cleaned_data[[#This Row],[Net Sales]]</f>
        <v>0.45349163184362568</v>
      </c>
      <c r="AG536">
        <f>Cleaned_data[[#This Row],[Ship_Date]]-Cleaned_data[[#This Row],[Order_Date]]</f>
        <v>5</v>
      </c>
      <c r="AH536" t="str">
        <f>IF(Cleaned_data[[#This Row],[Delivery Days]]&gt;10,"late","on time")</f>
        <v>on time</v>
      </c>
      <c r="AI536" t="str">
        <f>TEXT(Cleaned_data[[#This Row],[Order_Date]],"mmmm")</f>
        <v>July</v>
      </c>
      <c r="AJ536" s="9" t="str">
        <f>"Q"&amp;ROUNDUP(MONTH(Cleaned_data[[#This Row],[Order_Date]])/3,0)</f>
        <v>Q3</v>
      </c>
    </row>
    <row r="537" spans="1:36">
      <c r="A537" t="s">
        <v>1026</v>
      </c>
      <c r="B537" s="9">
        <v>45848</v>
      </c>
      <c r="C537" s="9">
        <v>45856</v>
      </c>
      <c r="D537" t="s">
        <v>500</v>
      </c>
      <c r="E537" t="s">
        <v>501</v>
      </c>
      <c r="F537" t="s">
        <v>152</v>
      </c>
      <c r="G537" t="s">
        <v>194</v>
      </c>
      <c r="H537" t="s">
        <v>202</v>
      </c>
      <c r="I537" t="s">
        <v>203</v>
      </c>
      <c r="J537" t="s">
        <v>109</v>
      </c>
      <c r="K537" t="s">
        <v>79</v>
      </c>
      <c r="L537" t="s">
        <v>162</v>
      </c>
      <c r="M537" t="s">
        <v>163</v>
      </c>
      <c r="N537" t="s">
        <v>120</v>
      </c>
      <c r="O537" t="s">
        <v>164</v>
      </c>
      <c r="P537" s="8">
        <v>4</v>
      </c>
      <c r="Q537" s="10">
        <v>924.03</v>
      </c>
      <c r="R537" s="11">
        <v>0</v>
      </c>
      <c r="S537" s="10">
        <v>7.91</v>
      </c>
      <c r="T537" t="s">
        <v>134</v>
      </c>
      <c r="U537" t="s">
        <v>85</v>
      </c>
      <c r="V537" s="8">
        <v>5</v>
      </c>
      <c r="W537" t="s">
        <v>1270</v>
      </c>
      <c r="X537" t="str">
        <f>_xlfn.XLOOKUP(Cleaned_data[[#This Row],[Customer_ID]],Customers[S],Customers[Loyalty_Tier])</f>
        <v>Gold</v>
      </c>
      <c r="Y537" s="9">
        <f>_xlfn.XLOOKUP(Cleaned_data[[#This Row],[Customer_ID]],Customers[S],Customers[Signup_Date])</f>
        <v>44897</v>
      </c>
      <c r="Z537" s="12">
        <f>_xlfn.XLOOKUP(Cleaned_data[[#This Row],[SKU]],Products[SKU],Products[Standard_Cost])</f>
        <v>585</v>
      </c>
      <c r="AA537" s="10">
        <f>Cleaned_data[[#This Row],[Quantity]]*Cleaned_data[[#This Row],[Unit_Price]]</f>
        <v>3696.12</v>
      </c>
      <c r="AB537" s="10">
        <f>Cleaned_data[[#This Row],[Unit_Price]]*Cleaned_data[[#This Row],[Discount_Pct]]</f>
        <v>0</v>
      </c>
      <c r="AC537" s="10">
        <f>Cleaned_data[[#This Row],[Gross Sales]]-Cleaned_data[[#This Row],[Discount amount]]</f>
        <v>3696.12</v>
      </c>
      <c r="AD537" s="10">
        <f>Cleaned_data[[#This Row],[Product Cost]]*Cleaned_data[[#This Row],[Quantity]]</f>
        <v>2340</v>
      </c>
      <c r="AE537" s="10">
        <f>Cleaned_data[[#This Row],[Net Sales]]-Cleaned_data[[#This Row],[COGS]]</f>
        <v>1356.12</v>
      </c>
      <c r="AF537" s="11">
        <f>Cleaned_data[[#This Row],[Gross Profit]]/Cleaned_data[[#This Row],[Net Sales]]</f>
        <v>0.3669036719587026</v>
      </c>
      <c r="AG537">
        <f>Cleaned_data[[#This Row],[Ship_Date]]-Cleaned_data[[#This Row],[Order_Date]]</f>
        <v>8</v>
      </c>
      <c r="AH537" t="str">
        <f>IF(Cleaned_data[[#This Row],[Delivery Days]]&gt;10,"late","on time")</f>
        <v>on time</v>
      </c>
      <c r="AI537" t="str">
        <f>TEXT(Cleaned_data[[#This Row],[Order_Date]],"mmmm")</f>
        <v>July</v>
      </c>
      <c r="AJ537" s="9" t="str">
        <f>"Q"&amp;ROUNDUP(MONTH(Cleaned_data[[#This Row],[Order_Date]])/3,0)</f>
        <v>Q3</v>
      </c>
    </row>
    <row r="538" spans="1:36">
      <c r="A538" t="s">
        <v>1027</v>
      </c>
      <c r="B538" s="9">
        <v>45848</v>
      </c>
      <c r="C538" s="9">
        <v>45849</v>
      </c>
      <c r="D538" t="s">
        <v>366</v>
      </c>
      <c r="E538" t="s">
        <v>342</v>
      </c>
      <c r="F538" t="s">
        <v>89</v>
      </c>
      <c r="G538" t="s">
        <v>194</v>
      </c>
      <c r="H538" t="s">
        <v>230</v>
      </c>
      <c r="I538" t="s">
        <v>231</v>
      </c>
      <c r="J538" t="s">
        <v>78</v>
      </c>
      <c r="K538" t="s">
        <v>100</v>
      </c>
      <c r="L538" t="s">
        <v>155</v>
      </c>
      <c r="M538" t="s">
        <v>156</v>
      </c>
      <c r="N538" t="s">
        <v>82</v>
      </c>
      <c r="O538" t="s">
        <v>112</v>
      </c>
      <c r="P538" s="8">
        <v>10</v>
      </c>
      <c r="Q538" s="10">
        <v>172.32</v>
      </c>
      <c r="R538" s="11">
        <v>0</v>
      </c>
      <c r="S538" s="10">
        <v>14.38</v>
      </c>
      <c r="T538" t="s">
        <v>134</v>
      </c>
      <c r="U538" t="s">
        <v>85</v>
      </c>
      <c r="V538" s="8">
        <v>2</v>
      </c>
      <c r="W538" t="s">
        <v>1270</v>
      </c>
      <c r="X538" t="str">
        <f>_xlfn.XLOOKUP(Cleaned_data[[#This Row],[Customer_ID]],Customers[S],Customers[Loyalty_Tier])</f>
        <v>Silver</v>
      </c>
      <c r="Y538" s="9">
        <f>_xlfn.XLOOKUP(Cleaned_data[[#This Row],[Customer_ID]],Customers[S],Customers[Signup_Date])</f>
        <v>45549</v>
      </c>
      <c r="Z538" s="12">
        <f>_xlfn.XLOOKUP(Cleaned_data[[#This Row],[SKU]],Products[SKU],Products[Standard_Cost])</f>
        <v>82</v>
      </c>
      <c r="AA538" s="10">
        <f>Cleaned_data[[#This Row],[Quantity]]*Cleaned_data[[#This Row],[Unit_Price]]</f>
        <v>1723.1999999999998</v>
      </c>
      <c r="AB538" s="10">
        <f>Cleaned_data[[#This Row],[Unit_Price]]*Cleaned_data[[#This Row],[Discount_Pct]]</f>
        <v>0</v>
      </c>
      <c r="AC538" s="10">
        <f>Cleaned_data[[#This Row],[Gross Sales]]-Cleaned_data[[#This Row],[Discount amount]]</f>
        <v>1723.1999999999998</v>
      </c>
      <c r="AD538" s="10">
        <f>Cleaned_data[[#This Row],[Product Cost]]*Cleaned_data[[#This Row],[Quantity]]</f>
        <v>820</v>
      </c>
      <c r="AE538" s="10">
        <f>Cleaned_data[[#This Row],[Net Sales]]-Cleaned_data[[#This Row],[COGS]]</f>
        <v>903.19999999999982</v>
      </c>
      <c r="AF538" s="11">
        <f>Cleaned_data[[#This Row],[Gross Profit]]/Cleaned_data[[#This Row],[Net Sales]]</f>
        <v>0.5241411327762302</v>
      </c>
      <c r="AG538">
        <f>Cleaned_data[[#This Row],[Ship_Date]]-Cleaned_data[[#This Row],[Order_Date]]</f>
        <v>1</v>
      </c>
      <c r="AH538" t="str">
        <f>IF(Cleaned_data[[#This Row],[Delivery Days]]&gt;10,"late","on time")</f>
        <v>on time</v>
      </c>
      <c r="AI538" t="str">
        <f>TEXT(Cleaned_data[[#This Row],[Order_Date]],"mmmm")</f>
        <v>July</v>
      </c>
      <c r="AJ538" s="9" t="str">
        <f>"Q"&amp;ROUNDUP(MONTH(Cleaned_data[[#This Row],[Order_Date]])/3,0)</f>
        <v>Q3</v>
      </c>
    </row>
    <row r="539" spans="1:36">
      <c r="A539" t="s">
        <v>1028</v>
      </c>
      <c r="B539" s="9">
        <v>45849</v>
      </c>
      <c r="C539" s="9">
        <v>45857</v>
      </c>
      <c r="D539" t="s">
        <v>396</v>
      </c>
      <c r="E539" t="s">
        <v>397</v>
      </c>
      <c r="F539" t="s">
        <v>152</v>
      </c>
      <c r="G539" t="s">
        <v>138</v>
      </c>
      <c r="H539" t="s">
        <v>186</v>
      </c>
      <c r="I539" t="s">
        <v>187</v>
      </c>
      <c r="J539" t="s">
        <v>219</v>
      </c>
      <c r="K539" t="s">
        <v>147</v>
      </c>
      <c r="L539" t="s">
        <v>249</v>
      </c>
      <c r="M539" t="s">
        <v>250</v>
      </c>
      <c r="N539" t="s">
        <v>103</v>
      </c>
      <c r="O539" t="s">
        <v>251</v>
      </c>
      <c r="P539" s="8">
        <v>2</v>
      </c>
      <c r="Q539" s="10">
        <v>22.75</v>
      </c>
      <c r="R539" s="11">
        <v>0.06</v>
      </c>
      <c r="S539" s="10">
        <v>15.63</v>
      </c>
      <c r="T539" t="s">
        <v>122</v>
      </c>
      <c r="U539" t="s">
        <v>85</v>
      </c>
      <c r="V539" s="8">
        <v>3</v>
      </c>
      <c r="W539" t="s">
        <v>1270</v>
      </c>
      <c r="X539" t="str">
        <f>_xlfn.XLOOKUP(Cleaned_data[[#This Row],[Customer_ID]],Customers[S],Customers[Loyalty_Tier])</f>
        <v>Gold</v>
      </c>
      <c r="Y539" s="9">
        <f>_xlfn.XLOOKUP(Cleaned_data[[#This Row],[Customer_ID]],Customers[S],Customers[Signup_Date])</f>
        <v>44818</v>
      </c>
      <c r="Z539" s="12">
        <f>_xlfn.XLOOKUP(Cleaned_data[[#This Row],[SKU]],Products[SKU],Products[Standard_Cost])</f>
        <v>10</v>
      </c>
      <c r="AA539" s="10">
        <f>Cleaned_data[[#This Row],[Quantity]]*Cleaned_data[[#This Row],[Unit_Price]]</f>
        <v>45.5</v>
      </c>
      <c r="AB539" s="10">
        <f>Cleaned_data[[#This Row],[Unit_Price]]*Cleaned_data[[#This Row],[Discount_Pct]]</f>
        <v>1.365</v>
      </c>
      <c r="AC539" s="10">
        <f>Cleaned_data[[#This Row],[Gross Sales]]-Cleaned_data[[#This Row],[Discount amount]]</f>
        <v>44.134999999999998</v>
      </c>
      <c r="AD539" s="10">
        <f>Cleaned_data[[#This Row],[Product Cost]]*Cleaned_data[[#This Row],[Quantity]]</f>
        <v>20</v>
      </c>
      <c r="AE539" s="10">
        <f>Cleaned_data[[#This Row],[Net Sales]]-Cleaned_data[[#This Row],[COGS]]</f>
        <v>24.134999999999998</v>
      </c>
      <c r="AF539" s="11">
        <f>Cleaned_data[[#This Row],[Gross Profit]]/Cleaned_data[[#This Row],[Net Sales]]</f>
        <v>0.54684490766964988</v>
      </c>
      <c r="AG539">
        <f>Cleaned_data[[#This Row],[Ship_Date]]-Cleaned_data[[#This Row],[Order_Date]]</f>
        <v>8</v>
      </c>
      <c r="AH539" t="str">
        <f>IF(Cleaned_data[[#This Row],[Delivery Days]]&gt;10,"late","on time")</f>
        <v>on time</v>
      </c>
      <c r="AI539" t="str">
        <f>TEXT(Cleaned_data[[#This Row],[Order_Date]],"mmmm")</f>
        <v>July</v>
      </c>
      <c r="AJ539" s="9" t="str">
        <f>"Q"&amp;ROUNDUP(MONTH(Cleaned_data[[#This Row],[Order_Date]])/3,0)</f>
        <v>Q3</v>
      </c>
    </row>
    <row r="540" spans="1:36">
      <c r="A540" t="s">
        <v>1029</v>
      </c>
      <c r="B540" s="9">
        <v>45850</v>
      </c>
      <c r="C540" s="9">
        <v>45859</v>
      </c>
      <c r="D540" t="s">
        <v>451</v>
      </c>
      <c r="E540" t="s">
        <v>452</v>
      </c>
      <c r="F540" t="s">
        <v>89</v>
      </c>
      <c r="G540" t="s">
        <v>126</v>
      </c>
      <c r="H540" t="s">
        <v>160</v>
      </c>
      <c r="I540" t="s">
        <v>161</v>
      </c>
      <c r="J540" t="s">
        <v>109</v>
      </c>
      <c r="K540" t="s">
        <v>147</v>
      </c>
      <c r="L540" t="s">
        <v>242</v>
      </c>
      <c r="M540" t="s">
        <v>243</v>
      </c>
      <c r="N540" t="s">
        <v>120</v>
      </c>
      <c r="O540" t="s">
        <v>133</v>
      </c>
      <c r="P540" s="8">
        <v>1</v>
      </c>
      <c r="Q540" s="10">
        <v>179.88</v>
      </c>
      <c r="R540" s="11">
        <v>0.06</v>
      </c>
      <c r="S540" s="10">
        <v>13.47</v>
      </c>
      <c r="T540" t="s">
        <v>134</v>
      </c>
      <c r="U540" t="s">
        <v>85</v>
      </c>
      <c r="V540" s="8">
        <v>3</v>
      </c>
      <c r="W540" t="s">
        <v>1270</v>
      </c>
      <c r="X540" t="str">
        <f>_xlfn.XLOOKUP(Cleaned_data[[#This Row],[Customer_ID]],Customers[S],Customers[Loyalty_Tier])</f>
        <v>Silver</v>
      </c>
      <c r="Y540" s="9">
        <f>_xlfn.XLOOKUP(Cleaned_data[[#This Row],[Customer_ID]],Customers[S],Customers[Signup_Date])</f>
        <v>45495</v>
      </c>
      <c r="Z540" s="12">
        <f>_xlfn.XLOOKUP(Cleaned_data[[#This Row],[SKU]],Products[SKU],Products[Standard_Cost])</f>
        <v>96</v>
      </c>
      <c r="AA540" s="10">
        <f>Cleaned_data[[#This Row],[Quantity]]*Cleaned_data[[#This Row],[Unit_Price]]</f>
        <v>179.88</v>
      </c>
      <c r="AB540" s="10">
        <f>Cleaned_data[[#This Row],[Unit_Price]]*Cleaned_data[[#This Row],[Discount_Pct]]</f>
        <v>10.7928</v>
      </c>
      <c r="AC540" s="10">
        <f>Cleaned_data[[#This Row],[Gross Sales]]-Cleaned_data[[#This Row],[Discount amount]]</f>
        <v>169.0872</v>
      </c>
      <c r="AD540" s="10">
        <f>Cleaned_data[[#This Row],[Product Cost]]*Cleaned_data[[#This Row],[Quantity]]</f>
        <v>96</v>
      </c>
      <c r="AE540" s="10">
        <f>Cleaned_data[[#This Row],[Net Sales]]-Cleaned_data[[#This Row],[COGS]]</f>
        <v>73.087199999999996</v>
      </c>
      <c r="AF540" s="11">
        <f>Cleaned_data[[#This Row],[Gross Profit]]/Cleaned_data[[#This Row],[Net Sales]]</f>
        <v>0.43224561054887656</v>
      </c>
      <c r="AG540">
        <f>Cleaned_data[[#This Row],[Ship_Date]]-Cleaned_data[[#This Row],[Order_Date]]</f>
        <v>9</v>
      </c>
      <c r="AH540" t="str">
        <f>IF(Cleaned_data[[#This Row],[Delivery Days]]&gt;10,"late","on time")</f>
        <v>on time</v>
      </c>
      <c r="AI540" t="str">
        <f>TEXT(Cleaned_data[[#This Row],[Order_Date]],"mmmm")</f>
        <v>July</v>
      </c>
      <c r="AJ540" s="9" t="str">
        <f>"Q"&amp;ROUNDUP(MONTH(Cleaned_data[[#This Row],[Order_Date]])/3,0)</f>
        <v>Q3</v>
      </c>
    </row>
    <row r="541" spans="1:36">
      <c r="A541" t="s">
        <v>1030</v>
      </c>
      <c r="B541" s="9">
        <v>45851</v>
      </c>
      <c r="C541" s="9">
        <v>45855</v>
      </c>
      <c r="D541" t="s">
        <v>659</v>
      </c>
      <c r="E541" t="s">
        <v>660</v>
      </c>
      <c r="F541" t="s">
        <v>74</v>
      </c>
      <c r="G541" t="s">
        <v>126</v>
      </c>
      <c r="H541" t="s">
        <v>291</v>
      </c>
      <c r="I541" t="s">
        <v>292</v>
      </c>
      <c r="J541" t="s">
        <v>219</v>
      </c>
      <c r="K541" t="s">
        <v>79</v>
      </c>
      <c r="L541" t="s">
        <v>175</v>
      </c>
      <c r="M541" t="s">
        <v>176</v>
      </c>
      <c r="N541" t="s">
        <v>93</v>
      </c>
      <c r="O541" t="s">
        <v>177</v>
      </c>
      <c r="P541" s="8">
        <v>1</v>
      </c>
      <c r="Q541" s="10">
        <v>167.83</v>
      </c>
      <c r="R541" s="11">
        <v>0.09</v>
      </c>
      <c r="S541" s="10">
        <v>25.47</v>
      </c>
      <c r="T541" t="s">
        <v>134</v>
      </c>
      <c r="U541" t="s">
        <v>85</v>
      </c>
      <c r="W541" t="s">
        <v>1270</v>
      </c>
      <c r="X541" t="str">
        <f>_xlfn.XLOOKUP(Cleaned_data[[#This Row],[Customer_ID]],Customers[S],Customers[Loyalty_Tier])</f>
        <v>Bronze</v>
      </c>
      <c r="Y541" s="9">
        <f>_xlfn.XLOOKUP(Cleaned_data[[#This Row],[Customer_ID]],Customers[S],Customers[Signup_Date])</f>
        <v>45255</v>
      </c>
      <c r="Z541" s="12">
        <f>_xlfn.XLOOKUP(Cleaned_data[[#This Row],[SKU]],Products[SKU],Products[Standard_Cost])</f>
        <v>88</v>
      </c>
      <c r="AA541" s="10">
        <f>Cleaned_data[[#This Row],[Quantity]]*Cleaned_data[[#This Row],[Unit_Price]]</f>
        <v>167.83</v>
      </c>
      <c r="AB541" s="10">
        <f>Cleaned_data[[#This Row],[Unit_Price]]*Cleaned_data[[#This Row],[Discount_Pct]]</f>
        <v>15.104700000000001</v>
      </c>
      <c r="AC541" s="10">
        <f>Cleaned_data[[#This Row],[Gross Sales]]-Cleaned_data[[#This Row],[Discount amount]]</f>
        <v>152.7253</v>
      </c>
      <c r="AD541" s="10">
        <f>Cleaned_data[[#This Row],[Product Cost]]*Cleaned_data[[#This Row],[Quantity]]</f>
        <v>88</v>
      </c>
      <c r="AE541" s="10">
        <f>Cleaned_data[[#This Row],[Net Sales]]-Cleaned_data[[#This Row],[COGS]]</f>
        <v>64.725300000000004</v>
      </c>
      <c r="AF541" s="11">
        <f>Cleaned_data[[#This Row],[Gross Profit]]/Cleaned_data[[#This Row],[Net Sales]]</f>
        <v>0.42380208125307334</v>
      </c>
      <c r="AG541">
        <f>Cleaned_data[[#This Row],[Ship_Date]]-Cleaned_data[[#This Row],[Order_Date]]</f>
        <v>4</v>
      </c>
      <c r="AH541" t="str">
        <f>IF(Cleaned_data[[#This Row],[Delivery Days]]&gt;10,"late","on time")</f>
        <v>on time</v>
      </c>
      <c r="AI541" t="str">
        <f>TEXT(Cleaned_data[[#This Row],[Order_Date]],"mmmm")</f>
        <v>July</v>
      </c>
      <c r="AJ541" s="9" t="str">
        <f>"Q"&amp;ROUNDUP(MONTH(Cleaned_data[[#This Row],[Order_Date]])/3,0)</f>
        <v>Q3</v>
      </c>
    </row>
    <row r="542" spans="1:36">
      <c r="A542" t="s">
        <v>1031</v>
      </c>
      <c r="B542" s="9">
        <v>45853</v>
      </c>
      <c r="C542" s="9">
        <v>45863</v>
      </c>
      <c r="D542" t="s">
        <v>107</v>
      </c>
      <c r="E542" t="s">
        <v>108</v>
      </c>
      <c r="F542" t="s">
        <v>74</v>
      </c>
      <c r="G542" t="s">
        <v>75</v>
      </c>
      <c r="H542" t="s">
        <v>98</v>
      </c>
      <c r="I542" t="s">
        <v>99</v>
      </c>
      <c r="J542" t="s">
        <v>78</v>
      </c>
      <c r="K542" t="s">
        <v>100</v>
      </c>
      <c r="L542" t="s">
        <v>284</v>
      </c>
      <c r="M542" t="s">
        <v>285</v>
      </c>
      <c r="N542" t="s">
        <v>103</v>
      </c>
      <c r="O542" t="s">
        <v>143</v>
      </c>
      <c r="P542" s="8">
        <v>5</v>
      </c>
      <c r="Q542" s="10">
        <v>28.48</v>
      </c>
      <c r="R542" s="11">
        <v>0.1</v>
      </c>
      <c r="S542" s="10">
        <v>11.56</v>
      </c>
      <c r="T542" t="s">
        <v>84</v>
      </c>
      <c r="U542" t="s">
        <v>85</v>
      </c>
      <c r="V542" s="8">
        <v>1</v>
      </c>
      <c r="W542" t="s">
        <v>1270</v>
      </c>
      <c r="X542" t="str">
        <f>_xlfn.XLOOKUP(Cleaned_data[[#This Row],[Customer_ID]],Customers[S],Customers[Loyalty_Tier])</f>
        <v>Silver</v>
      </c>
      <c r="Y542" s="9">
        <f>_xlfn.XLOOKUP(Cleaned_data[[#This Row],[Customer_ID]],Customers[S],Customers[Signup_Date])</f>
        <v>45435</v>
      </c>
      <c r="Z542" s="12">
        <f>_xlfn.XLOOKUP(Cleaned_data[[#This Row],[SKU]],Products[SKU],Products[Standard_Cost])</f>
        <v>14</v>
      </c>
      <c r="AA542" s="10">
        <f>Cleaned_data[[#This Row],[Quantity]]*Cleaned_data[[#This Row],[Unit_Price]]</f>
        <v>142.4</v>
      </c>
      <c r="AB542" s="10">
        <f>Cleaned_data[[#This Row],[Unit_Price]]*Cleaned_data[[#This Row],[Discount_Pct]]</f>
        <v>2.8480000000000003</v>
      </c>
      <c r="AC542" s="10">
        <f>Cleaned_data[[#This Row],[Gross Sales]]-Cleaned_data[[#This Row],[Discount amount]]</f>
        <v>139.55199999999999</v>
      </c>
      <c r="AD542" s="10">
        <f>Cleaned_data[[#This Row],[Product Cost]]*Cleaned_data[[#This Row],[Quantity]]</f>
        <v>70</v>
      </c>
      <c r="AE542" s="10">
        <f>Cleaned_data[[#This Row],[Net Sales]]-Cleaned_data[[#This Row],[COGS]]</f>
        <v>69.551999999999992</v>
      </c>
      <c r="AF542" s="11">
        <f>Cleaned_data[[#This Row],[Gross Profit]]/Cleaned_data[[#This Row],[Net Sales]]</f>
        <v>0.49839486356340285</v>
      </c>
      <c r="AG542">
        <f>Cleaned_data[[#This Row],[Ship_Date]]-Cleaned_data[[#This Row],[Order_Date]]</f>
        <v>10</v>
      </c>
      <c r="AH542" t="str">
        <f>IF(Cleaned_data[[#This Row],[Delivery Days]]&gt;10,"late","on time")</f>
        <v>on time</v>
      </c>
      <c r="AI542" t="str">
        <f>TEXT(Cleaned_data[[#This Row],[Order_Date]],"mmmm")</f>
        <v>July</v>
      </c>
      <c r="AJ542" s="9" t="str">
        <f>"Q"&amp;ROUNDUP(MONTH(Cleaned_data[[#This Row],[Order_Date]])/3,0)</f>
        <v>Q3</v>
      </c>
    </row>
    <row r="543" spans="1:36">
      <c r="A543" t="s">
        <v>1032</v>
      </c>
      <c r="B543" s="9">
        <v>45853</v>
      </c>
      <c r="C543" s="9">
        <v>45857</v>
      </c>
      <c r="D543" t="s">
        <v>448</v>
      </c>
      <c r="E543" t="s">
        <v>449</v>
      </c>
      <c r="F543" t="s">
        <v>89</v>
      </c>
      <c r="G543" t="s">
        <v>126</v>
      </c>
      <c r="H543" t="s">
        <v>160</v>
      </c>
      <c r="I543" t="s">
        <v>182</v>
      </c>
      <c r="J543" t="s">
        <v>109</v>
      </c>
      <c r="K543" t="s">
        <v>130</v>
      </c>
      <c r="L543" t="s">
        <v>197</v>
      </c>
      <c r="M543" t="s">
        <v>198</v>
      </c>
      <c r="N543" t="s">
        <v>120</v>
      </c>
      <c r="O543" t="s">
        <v>121</v>
      </c>
      <c r="P543" s="8">
        <v>2</v>
      </c>
      <c r="Q543" s="10">
        <v>528.41999999999996</v>
      </c>
      <c r="R543" s="11">
        <v>0.05</v>
      </c>
      <c r="S543" s="10">
        <v>18.68</v>
      </c>
      <c r="T543" t="s">
        <v>84</v>
      </c>
      <c r="U543" t="s">
        <v>85</v>
      </c>
      <c r="V543" s="8">
        <v>3</v>
      </c>
      <c r="W543" t="s">
        <v>1270</v>
      </c>
      <c r="X543" t="str">
        <f>_xlfn.XLOOKUP(Cleaned_data[[#This Row],[Customer_ID]],Customers[S],Customers[Loyalty_Tier])</f>
        <v>Bronze</v>
      </c>
      <c r="Y543" s="9">
        <f>_xlfn.XLOOKUP(Cleaned_data[[#This Row],[Customer_ID]],Customers[S],Customers[Signup_Date])</f>
        <v>44278</v>
      </c>
      <c r="Z543" s="12">
        <f>_xlfn.XLOOKUP(Cleaned_data[[#This Row],[SKU]],Products[SKU],Products[Standard_Cost])</f>
        <v>310</v>
      </c>
      <c r="AA543" s="10">
        <f>Cleaned_data[[#This Row],[Quantity]]*Cleaned_data[[#This Row],[Unit_Price]]</f>
        <v>1056.8399999999999</v>
      </c>
      <c r="AB543" s="10">
        <f>Cleaned_data[[#This Row],[Unit_Price]]*Cleaned_data[[#This Row],[Discount_Pct]]</f>
        <v>26.420999999999999</v>
      </c>
      <c r="AC543" s="10">
        <f>Cleaned_data[[#This Row],[Gross Sales]]-Cleaned_data[[#This Row],[Discount amount]]</f>
        <v>1030.4189999999999</v>
      </c>
      <c r="AD543" s="10">
        <f>Cleaned_data[[#This Row],[Product Cost]]*Cleaned_data[[#This Row],[Quantity]]</f>
        <v>620</v>
      </c>
      <c r="AE543" s="10">
        <f>Cleaned_data[[#This Row],[Net Sales]]-Cleaned_data[[#This Row],[COGS]]</f>
        <v>410.41899999999987</v>
      </c>
      <c r="AF543" s="11">
        <f>Cleaned_data[[#This Row],[Gross Profit]]/Cleaned_data[[#This Row],[Net Sales]]</f>
        <v>0.3983030204217895</v>
      </c>
      <c r="AG543">
        <f>Cleaned_data[[#This Row],[Ship_Date]]-Cleaned_data[[#This Row],[Order_Date]]</f>
        <v>4</v>
      </c>
      <c r="AH543" t="str">
        <f>IF(Cleaned_data[[#This Row],[Delivery Days]]&gt;10,"late","on time")</f>
        <v>on time</v>
      </c>
      <c r="AI543" t="str">
        <f>TEXT(Cleaned_data[[#This Row],[Order_Date]],"mmmm")</f>
        <v>July</v>
      </c>
      <c r="AJ543" s="9" t="str">
        <f>"Q"&amp;ROUNDUP(MONTH(Cleaned_data[[#This Row],[Order_Date]])/3,0)</f>
        <v>Q3</v>
      </c>
    </row>
    <row r="544" spans="1:36">
      <c r="A544" t="s">
        <v>1033</v>
      </c>
      <c r="B544" s="9">
        <v>45855</v>
      </c>
      <c r="C544" s="9">
        <v>45865</v>
      </c>
      <c r="D544" t="s">
        <v>445</v>
      </c>
      <c r="E544" t="s">
        <v>446</v>
      </c>
      <c r="F544" t="s">
        <v>152</v>
      </c>
      <c r="G544" t="s">
        <v>126</v>
      </c>
      <c r="H544" t="s">
        <v>160</v>
      </c>
      <c r="I544" t="s">
        <v>182</v>
      </c>
      <c r="J544" t="s">
        <v>129</v>
      </c>
      <c r="K544" t="s">
        <v>130</v>
      </c>
      <c r="L544" t="s">
        <v>91</v>
      </c>
      <c r="M544" t="s">
        <v>92</v>
      </c>
      <c r="N544" t="s">
        <v>93</v>
      </c>
      <c r="O544" t="s">
        <v>94</v>
      </c>
      <c r="P544" s="8">
        <v>3</v>
      </c>
      <c r="Q544" s="10">
        <v>315.64999999999998</v>
      </c>
      <c r="R544" s="11">
        <v>0.2</v>
      </c>
      <c r="S544" s="10">
        <v>28.18</v>
      </c>
      <c r="T544" t="s">
        <v>122</v>
      </c>
      <c r="U544" t="s">
        <v>85</v>
      </c>
      <c r="V544" s="8">
        <v>2</v>
      </c>
      <c r="W544" t="s">
        <v>1270</v>
      </c>
      <c r="X544" t="str">
        <f>_xlfn.XLOOKUP(Cleaned_data[[#This Row],[Customer_ID]],Customers[S],Customers[Loyalty_Tier])</f>
        <v>Bronze</v>
      </c>
      <c r="Y544" s="9">
        <f>_xlfn.XLOOKUP(Cleaned_data[[#This Row],[Customer_ID]],Customers[S],Customers[Signup_Date])</f>
        <v>45690</v>
      </c>
      <c r="Z544" s="12">
        <f>_xlfn.XLOOKUP(Cleaned_data[[#This Row],[SKU]],Products[SKU],Products[Standard_Cost])</f>
        <v>184</v>
      </c>
      <c r="AA544" s="10">
        <f>Cleaned_data[[#This Row],[Quantity]]*Cleaned_data[[#This Row],[Unit_Price]]</f>
        <v>946.94999999999993</v>
      </c>
      <c r="AB544" s="10">
        <f>Cleaned_data[[#This Row],[Unit_Price]]*Cleaned_data[[#This Row],[Discount_Pct]]</f>
        <v>63.129999999999995</v>
      </c>
      <c r="AC544" s="10">
        <f>Cleaned_data[[#This Row],[Gross Sales]]-Cleaned_data[[#This Row],[Discount amount]]</f>
        <v>883.81999999999994</v>
      </c>
      <c r="AD544" s="10">
        <f>Cleaned_data[[#This Row],[Product Cost]]*Cleaned_data[[#This Row],[Quantity]]</f>
        <v>552</v>
      </c>
      <c r="AE544" s="10">
        <f>Cleaned_data[[#This Row],[Net Sales]]-Cleaned_data[[#This Row],[COGS]]</f>
        <v>331.81999999999994</v>
      </c>
      <c r="AF544" s="11">
        <f>Cleaned_data[[#This Row],[Gross Profit]]/Cleaned_data[[#This Row],[Net Sales]]</f>
        <v>0.37543843769093249</v>
      </c>
      <c r="AG544">
        <f>Cleaned_data[[#This Row],[Ship_Date]]-Cleaned_data[[#This Row],[Order_Date]]</f>
        <v>10</v>
      </c>
      <c r="AH544" t="str">
        <f>IF(Cleaned_data[[#This Row],[Delivery Days]]&gt;10,"late","on time")</f>
        <v>on time</v>
      </c>
      <c r="AI544" t="str">
        <f>TEXT(Cleaned_data[[#This Row],[Order_Date]],"mmmm")</f>
        <v>July</v>
      </c>
      <c r="AJ544" s="9" t="str">
        <f>"Q"&amp;ROUNDUP(MONTH(Cleaned_data[[#This Row],[Order_Date]])/3,0)</f>
        <v>Q3</v>
      </c>
    </row>
    <row r="545" spans="1:36">
      <c r="A545" t="s">
        <v>1034</v>
      </c>
      <c r="B545" s="9">
        <v>45856</v>
      </c>
      <c r="C545" s="9">
        <v>45863</v>
      </c>
      <c r="D545" t="s">
        <v>621</v>
      </c>
      <c r="E545" t="s">
        <v>622</v>
      </c>
      <c r="F545" t="s">
        <v>74</v>
      </c>
      <c r="G545" t="s">
        <v>194</v>
      </c>
      <c r="H545" t="s">
        <v>230</v>
      </c>
      <c r="I545" t="s">
        <v>231</v>
      </c>
      <c r="J545" t="s">
        <v>109</v>
      </c>
      <c r="K545" t="s">
        <v>100</v>
      </c>
      <c r="L545" t="s">
        <v>284</v>
      </c>
      <c r="M545" t="s">
        <v>285</v>
      </c>
      <c r="N545" t="s">
        <v>103</v>
      </c>
      <c r="O545" t="s">
        <v>143</v>
      </c>
      <c r="P545" s="8">
        <v>6</v>
      </c>
      <c r="Q545" s="10">
        <v>27.14</v>
      </c>
      <c r="R545" s="11">
        <v>0.08</v>
      </c>
      <c r="S545" s="10">
        <v>5.24</v>
      </c>
      <c r="T545" t="s">
        <v>84</v>
      </c>
      <c r="U545" t="s">
        <v>85</v>
      </c>
      <c r="V545" s="8">
        <v>1</v>
      </c>
      <c r="W545" t="s">
        <v>1270</v>
      </c>
      <c r="X545" t="str">
        <f>_xlfn.XLOOKUP(Cleaned_data[[#This Row],[Customer_ID]],Customers[S],Customers[Loyalty_Tier])</f>
        <v>Gold</v>
      </c>
      <c r="Y545" s="9">
        <f>_xlfn.XLOOKUP(Cleaned_data[[#This Row],[Customer_ID]],Customers[S],Customers[Signup_Date])</f>
        <v>44796</v>
      </c>
      <c r="Z545" s="12">
        <f>_xlfn.XLOOKUP(Cleaned_data[[#This Row],[SKU]],Products[SKU],Products[Standard_Cost])</f>
        <v>14</v>
      </c>
      <c r="AA545" s="10">
        <f>Cleaned_data[[#This Row],[Quantity]]*Cleaned_data[[#This Row],[Unit_Price]]</f>
        <v>162.84</v>
      </c>
      <c r="AB545" s="10">
        <f>Cleaned_data[[#This Row],[Unit_Price]]*Cleaned_data[[#This Row],[Discount_Pct]]</f>
        <v>2.1712000000000002</v>
      </c>
      <c r="AC545" s="10">
        <f>Cleaned_data[[#This Row],[Gross Sales]]-Cleaned_data[[#This Row],[Discount amount]]</f>
        <v>160.6688</v>
      </c>
      <c r="AD545" s="10">
        <f>Cleaned_data[[#This Row],[Product Cost]]*Cleaned_data[[#This Row],[Quantity]]</f>
        <v>84</v>
      </c>
      <c r="AE545" s="10">
        <f>Cleaned_data[[#This Row],[Net Sales]]-Cleaned_data[[#This Row],[COGS]]</f>
        <v>76.668800000000005</v>
      </c>
      <c r="AF545" s="11">
        <f>Cleaned_data[[#This Row],[Gross Profit]]/Cleaned_data[[#This Row],[Net Sales]]</f>
        <v>0.47718536517357446</v>
      </c>
      <c r="AG545">
        <f>Cleaned_data[[#This Row],[Ship_Date]]-Cleaned_data[[#This Row],[Order_Date]]</f>
        <v>7</v>
      </c>
      <c r="AH545" t="str">
        <f>IF(Cleaned_data[[#This Row],[Delivery Days]]&gt;10,"late","on time")</f>
        <v>on time</v>
      </c>
      <c r="AI545" t="str">
        <f>TEXT(Cleaned_data[[#This Row],[Order_Date]],"mmmm")</f>
        <v>July</v>
      </c>
      <c r="AJ545" s="9" t="str">
        <f>"Q"&amp;ROUNDUP(MONTH(Cleaned_data[[#This Row],[Order_Date]])/3,0)</f>
        <v>Q3</v>
      </c>
    </row>
    <row r="546" spans="1:36">
      <c r="A546" t="s">
        <v>1035</v>
      </c>
      <c r="B546" s="9">
        <v>45856</v>
      </c>
      <c r="C546" s="9">
        <v>45868</v>
      </c>
      <c r="D546" t="s">
        <v>289</v>
      </c>
      <c r="E546" t="s">
        <v>290</v>
      </c>
      <c r="F546" t="s">
        <v>74</v>
      </c>
      <c r="G546" t="s">
        <v>126</v>
      </c>
      <c r="H546" t="s">
        <v>291</v>
      </c>
      <c r="I546" t="s">
        <v>292</v>
      </c>
      <c r="J546" t="s">
        <v>78</v>
      </c>
      <c r="K546" t="s">
        <v>130</v>
      </c>
      <c r="L546" t="s">
        <v>284</v>
      </c>
      <c r="M546" t="s">
        <v>285</v>
      </c>
      <c r="N546" t="s">
        <v>103</v>
      </c>
      <c r="O546" t="s">
        <v>143</v>
      </c>
      <c r="P546" s="8">
        <v>8</v>
      </c>
      <c r="Q546" s="10">
        <v>26.91</v>
      </c>
      <c r="R546" s="11">
        <v>0.05</v>
      </c>
      <c r="S546" s="10">
        <v>14.4</v>
      </c>
      <c r="T546" t="s">
        <v>122</v>
      </c>
      <c r="U546" t="s">
        <v>85</v>
      </c>
      <c r="V546" s="8">
        <v>3</v>
      </c>
      <c r="W546" t="s">
        <v>1270</v>
      </c>
      <c r="X546" t="str">
        <f>_xlfn.XLOOKUP(Cleaned_data[[#This Row],[Customer_ID]],Customers[S],Customers[Loyalty_Tier])</f>
        <v>Silver</v>
      </c>
      <c r="Y546" s="9">
        <f>_xlfn.XLOOKUP(Cleaned_data[[#This Row],[Customer_ID]],Customers[S],Customers[Signup_Date])</f>
        <v>44734</v>
      </c>
      <c r="Z546" s="12">
        <f>_xlfn.XLOOKUP(Cleaned_data[[#This Row],[SKU]],Products[SKU],Products[Standard_Cost])</f>
        <v>14</v>
      </c>
      <c r="AA546" s="10">
        <f>Cleaned_data[[#This Row],[Quantity]]*Cleaned_data[[#This Row],[Unit_Price]]</f>
        <v>215.28</v>
      </c>
      <c r="AB546" s="10">
        <f>Cleaned_data[[#This Row],[Unit_Price]]*Cleaned_data[[#This Row],[Discount_Pct]]</f>
        <v>1.3455000000000001</v>
      </c>
      <c r="AC546" s="10">
        <f>Cleaned_data[[#This Row],[Gross Sales]]-Cleaned_data[[#This Row],[Discount amount]]</f>
        <v>213.93450000000001</v>
      </c>
      <c r="AD546" s="10">
        <f>Cleaned_data[[#This Row],[Product Cost]]*Cleaned_data[[#This Row],[Quantity]]</f>
        <v>112</v>
      </c>
      <c r="AE546" s="10">
        <f>Cleaned_data[[#This Row],[Net Sales]]-Cleaned_data[[#This Row],[COGS]]</f>
        <v>101.93450000000001</v>
      </c>
      <c r="AF546" s="11">
        <f>Cleaned_data[[#This Row],[Gross Profit]]/Cleaned_data[[#This Row],[Net Sales]]</f>
        <v>0.47647527631120745</v>
      </c>
      <c r="AG546">
        <f>Cleaned_data[[#This Row],[Ship_Date]]-Cleaned_data[[#This Row],[Order_Date]]</f>
        <v>12</v>
      </c>
      <c r="AH546" t="str">
        <f>IF(Cleaned_data[[#This Row],[Delivery Days]]&gt;10,"late","on time")</f>
        <v>late</v>
      </c>
      <c r="AI546" t="str">
        <f>TEXT(Cleaned_data[[#This Row],[Order_Date]],"mmmm")</f>
        <v>July</v>
      </c>
      <c r="AJ546" s="9" t="str">
        <f>"Q"&amp;ROUNDUP(MONTH(Cleaned_data[[#This Row],[Order_Date]])/3,0)</f>
        <v>Q3</v>
      </c>
    </row>
    <row r="547" spans="1:36">
      <c r="A547" t="s">
        <v>1036</v>
      </c>
      <c r="B547" s="9">
        <v>45856</v>
      </c>
      <c r="C547" s="9">
        <v>45862</v>
      </c>
      <c r="D547" t="s">
        <v>504</v>
      </c>
      <c r="E547" t="s">
        <v>505</v>
      </c>
      <c r="F547" t="s">
        <v>74</v>
      </c>
      <c r="G547" t="s">
        <v>126</v>
      </c>
      <c r="H547" t="s">
        <v>160</v>
      </c>
      <c r="I547" t="s">
        <v>161</v>
      </c>
      <c r="J547" t="s">
        <v>78</v>
      </c>
      <c r="K547" t="s">
        <v>100</v>
      </c>
      <c r="L547" t="s">
        <v>155</v>
      </c>
      <c r="M547" t="s">
        <v>156</v>
      </c>
      <c r="N547" t="s">
        <v>82</v>
      </c>
      <c r="O547" t="s">
        <v>112</v>
      </c>
      <c r="P547" s="8">
        <v>1</v>
      </c>
      <c r="Q547" s="10">
        <v>169.35</v>
      </c>
      <c r="R547" s="11">
        <v>0.05</v>
      </c>
      <c r="S547" s="10">
        <v>5.49</v>
      </c>
      <c r="T547" t="s">
        <v>105</v>
      </c>
      <c r="U547" t="s">
        <v>85</v>
      </c>
      <c r="V547" s="8">
        <v>3</v>
      </c>
      <c r="W547" t="s">
        <v>1270</v>
      </c>
      <c r="X547" t="str">
        <f>_xlfn.XLOOKUP(Cleaned_data[[#This Row],[Customer_ID]],Customers[S],Customers[Loyalty_Tier])</f>
        <v>Bronze</v>
      </c>
      <c r="Y547" s="9">
        <f>_xlfn.XLOOKUP(Cleaned_data[[#This Row],[Customer_ID]],Customers[S],Customers[Signup_Date])</f>
        <v>44699</v>
      </c>
      <c r="Z547" s="12">
        <f>_xlfn.XLOOKUP(Cleaned_data[[#This Row],[SKU]],Products[SKU],Products[Standard_Cost])</f>
        <v>82</v>
      </c>
      <c r="AA547" s="10">
        <f>Cleaned_data[[#This Row],[Quantity]]*Cleaned_data[[#This Row],[Unit_Price]]</f>
        <v>169.35</v>
      </c>
      <c r="AB547" s="10">
        <f>Cleaned_data[[#This Row],[Unit_Price]]*Cleaned_data[[#This Row],[Discount_Pct]]</f>
        <v>8.4674999999999994</v>
      </c>
      <c r="AC547" s="10">
        <f>Cleaned_data[[#This Row],[Gross Sales]]-Cleaned_data[[#This Row],[Discount amount]]</f>
        <v>160.88249999999999</v>
      </c>
      <c r="AD547" s="10">
        <f>Cleaned_data[[#This Row],[Product Cost]]*Cleaned_data[[#This Row],[Quantity]]</f>
        <v>82</v>
      </c>
      <c r="AE547" s="10">
        <f>Cleaned_data[[#This Row],[Net Sales]]-Cleaned_data[[#This Row],[COGS]]</f>
        <v>78.882499999999993</v>
      </c>
      <c r="AF547" s="11">
        <f>Cleaned_data[[#This Row],[Gross Profit]]/Cleaned_data[[#This Row],[Net Sales]]</f>
        <v>0.49031125200068371</v>
      </c>
      <c r="AG547">
        <f>Cleaned_data[[#This Row],[Ship_Date]]-Cleaned_data[[#This Row],[Order_Date]]</f>
        <v>6</v>
      </c>
      <c r="AH547" t="str">
        <f>IF(Cleaned_data[[#This Row],[Delivery Days]]&gt;10,"late","on time")</f>
        <v>on time</v>
      </c>
      <c r="AI547" t="str">
        <f>TEXT(Cleaned_data[[#This Row],[Order_Date]],"mmmm")</f>
        <v>July</v>
      </c>
      <c r="AJ547" s="9" t="str">
        <f>"Q"&amp;ROUNDUP(MONTH(Cleaned_data[[#This Row],[Order_Date]])/3,0)</f>
        <v>Q3</v>
      </c>
    </row>
    <row r="548" spans="1:36">
      <c r="A548" t="s">
        <v>1037</v>
      </c>
      <c r="B548" s="9">
        <v>45857</v>
      </c>
      <c r="C548" s="9">
        <v>45866</v>
      </c>
      <c r="D548" t="s">
        <v>406</v>
      </c>
      <c r="E548" t="s">
        <v>407</v>
      </c>
      <c r="F548" t="s">
        <v>89</v>
      </c>
      <c r="G548" t="s">
        <v>75</v>
      </c>
      <c r="H548" t="s">
        <v>116</v>
      </c>
      <c r="I548" t="s">
        <v>117</v>
      </c>
      <c r="J548" t="s">
        <v>219</v>
      </c>
      <c r="K548" t="s">
        <v>168</v>
      </c>
      <c r="L548" t="s">
        <v>284</v>
      </c>
      <c r="M548" t="s">
        <v>285</v>
      </c>
      <c r="N548" t="s">
        <v>103</v>
      </c>
      <c r="O548" t="s">
        <v>143</v>
      </c>
      <c r="P548" s="8">
        <v>6</v>
      </c>
      <c r="Q548" s="10">
        <v>26.88</v>
      </c>
      <c r="R548" s="11">
        <v>7.0000000000000007E-2</v>
      </c>
      <c r="S548" s="10">
        <v>11.48</v>
      </c>
      <c r="T548" t="s">
        <v>84</v>
      </c>
      <c r="U548" t="s">
        <v>85</v>
      </c>
      <c r="V548" s="8">
        <v>5</v>
      </c>
      <c r="W548" t="s">
        <v>1270</v>
      </c>
      <c r="X548" t="str">
        <f>_xlfn.XLOOKUP(Cleaned_data[[#This Row],[Customer_ID]],Customers[S],Customers[Loyalty_Tier])</f>
        <v>Bronze</v>
      </c>
      <c r="Y548" s="9">
        <f>_xlfn.XLOOKUP(Cleaned_data[[#This Row],[Customer_ID]],Customers[S],Customers[Signup_Date])</f>
        <v>45879</v>
      </c>
      <c r="Z548" s="12">
        <f>_xlfn.XLOOKUP(Cleaned_data[[#This Row],[SKU]],Products[SKU],Products[Standard_Cost])</f>
        <v>14</v>
      </c>
      <c r="AA548" s="10">
        <f>Cleaned_data[[#This Row],[Quantity]]*Cleaned_data[[#This Row],[Unit_Price]]</f>
        <v>161.28</v>
      </c>
      <c r="AB548" s="10">
        <f>Cleaned_data[[#This Row],[Unit_Price]]*Cleaned_data[[#This Row],[Discount_Pct]]</f>
        <v>1.8816000000000002</v>
      </c>
      <c r="AC548" s="10">
        <f>Cleaned_data[[#This Row],[Gross Sales]]-Cleaned_data[[#This Row],[Discount amount]]</f>
        <v>159.39840000000001</v>
      </c>
      <c r="AD548" s="10">
        <f>Cleaned_data[[#This Row],[Product Cost]]*Cleaned_data[[#This Row],[Quantity]]</f>
        <v>84</v>
      </c>
      <c r="AE548" s="10">
        <f>Cleaned_data[[#This Row],[Net Sales]]-Cleaned_data[[#This Row],[COGS]]</f>
        <v>75.398400000000009</v>
      </c>
      <c r="AF548" s="11">
        <f>Cleaned_data[[#This Row],[Gross Profit]]/Cleaned_data[[#This Row],[Net Sales]]</f>
        <v>0.47301854974704893</v>
      </c>
      <c r="AG548">
        <f>Cleaned_data[[#This Row],[Ship_Date]]-Cleaned_data[[#This Row],[Order_Date]]</f>
        <v>9</v>
      </c>
      <c r="AH548" t="str">
        <f>IF(Cleaned_data[[#This Row],[Delivery Days]]&gt;10,"late","on time")</f>
        <v>on time</v>
      </c>
      <c r="AI548" t="str">
        <f>TEXT(Cleaned_data[[#This Row],[Order_Date]],"mmmm")</f>
        <v>July</v>
      </c>
      <c r="AJ548" s="9" t="str">
        <f>"Q"&amp;ROUNDUP(MONTH(Cleaned_data[[#This Row],[Order_Date]])/3,0)</f>
        <v>Q3</v>
      </c>
    </row>
    <row r="549" spans="1:36">
      <c r="A549" t="s">
        <v>1038</v>
      </c>
      <c r="B549" s="9">
        <v>45858</v>
      </c>
      <c r="C549" s="9">
        <v>45866</v>
      </c>
      <c r="D549" t="s">
        <v>114</v>
      </c>
      <c r="E549" t="s">
        <v>115</v>
      </c>
      <c r="F549" t="s">
        <v>89</v>
      </c>
      <c r="G549" t="s">
        <v>75</v>
      </c>
      <c r="H549" t="s">
        <v>116</v>
      </c>
      <c r="I549" t="s">
        <v>117</v>
      </c>
      <c r="J549" t="s">
        <v>78</v>
      </c>
      <c r="K549" t="s">
        <v>130</v>
      </c>
      <c r="L549" t="s">
        <v>214</v>
      </c>
      <c r="M549" t="s">
        <v>215</v>
      </c>
      <c r="N549" t="s">
        <v>103</v>
      </c>
      <c r="O549" t="s">
        <v>171</v>
      </c>
      <c r="P549" s="8">
        <v>9</v>
      </c>
      <c r="Q549" s="10">
        <v>11.73</v>
      </c>
      <c r="R549" s="11">
        <v>0.12</v>
      </c>
      <c r="S549" s="10">
        <v>8.6</v>
      </c>
      <c r="T549" t="s">
        <v>122</v>
      </c>
      <c r="U549" t="s">
        <v>85</v>
      </c>
      <c r="V549" s="8">
        <v>4</v>
      </c>
      <c r="W549" t="s">
        <v>1270</v>
      </c>
      <c r="X549" t="str">
        <f>_xlfn.XLOOKUP(Cleaned_data[[#This Row],[Customer_ID]],Customers[S],Customers[Loyalty_Tier])</f>
        <v>Bronze</v>
      </c>
      <c r="Y549" s="9">
        <f>_xlfn.XLOOKUP(Cleaned_data[[#This Row],[Customer_ID]],Customers[S],Customers[Signup_Date])</f>
        <v>44594</v>
      </c>
      <c r="Z549" s="12">
        <f>_xlfn.XLOOKUP(Cleaned_data[[#This Row],[SKU]],Products[SKU],Products[Standard_Cost])</f>
        <v>5</v>
      </c>
      <c r="AA549" s="10">
        <f>Cleaned_data[[#This Row],[Quantity]]*Cleaned_data[[#This Row],[Unit_Price]]</f>
        <v>105.57000000000001</v>
      </c>
      <c r="AB549" s="10">
        <f>Cleaned_data[[#This Row],[Unit_Price]]*Cleaned_data[[#This Row],[Discount_Pct]]</f>
        <v>1.4076</v>
      </c>
      <c r="AC549" s="10">
        <f>Cleaned_data[[#This Row],[Gross Sales]]-Cleaned_data[[#This Row],[Discount amount]]</f>
        <v>104.16240000000001</v>
      </c>
      <c r="AD549" s="10">
        <f>Cleaned_data[[#This Row],[Product Cost]]*Cleaned_data[[#This Row],[Quantity]]</f>
        <v>45</v>
      </c>
      <c r="AE549" s="10">
        <f>Cleaned_data[[#This Row],[Net Sales]]-Cleaned_data[[#This Row],[COGS]]</f>
        <v>59.162400000000005</v>
      </c>
      <c r="AF549" s="11">
        <f>Cleaned_data[[#This Row],[Gross Profit]]/Cleaned_data[[#This Row],[Net Sales]]</f>
        <v>0.56798230455519461</v>
      </c>
      <c r="AG549">
        <f>Cleaned_data[[#This Row],[Ship_Date]]-Cleaned_data[[#This Row],[Order_Date]]</f>
        <v>8</v>
      </c>
      <c r="AH549" t="str">
        <f>IF(Cleaned_data[[#This Row],[Delivery Days]]&gt;10,"late","on time")</f>
        <v>on time</v>
      </c>
      <c r="AI549" t="str">
        <f>TEXT(Cleaned_data[[#This Row],[Order_Date]],"mmmm")</f>
        <v>July</v>
      </c>
      <c r="AJ549" s="9" t="str">
        <f>"Q"&amp;ROUNDUP(MONTH(Cleaned_data[[#This Row],[Order_Date]])/3,0)</f>
        <v>Q3</v>
      </c>
    </row>
    <row r="550" spans="1:36">
      <c r="A550" t="s">
        <v>1039</v>
      </c>
      <c r="B550" s="9">
        <v>45858</v>
      </c>
      <c r="C550" s="9">
        <v>45863</v>
      </c>
      <c r="D550" t="s">
        <v>760</v>
      </c>
      <c r="E550" t="s">
        <v>761</v>
      </c>
      <c r="F550" t="s">
        <v>89</v>
      </c>
      <c r="G550" t="s">
        <v>194</v>
      </c>
      <c r="H550" t="s">
        <v>230</v>
      </c>
      <c r="I550" t="s">
        <v>231</v>
      </c>
      <c r="J550" t="s">
        <v>129</v>
      </c>
      <c r="K550" t="s">
        <v>168</v>
      </c>
      <c r="L550" t="s">
        <v>188</v>
      </c>
      <c r="M550" t="s">
        <v>189</v>
      </c>
      <c r="N550" t="s">
        <v>120</v>
      </c>
      <c r="O550" t="s">
        <v>190</v>
      </c>
      <c r="P550" s="8">
        <v>2</v>
      </c>
      <c r="Q550" s="10">
        <v>61.8</v>
      </c>
      <c r="R550" s="11">
        <v>0.06</v>
      </c>
      <c r="S550" s="10">
        <v>19.05</v>
      </c>
      <c r="T550" t="s">
        <v>105</v>
      </c>
      <c r="U550" t="s">
        <v>85</v>
      </c>
      <c r="V550" s="8">
        <v>2</v>
      </c>
      <c r="W550" t="s">
        <v>1270</v>
      </c>
      <c r="X550" t="str">
        <f>_xlfn.XLOOKUP(Cleaned_data[[#This Row],[Customer_ID]],Customers[S],Customers[Loyalty_Tier])</f>
        <v>Platinum</v>
      </c>
      <c r="Y550" s="9">
        <f>_xlfn.XLOOKUP(Cleaned_data[[#This Row],[Customer_ID]],Customers[S],Customers[Signup_Date])</f>
        <v>45555</v>
      </c>
      <c r="Z550" s="12">
        <f>_xlfn.XLOOKUP(Cleaned_data[[#This Row],[SKU]],Products[SKU],Products[Standard_Cost])</f>
        <v>28</v>
      </c>
      <c r="AA550" s="10">
        <f>Cleaned_data[[#This Row],[Quantity]]*Cleaned_data[[#This Row],[Unit_Price]]</f>
        <v>123.6</v>
      </c>
      <c r="AB550" s="10">
        <f>Cleaned_data[[#This Row],[Unit_Price]]*Cleaned_data[[#This Row],[Discount_Pct]]</f>
        <v>3.7079999999999997</v>
      </c>
      <c r="AC550" s="10">
        <f>Cleaned_data[[#This Row],[Gross Sales]]-Cleaned_data[[#This Row],[Discount amount]]</f>
        <v>119.892</v>
      </c>
      <c r="AD550" s="10">
        <f>Cleaned_data[[#This Row],[Product Cost]]*Cleaned_data[[#This Row],[Quantity]]</f>
        <v>56</v>
      </c>
      <c r="AE550" s="10">
        <f>Cleaned_data[[#This Row],[Net Sales]]-Cleaned_data[[#This Row],[COGS]]</f>
        <v>63.891999999999996</v>
      </c>
      <c r="AF550" s="11">
        <f>Cleaned_data[[#This Row],[Gross Profit]]/Cleaned_data[[#This Row],[Net Sales]]</f>
        <v>0.53291295499282687</v>
      </c>
      <c r="AG550">
        <f>Cleaned_data[[#This Row],[Ship_Date]]-Cleaned_data[[#This Row],[Order_Date]]</f>
        <v>5</v>
      </c>
      <c r="AH550" t="str">
        <f>IF(Cleaned_data[[#This Row],[Delivery Days]]&gt;10,"late","on time")</f>
        <v>on time</v>
      </c>
      <c r="AI550" t="str">
        <f>TEXT(Cleaned_data[[#This Row],[Order_Date]],"mmmm")</f>
        <v>July</v>
      </c>
      <c r="AJ550" s="9" t="str">
        <f>"Q"&amp;ROUNDUP(MONTH(Cleaned_data[[#This Row],[Order_Date]])/3,0)</f>
        <v>Q3</v>
      </c>
    </row>
    <row r="551" spans="1:36">
      <c r="A551" t="s">
        <v>1040</v>
      </c>
      <c r="B551" s="9">
        <v>45859</v>
      </c>
      <c r="C551" s="9">
        <v>45866</v>
      </c>
      <c r="D551" t="s">
        <v>173</v>
      </c>
      <c r="E551" t="s">
        <v>174</v>
      </c>
      <c r="F551" t="s">
        <v>89</v>
      </c>
      <c r="G551" t="s">
        <v>126</v>
      </c>
      <c r="H551" t="s">
        <v>127</v>
      </c>
      <c r="I551" t="s">
        <v>128</v>
      </c>
      <c r="J551" t="s">
        <v>129</v>
      </c>
      <c r="K551" t="s">
        <v>147</v>
      </c>
      <c r="L551" t="s">
        <v>101</v>
      </c>
      <c r="M551" t="s">
        <v>102</v>
      </c>
      <c r="N551" t="s">
        <v>103</v>
      </c>
      <c r="O551" t="s">
        <v>104</v>
      </c>
      <c r="P551" s="8">
        <v>5</v>
      </c>
      <c r="Q551" s="10">
        <v>77.47</v>
      </c>
      <c r="R551" s="11">
        <v>0.01</v>
      </c>
      <c r="S551" s="10">
        <v>10.85</v>
      </c>
      <c r="T551" t="s">
        <v>122</v>
      </c>
      <c r="U551" t="s">
        <v>85</v>
      </c>
      <c r="V551" s="8">
        <v>4</v>
      </c>
      <c r="W551" t="s">
        <v>1270</v>
      </c>
      <c r="X551" t="str">
        <f>_xlfn.XLOOKUP(Cleaned_data[[#This Row],[Customer_ID]],Customers[S],Customers[Loyalty_Tier])</f>
        <v>Gold</v>
      </c>
      <c r="Y551" s="9">
        <f>_xlfn.XLOOKUP(Cleaned_data[[#This Row],[Customer_ID]],Customers[S],Customers[Signup_Date])</f>
        <v>44543</v>
      </c>
      <c r="Z551" s="12">
        <f>_xlfn.XLOOKUP(Cleaned_data[[#This Row],[SKU]],Products[SKU],Products[Standard_Cost])</f>
        <v>36</v>
      </c>
      <c r="AA551" s="10">
        <f>Cleaned_data[[#This Row],[Quantity]]*Cleaned_data[[#This Row],[Unit_Price]]</f>
        <v>387.35</v>
      </c>
      <c r="AB551" s="10">
        <f>Cleaned_data[[#This Row],[Unit_Price]]*Cleaned_data[[#This Row],[Discount_Pct]]</f>
        <v>0.77470000000000006</v>
      </c>
      <c r="AC551" s="10">
        <f>Cleaned_data[[#This Row],[Gross Sales]]-Cleaned_data[[#This Row],[Discount amount]]</f>
        <v>386.57530000000003</v>
      </c>
      <c r="AD551" s="10">
        <f>Cleaned_data[[#This Row],[Product Cost]]*Cleaned_data[[#This Row],[Quantity]]</f>
        <v>180</v>
      </c>
      <c r="AE551" s="10">
        <f>Cleaned_data[[#This Row],[Net Sales]]-Cleaned_data[[#This Row],[COGS]]</f>
        <v>206.57530000000003</v>
      </c>
      <c r="AF551" s="11">
        <f>Cleaned_data[[#This Row],[Gross Profit]]/Cleaned_data[[#This Row],[Net Sales]]</f>
        <v>0.53437273410898212</v>
      </c>
      <c r="AG551">
        <f>Cleaned_data[[#This Row],[Ship_Date]]-Cleaned_data[[#This Row],[Order_Date]]</f>
        <v>7</v>
      </c>
      <c r="AH551" t="str">
        <f>IF(Cleaned_data[[#This Row],[Delivery Days]]&gt;10,"late","on time")</f>
        <v>on time</v>
      </c>
      <c r="AI551" t="str">
        <f>TEXT(Cleaned_data[[#This Row],[Order_Date]],"mmmm")</f>
        <v>July</v>
      </c>
      <c r="AJ551" s="9" t="str">
        <f>"Q"&amp;ROUNDUP(MONTH(Cleaned_data[[#This Row],[Order_Date]])/3,0)</f>
        <v>Q3</v>
      </c>
    </row>
    <row r="552" spans="1:36">
      <c r="A552" t="s">
        <v>1041</v>
      </c>
      <c r="B552" s="9">
        <v>45861</v>
      </c>
      <c r="C552" s="9">
        <v>45870</v>
      </c>
      <c r="D552" t="s">
        <v>145</v>
      </c>
      <c r="E552" t="s">
        <v>146</v>
      </c>
      <c r="F552" t="s">
        <v>74</v>
      </c>
      <c r="G552" t="s">
        <v>75</v>
      </c>
      <c r="H552" t="s">
        <v>116</v>
      </c>
      <c r="I552" t="s">
        <v>117</v>
      </c>
      <c r="J552" t="s">
        <v>109</v>
      </c>
      <c r="K552" t="s">
        <v>168</v>
      </c>
      <c r="L552" t="s">
        <v>141</v>
      </c>
      <c r="M552" t="s">
        <v>142</v>
      </c>
      <c r="N552" t="s">
        <v>103</v>
      </c>
      <c r="O552" t="s">
        <v>143</v>
      </c>
      <c r="P552" s="8">
        <v>5</v>
      </c>
      <c r="Q552" s="10">
        <v>35.79</v>
      </c>
      <c r="R552" s="11">
        <v>0.11</v>
      </c>
      <c r="S552" s="10">
        <v>7.09</v>
      </c>
      <c r="T552" t="s">
        <v>122</v>
      </c>
      <c r="U552" t="s">
        <v>85</v>
      </c>
      <c r="V552" s="8">
        <v>3</v>
      </c>
      <c r="W552" t="s">
        <v>1270</v>
      </c>
      <c r="X552" t="str">
        <f>_xlfn.XLOOKUP(Cleaned_data[[#This Row],[Customer_ID]],Customers[S],Customers[Loyalty_Tier])</f>
        <v>Platinum</v>
      </c>
      <c r="Y552" s="9">
        <f>_xlfn.XLOOKUP(Cleaned_data[[#This Row],[Customer_ID]],Customers[S],Customers[Signup_Date])</f>
        <v>44668</v>
      </c>
      <c r="Z552" s="12">
        <f>_xlfn.XLOOKUP(Cleaned_data[[#This Row],[SKU]],Products[SKU],Products[Standard_Cost])</f>
        <v>18</v>
      </c>
      <c r="AA552" s="10">
        <f>Cleaned_data[[#This Row],[Quantity]]*Cleaned_data[[#This Row],[Unit_Price]]</f>
        <v>178.95</v>
      </c>
      <c r="AB552" s="10">
        <f>Cleaned_data[[#This Row],[Unit_Price]]*Cleaned_data[[#This Row],[Discount_Pct]]</f>
        <v>3.9369000000000001</v>
      </c>
      <c r="AC552" s="10">
        <f>Cleaned_data[[#This Row],[Gross Sales]]-Cleaned_data[[#This Row],[Discount amount]]</f>
        <v>175.01309999999998</v>
      </c>
      <c r="AD552" s="10">
        <f>Cleaned_data[[#This Row],[Product Cost]]*Cleaned_data[[#This Row],[Quantity]]</f>
        <v>90</v>
      </c>
      <c r="AE552" s="10">
        <f>Cleaned_data[[#This Row],[Net Sales]]-Cleaned_data[[#This Row],[COGS]]</f>
        <v>85.01309999999998</v>
      </c>
      <c r="AF552" s="11">
        <f>Cleaned_data[[#This Row],[Gross Profit]]/Cleaned_data[[#This Row],[Net Sales]]</f>
        <v>0.48575278079183781</v>
      </c>
      <c r="AG552">
        <f>Cleaned_data[[#This Row],[Ship_Date]]-Cleaned_data[[#This Row],[Order_Date]]</f>
        <v>9</v>
      </c>
      <c r="AH552" t="str">
        <f>IF(Cleaned_data[[#This Row],[Delivery Days]]&gt;10,"late","on time")</f>
        <v>on time</v>
      </c>
      <c r="AI552" t="str">
        <f>TEXT(Cleaned_data[[#This Row],[Order_Date]],"mmmm")</f>
        <v>July</v>
      </c>
      <c r="AJ552" s="9" t="str">
        <f>"Q"&amp;ROUNDUP(MONTH(Cleaned_data[[#This Row],[Order_Date]])/3,0)</f>
        <v>Q3</v>
      </c>
    </row>
    <row r="553" spans="1:36">
      <c r="A553" t="s">
        <v>1042</v>
      </c>
      <c r="B553" s="9">
        <v>45862</v>
      </c>
      <c r="C553" s="9">
        <v>45868</v>
      </c>
      <c r="D553" t="s">
        <v>427</v>
      </c>
      <c r="E553" t="s">
        <v>428</v>
      </c>
      <c r="F553" t="s">
        <v>152</v>
      </c>
      <c r="G553" t="s">
        <v>194</v>
      </c>
      <c r="H553" t="s">
        <v>240</v>
      </c>
      <c r="I553" t="s">
        <v>241</v>
      </c>
      <c r="J553" t="s">
        <v>78</v>
      </c>
      <c r="K553" t="s">
        <v>90</v>
      </c>
      <c r="L553" t="s">
        <v>431</v>
      </c>
      <c r="M553" t="s">
        <v>432</v>
      </c>
      <c r="N553" t="s">
        <v>103</v>
      </c>
      <c r="O553" t="s">
        <v>251</v>
      </c>
      <c r="P553" s="8">
        <v>6</v>
      </c>
      <c r="Q553" s="10">
        <v>37.32</v>
      </c>
      <c r="R553" s="11">
        <v>0.1</v>
      </c>
      <c r="S553" s="10">
        <v>9.19</v>
      </c>
      <c r="T553" t="s">
        <v>122</v>
      </c>
      <c r="U553" t="s">
        <v>85</v>
      </c>
      <c r="W553" t="s">
        <v>1270</v>
      </c>
      <c r="X553" t="str">
        <f>_xlfn.XLOOKUP(Cleaned_data[[#This Row],[Customer_ID]],Customers[S],Customers[Loyalty_Tier])</f>
        <v>Gold</v>
      </c>
      <c r="Y553" s="9">
        <f>_xlfn.XLOOKUP(Cleaned_data[[#This Row],[Customer_ID]],Customers[S],Customers[Signup_Date])</f>
        <v>45885</v>
      </c>
      <c r="Z553" s="12">
        <f>_xlfn.XLOOKUP(Cleaned_data[[#This Row],[SKU]],Products[SKU],Products[Standard_Cost])</f>
        <v>20</v>
      </c>
      <c r="AA553" s="10">
        <f>Cleaned_data[[#This Row],[Quantity]]*Cleaned_data[[#This Row],[Unit_Price]]</f>
        <v>223.92000000000002</v>
      </c>
      <c r="AB553" s="10">
        <f>Cleaned_data[[#This Row],[Unit_Price]]*Cleaned_data[[#This Row],[Discount_Pct]]</f>
        <v>3.7320000000000002</v>
      </c>
      <c r="AC553" s="10">
        <f>Cleaned_data[[#This Row],[Gross Sales]]-Cleaned_data[[#This Row],[Discount amount]]</f>
        <v>220.18800000000002</v>
      </c>
      <c r="AD553" s="10">
        <f>Cleaned_data[[#This Row],[Product Cost]]*Cleaned_data[[#This Row],[Quantity]]</f>
        <v>120</v>
      </c>
      <c r="AE553" s="10">
        <f>Cleaned_data[[#This Row],[Net Sales]]-Cleaned_data[[#This Row],[COGS]]</f>
        <v>100.18800000000002</v>
      </c>
      <c r="AF553" s="11">
        <f>Cleaned_data[[#This Row],[Gross Profit]]/Cleaned_data[[#This Row],[Net Sales]]</f>
        <v>0.45501117227096849</v>
      </c>
      <c r="AG553">
        <f>Cleaned_data[[#This Row],[Ship_Date]]-Cleaned_data[[#This Row],[Order_Date]]</f>
        <v>6</v>
      </c>
      <c r="AH553" t="str">
        <f>IF(Cleaned_data[[#This Row],[Delivery Days]]&gt;10,"late","on time")</f>
        <v>on time</v>
      </c>
      <c r="AI553" t="str">
        <f>TEXT(Cleaned_data[[#This Row],[Order_Date]],"mmmm")</f>
        <v>July</v>
      </c>
      <c r="AJ553" s="9" t="str">
        <f>"Q"&amp;ROUNDUP(MONTH(Cleaned_data[[#This Row],[Order_Date]])/3,0)</f>
        <v>Q3</v>
      </c>
    </row>
    <row r="554" spans="1:36">
      <c r="A554" t="s">
        <v>1043</v>
      </c>
      <c r="B554" s="9">
        <v>45870</v>
      </c>
      <c r="C554" s="9">
        <v>45887</v>
      </c>
      <c r="D554" t="s">
        <v>454</v>
      </c>
      <c r="E554" t="s">
        <v>329</v>
      </c>
      <c r="F554" t="s">
        <v>89</v>
      </c>
      <c r="G554" t="s">
        <v>75</v>
      </c>
      <c r="H554" t="s">
        <v>212</v>
      </c>
      <c r="I554" t="s">
        <v>213</v>
      </c>
      <c r="J554" t="s">
        <v>109</v>
      </c>
      <c r="K554" t="s">
        <v>168</v>
      </c>
      <c r="L554" t="s">
        <v>214</v>
      </c>
      <c r="M554" t="s">
        <v>215</v>
      </c>
      <c r="N554" t="s">
        <v>103</v>
      </c>
      <c r="O554" t="s">
        <v>171</v>
      </c>
      <c r="P554" s="8">
        <v>2</v>
      </c>
      <c r="Q554" s="10">
        <v>11.74</v>
      </c>
      <c r="R554" s="11">
        <v>0.11</v>
      </c>
      <c r="S554" s="10">
        <v>10.47</v>
      </c>
      <c r="T554" t="s">
        <v>84</v>
      </c>
      <c r="U554" t="s">
        <v>85</v>
      </c>
      <c r="V554" s="8">
        <v>2</v>
      </c>
      <c r="W554" t="s">
        <v>1270</v>
      </c>
      <c r="X554" t="str">
        <f>_xlfn.XLOOKUP(Cleaned_data[[#This Row],[Customer_ID]],Customers[S],Customers[Loyalty_Tier])</f>
        <v>Gold</v>
      </c>
      <c r="Y554" s="9">
        <f>_xlfn.XLOOKUP(Cleaned_data[[#This Row],[Customer_ID]],Customers[S],Customers[Signup_Date])</f>
        <v>45538</v>
      </c>
      <c r="Z554" s="12">
        <f>_xlfn.XLOOKUP(Cleaned_data[[#This Row],[SKU]],Products[SKU],Products[Standard_Cost])</f>
        <v>5</v>
      </c>
      <c r="AA554" s="10">
        <f>Cleaned_data[[#This Row],[Quantity]]*Cleaned_data[[#This Row],[Unit_Price]]</f>
        <v>23.48</v>
      </c>
      <c r="AB554" s="10">
        <f>Cleaned_data[[#This Row],[Unit_Price]]*Cleaned_data[[#This Row],[Discount_Pct]]</f>
        <v>1.2914000000000001</v>
      </c>
      <c r="AC554" s="10">
        <f>Cleaned_data[[#This Row],[Gross Sales]]-Cleaned_data[[#This Row],[Discount amount]]</f>
        <v>22.188600000000001</v>
      </c>
      <c r="AD554" s="10">
        <f>Cleaned_data[[#This Row],[Product Cost]]*Cleaned_data[[#This Row],[Quantity]]</f>
        <v>10</v>
      </c>
      <c r="AE554" s="10">
        <f>Cleaned_data[[#This Row],[Net Sales]]-Cleaned_data[[#This Row],[COGS]]</f>
        <v>12.188600000000001</v>
      </c>
      <c r="AF554" s="11">
        <f>Cleaned_data[[#This Row],[Gross Profit]]/Cleaned_data[[#This Row],[Net Sales]]</f>
        <v>0.54931811831300759</v>
      </c>
      <c r="AG554">
        <f>Cleaned_data[[#This Row],[Ship_Date]]-Cleaned_data[[#This Row],[Order_Date]]</f>
        <v>17</v>
      </c>
      <c r="AH554" t="str">
        <f>IF(Cleaned_data[[#This Row],[Delivery Days]]&gt;10,"late","on time")</f>
        <v>late</v>
      </c>
      <c r="AI554" t="str">
        <f>TEXT(Cleaned_data[[#This Row],[Order_Date]],"mmmm")</f>
        <v>August</v>
      </c>
      <c r="AJ554" s="9" t="str">
        <f>"Q"&amp;ROUNDUP(MONTH(Cleaned_data[[#This Row],[Order_Date]])/3,0)</f>
        <v>Q3</v>
      </c>
    </row>
    <row r="555" spans="1:36">
      <c r="A555" t="s">
        <v>1044</v>
      </c>
      <c r="B555" s="9">
        <v>45870</v>
      </c>
      <c r="C555" s="9">
        <v>45875</v>
      </c>
      <c r="D555" t="s">
        <v>96</v>
      </c>
      <c r="E555" t="s">
        <v>97</v>
      </c>
      <c r="F555" t="s">
        <v>74</v>
      </c>
      <c r="G555" t="s">
        <v>75</v>
      </c>
      <c r="H555" t="s">
        <v>98</v>
      </c>
      <c r="I555" t="s">
        <v>99</v>
      </c>
      <c r="J555" t="s">
        <v>109</v>
      </c>
      <c r="K555" t="s">
        <v>168</v>
      </c>
      <c r="L555" t="s">
        <v>431</v>
      </c>
      <c r="M555" t="s">
        <v>432</v>
      </c>
      <c r="N555" t="s">
        <v>103</v>
      </c>
      <c r="O555" t="s">
        <v>251</v>
      </c>
      <c r="P555" s="8">
        <v>1</v>
      </c>
      <c r="Q555" s="10">
        <v>39.39</v>
      </c>
      <c r="R555" s="11">
        <v>0.28000000000000003</v>
      </c>
      <c r="S555" s="10">
        <v>15.56</v>
      </c>
      <c r="T555" t="s">
        <v>122</v>
      </c>
      <c r="U555" t="s">
        <v>85</v>
      </c>
      <c r="V555" s="8">
        <v>3</v>
      </c>
      <c r="W555" t="s">
        <v>1270</v>
      </c>
      <c r="X555" t="str">
        <f>_xlfn.XLOOKUP(Cleaned_data[[#This Row],[Customer_ID]],Customers[S],Customers[Loyalty_Tier])</f>
        <v>Platinum</v>
      </c>
      <c r="Y555" s="9">
        <f>_xlfn.XLOOKUP(Cleaned_data[[#This Row],[Customer_ID]],Customers[S],Customers[Signup_Date])</f>
        <v>44461</v>
      </c>
      <c r="Z555" s="12">
        <f>_xlfn.XLOOKUP(Cleaned_data[[#This Row],[SKU]],Products[SKU],Products[Standard_Cost])</f>
        <v>20</v>
      </c>
      <c r="AA555" s="10">
        <f>Cleaned_data[[#This Row],[Quantity]]*Cleaned_data[[#This Row],[Unit_Price]]</f>
        <v>39.39</v>
      </c>
      <c r="AB555" s="10">
        <f>Cleaned_data[[#This Row],[Unit_Price]]*Cleaned_data[[#This Row],[Discount_Pct]]</f>
        <v>11.029200000000001</v>
      </c>
      <c r="AC555" s="10">
        <f>Cleaned_data[[#This Row],[Gross Sales]]-Cleaned_data[[#This Row],[Discount amount]]</f>
        <v>28.360799999999998</v>
      </c>
      <c r="AD555" s="10">
        <f>Cleaned_data[[#This Row],[Product Cost]]*Cleaned_data[[#This Row],[Quantity]]</f>
        <v>20</v>
      </c>
      <c r="AE555" s="10">
        <f>Cleaned_data[[#This Row],[Net Sales]]-Cleaned_data[[#This Row],[COGS]]</f>
        <v>8.3607999999999976</v>
      </c>
      <c r="AF555" s="11">
        <f>Cleaned_data[[#This Row],[Gross Profit]]/Cleaned_data[[#This Row],[Net Sales]]</f>
        <v>0.29480127499929476</v>
      </c>
      <c r="AG555">
        <f>Cleaned_data[[#This Row],[Ship_Date]]-Cleaned_data[[#This Row],[Order_Date]]</f>
        <v>5</v>
      </c>
      <c r="AH555" t="str">
        <f>IF(Cleaned_data[[#This Row],[Delivery Days]]&gt;10,"late","on time")</f>
        <v>on time</v>
      </c>
      <c r="AI555" t="str">
        <f>TEXT(Cleaned_data[[#This Row],[Order_Date]],"mmmm")</f>
        <v>August</v>
      </c>
      <c r="AJ555" s="9" t="str">
        <f>"Q"&amp;ROUNDUP(MONTH(Cleaned_data[[#This Row],[Order_Date]])/3,0)</f>
        <v>Q3</v>
      </c>
    </row>
    <row r="556" spans="1:36">
      <c r="A556" t="s">
        <v>1045</v>
      </c>
      <c r="B556" s="9">
        <v>45871</v>
      </c>
      <c r="C556" s="9">
        <v>45884</v>
      </c>
      <c r="D556" t="s">
        <v>276</v>
      </c>
      <c r="E556" t="s">
        <v>277</v>
      </c>
      <c r="F556" t="s">
        <v>152</v>
      </c>
      <c r="G556" t="s">
        <v>75</v>
      </c>
      <c r="H556" t="s">
        <v>212</v>
      </c>
      <c r="I556" t="s">
        <v>213</v>
      </c>
      <c r="J556" t="s">
        <v>109</v>
      </c>
      <c r="K556" t="s">
        <v>90</v>
      </c>
      <c r="L556" t="s">
        <v>169</v>
      </c>
      <c r="M556" t="s">
        <v>170</v>
      </c>
      <c r="N556" t="s">
        <v>103</v>
      </c>
      <c r="O556" t="s">
        <v>171</v>
      </c>
      <c r="P556" s="8">
        <v>8</v>
      </c>
      <c r="Q556" s="10">
        <v>15.43</v>
      </c>
      <c r="R556" s="11">
        <v>0.01</v>
      </c>
      <c r="S556" s="10">
        <v>10.59</v>
      </c>
      <c r="T556" t="s">
        <v>84</v>
      </c>
      <c r="U556" t="s">
        <v>85</v>
      </c>
      <c r="V556" s="8">
        <v>1</v>
      </c>
      <c r="W556" t="s">
        <v>1270</v>
      </c>
      <c r="X556" t="str">
        <f>_xlfn.XLOOKUP(Cleaned_data[[#This Row],[Customer_ID]],Customers[S],Customers[Loyalty_Tier])</f>
        <v>Silver</v>
      </c>
      <c r="Y556" s="9">
        <f>_xlfn.XLOOKUP(Cleaned_data[[#This Row],[Customer_ID]],Customers[S],Customers[Signup_Date])</f>
        <v>44291</v>
      </c>
      <c r="Z556" s="12">
        <f>_xlfn.XLOOKUP(Cleaned_data[[#This Row],[SKU]],Products[SKU],Products[Standard_Cost])</f>
        <v>6</v>
      </c>
      <c r="AA556" s="10">
        <f>Cleaned_data[[#This Row],[Quantity]]*Cleaned_data[[#This Row],[Unit_Price]]</f>
        <v>123.44</v>
      </c>
      <c r="AB556" s="10">
        <f>Cleaned_data[[#This Row],[Unit_Price]]*Cleaned_data[[#This Row],[Discount_Pct]]</f>
        <v>0.15429999999999999</v>
      </c>
      <c r="AC556" s="10">
        <f>Cleaned_data[[#This Row],[Gross Sales]]-Cleaned_data[[#This Row],[Discount amount]]</f>
        <v>123.28569999999999</v>
      </c>
      <c r="AD556" s="10">
        <f>Cleaned_data[[#This Row],[Product Cost]]*Cleaned_data[[#This Row],[Quantity]]</f>
        <v>48</v>
      </c>
      <c r="AE556" s="10">
        <f>Cleaned_data[[#This Row],[Net Sales]]-Cleaned_data[[#This Row],[COGS]]</f>
        <v>75.285699999999991</v>
      </c>
      <c r="AF556" s="11">
        <f>Cleaned_data[[#This Row],[Gross Profit]]/Cleaned_data[[#This Row],[Net Sales]]</f>
        <v>0.61066044155972665</v>
      </c>
      <c r="AG556">
        <f>Cleaned_data[[#This Row],[Ship_Date]]-Cleaned_data[[#This Row],[Order_Date]]</f>
        <v>13</v>
      </c>
      <c r="AH556" t="str">
        <f>IF(Cleaned_data[[#This Row],[Delivery Days]]&gt;10,"late","on time")</f>
        <v>late</v>
      </c>
      <c r="AI556" t="str">
        <f>TEXT(Cleaned_data[[#This Row],[Order_Date]],"mmmm")</f>
        <v>August</v>
      </c>
      <c r="AJ556" s="9" t="str">
        <f>"Q"&amp;ROUNDUP(MONTH(Cleaned_data[[#This Row],[Order_Date]])/3,0)</f>
        <v>Q3</v>
      </c>
    </row>
    <row r="557" spans="1:36">
      <c r="A557" t="s">
        <v>1046</v>
      </c>
      <c r="B557" s="9">
        <v>45874</v>
      </c>
      <c r="C557" s="9">
        <v>45876</v>
      </c>
      <c r="D557" t="s">
        <v>767</v>
      </c>
      <c r="E557" t="s">
        <v>617</v>
      </c>
      <c r="F557" t="s">
        <v>74</v>
      </c>
      <c r="G557" t="s">
        <v>138</v>
      </c>
      <c r="H557" t="s">
        <v>457</v>
      </c>
      <c r="I557" t="s">
        <v>458</v>
      </c>
      <c r="J557" t="s">
        <v>109</v>
      </c>
      <c r="K557" t="s">
        <v>147</v>
      </c>
      <c r="L557" t="s">
        <v>242</v>
      </c>
      <c r="M557" t="s">
        <v>243</v>
      </c>
      <c r="N557" t="s">
        <v>120</v>
      </c>
      <c r="O557" t="s">
        <v>133</v>
      </c>
      <c r="P557" s="8">
        <v>3</v>
      </c>
      <c r="Q557" s="10">
        <v>187.77</v>
      </c>
      <c r="R557" s="11">
        <v>0.26</v>
      </c>
      <c r="S557" s="10">
        <v>13.45</v>
      </c>
      <c r="T557" t="s">
        <v>84</v>
      </c>
      <c r="U557" t="s">
        <v>85</v>
      </c>
      <c r="V557" s="8">
        <v>1</v>
      </c>
      <c r="W557" t="s">
        <v>1270</v>
      </c>
      <c r="X557" t="str">
        <f>_xlfn.XLOOKUP(Cleaned_data[[#This Row],[Customer_ID]],Customers[S],Customers[Loyalty_Tier])</f>
        <v>Platinum</v>
      </c>
      <c r="Y557" s="9">
        <f>_xlfn.XLOOKUP(Cleaned_data[[#This Row],[Customer_ID]],Customers[S],Customers[Signup_Date])</f>
        <v>45269</v>
      </c>
      <c r="Z557" s="12">
        <f>_xlfn.XLOOKUP(Cleaned_data[[#This Row],[SKU]],Products[SKU],Products[Standard_Cost])</f>
        <v>96</v>
      </c>
      <c r="AA557" s="10">
        <f>Cleaned_data[[#This Row],[Quantity]]*Cleaned_data[[#This Row],[Unit_Price]]</f>
        <v>563.31000000000006</v>
      </c>
      <c r="AB557" s="10">
        <f>Cleaned_data[[#This Row],[Unit_Price]]*Cleaned_data[[#This Row],[Discount_Pct]]</f>
        <v>48.820200000000007</v>
      </c>
      <c r="AC557" s="10">
        <f>Cleaned_data[[#This Row],[Gross Sales]]-Cleaned_data[[#This Row],[Discount amount]]</f>
        <v>514.48980000000006</v>
      </c>
      <c r="AD557" s="10">
        <f>Cleaned_data[[#This Row],[Product Cost]]*Cleaned_data[[#This Row],[Quantity]]</f>
        <v>288</v>
      </c>
      <c r="AE557" s="10">
        <f>Cleaned_data[[#This Row],[Net Sales]]-Cleaned_data[[#This Row],[COGS]]</f>
        <v>226.48980000000006</v>
      </c>
      <c r="AF557" s="11">
        <f>Cleaned_data[[#This Row],[Gross Profit]]/Cleaned_data[[#This Row],[Net Sales]]</f>
        <v>0.44022213851469949</v>
      </c>
      <c r="AG557">
        <f>Cleaned_data[[#This Row],[Ship_Date]]-Cleaned_data[[#This Row],[Order_Date]]</f>
        <v>2</v>
      </c>
      <c r="AH557" t="str">
        <f>IF(Cleaned_data[[#This Row],[Delivery Days]]&gt;10,"late","on time")</f>
        <v>on time</v>
      </c>
      <c r="AI557" t="str">
        <f>TEXT(Cleaned_data[[#This Row],[Order_Date]],"mmmm")</f>
        <v>August</v>
      </c>
      <c r="AJ557" s="9" t="str">
        <f>"Q"&amp;ROUNDUP(MONTH(Cleaned_data[[#This Row],[Order_Date]])/3,0)</f>
        <v>Q3</v>
      </c>
    </row>
    <row r="558" spans="1:36">
      <c r="A558" t="s">
        <v>1047</v>
      </c>
      <c r="B558" s="9">
        <v>45878</v>
      </c>
      <c r="C558" s="9">
        <v>45884</v>
      </c>
      <c r="D558" t="s">
        <v>441</v>
      </c>
      <c r="E558" t="s">
        <v>442</v>
      </c>
      <c r="F558" t="s">
        <v>89</v>
      </c>
      <c r="G558" t="s">
        <v>194</v>
      </c>
      <c r="H558" t="s">
        <v>202</v>
      </c>
      <c r="I558" t="s">
        <v>203</v>
      </c>
      <c r="J558" t="s">
        <v>109</v>
      </c>
      <c r="K558" t="s">
        <v>147</v>
      </c>
      <c r="L558" t="s">
        <v>131</v>
      </c>
      <c r="M558" t="s">
        <v>132</v>
      </c>
      <c r="N558" t="s">
        <v>120</v>
      </c>
      <c r="O558" t="s">
        <v>133</v>
      </c>
      <c r="P558" s="8">
        <v>3</v>
      </c>
      <c r="Q558" s="10">
        <v>85.09</v>
      </c>
      <c r="R558" s="11">
        <v>0.01</v>
      </c>
      <c r="S558" s="10">
        <v>11</v>
      </c>
      <c r="T558" t="s">
        <v>134</v>
      </c>
      <c r="U558" t="s">
        <v>85</v>
      </c>
      <c r="V558" s="8">
        <v>2</v>
      </c>
      <c r="W558" t="s">
        <v>1270</v>
      </c>
      <c r="X558" t="str">
        <f>_xlfn.XLOOKUP(Cleaned_data[[#This Row],[Customer_ID]],Customers[S],Customers[Loyalty_Tier])</f>
        <v>Silver</v>
      </c>
      <c r="Y558" s="9">
        <f>_xlfn.XLOOKUP(Cleaned_data[[#This Row],[Customer_ID]],Customers[S],Customers[Signup_Date])</f>
        <v>45142</v>
      </c>
      <c r="Z558" s="12">
        <f>_xlfn.XLOOKUP(Cleaned_data[[#This Row],[SKU]],Products[SKU],Products[Standard_Cost])</f>
        <v>44</v>
      </c>
      <c r="AA558" s="10">
        <f>Cleaned_data[[#This Row],[Quantity]]*Cleaned_data[[#This Row],[Unit_Price]]</f>
        <v>255.27</v>
      </c>
      <c r="AB558" s="10">
        <f>Cleaned_data[[#This Row],[Unit_Price]]*Cleaned_data[[#This Row],[Discount_Pct]]</f>
        <v>0.8509000000000001</v>
      </c>
      <c r="AC558" s="10">
        <f>Cleaned_data[[#This Row],[Gross Sales]]-Cleaned_data[[#This Row],[Discount amount]]</f>
        <v>254.41910000000001</v>
      </c>
      <c r="AD558" s="10">
        <f>Cleaned_data[[#This Row],[Product Cost]]*Cleaned_data[[#This Row],[Quantity]]</f>
        <v>132</v>
      </c>
      <c r="AE558" s="10">
        <f>Cleaned_data[[#This Row],[Net Sales]]-Cleaned_data[[#This Row],[COGS]]</f>
        <v>122.41910000000001</v>
      </c>
      <c r="AF558" s="11">
        <f>Cleaned_data[[#This Row],[Gross Profit]]/Cleaned_data[[#This Row],[Net Sales]]</f>
        <v>0.48117102843300685</v>
      </c>
      <c r="AG558">
        <f>Cleaned_data[[#This Row],[Ship_Date]]-Cleaned_data[[#This Row],[Order_Date]]</f>
        <v>6</v>
      </c>
      <c r="AH558" t="str">
        <f>IF(Cleaned_data[[#This Row],[Delivery Days]]&gt;10,"late","on time")</f>
        <v>on time</v>
      </c>
      <c r="AI558" t="str">
        <f>TEXT(Cleaned_data[[#This Row],[Order_Date]],"mmmm")</f>
        <v>August</v>
      </c>
      <c r="AJ558" s="9" t="str">
        <f>"Q"&amp;ROUNDUP(MONTH(Cleaned_data[[#This Row],[Order_Date]])/3,0)</f>
        <v>Q3</v>
      </c>
    </row>
    <row r="559" spans="1:36">
      <c r="A559" t="s">
        <v>1048</v>
      </c>
      <c r="B559" s="9">
        <v>45881</v>
      </c>
      <c r="C559" s="9">
        <v>45887</v>
      </c>
      <c r="D559" t="s">
        <v>463</v>
      </c>
      <c r="E559" t="s">
        <v>464</v>
      </c>
      <c r="F559" t="s">
        <v>152</v>
      </c>
      <c r="G559" t="s">
        <v>194</v>
      </c>
      <c r="H559" t="s">
        <v>202</v>
      </c>
      <c r="I559" t="s">
        <v>203</v>
      </c>
      <c r="J559" t="s">
        <v>129</v>
      </c>
      <c r="K559" t="s">
        <v>90</v>
      </c>
      <c r="L559" t="s">
        <v>254</v>
      </c>
      <c r="M559" t="s">
        <v>255</v>
      </c>
      <c r="N559" t="s">
        <v>82</v>
      </c>
      <c r="O559" t="s">
        <v>83</v>
      </c>
      <c r="P559" s="8">
        <v>8</v>
      </c>
      <c r="Q559" s="10">
        <v>89.69</v>
      </c>
      <c r="R559" s="11">
        <v>0.06</v>
      </c>
      <c r="S559" s="10">
        <v>14.91</v>
      </c>
      <c r="T559" t="s">
        <v>105</v>
      </c>
      <c r="U559" t="s">
        <v>85</v>
      </c>
      <c r="V559" s="8">
        <v>1</v>
      </c>
      <c r="W559" t="s">
        <v>1270</v>
      </c>
      <c r="X559" t="str">
        <f>_xlfn.XLOOKUP(Cleaned_data[[#This Row],[Customer_ID]],Customers[S],Customers[Loyalty_Tier])</f>
        <v>Silver</v>
      </c>
      <c r="Y559" s="9">
        <f>_xlfn.XLOOKUP(Cleaned_data[[#This Row],[Customer_ID]],Customers[S],Customers[Signup_Date])</f>
        <v>45862</v>
      </c>
      <c r="Z559" s="12">
        <f>_xlfn.XLOOKUP(Cleaned_data[[#This Row],[SKU]],Products[SKU],Products[Standard_Cost])</f>
        <v>48</v>
      </c>
      <c r="AA559" s="10">
        <f>Cleaned_data[[#This Row],[Quantity]]*Cleaned_data[[#This Row],[Unit_Price]]</f>
        <v>717.52</v>
      </c>
      <c r="AB559" s="10">
        <f>Cleaned_data[[#This Row],[Unit_Price]]*Cleaned_data[[#This Row],[Discount_Pct]]</f>
        <v>5.3813999999999993</v>
      </c>
      <c r="AC559" s="10">
        <f>Cleaned_data[[#This Row],[Gross Sales]]-Cleaned_data[[#This Row],[Discount amount]]</f>
        <v>712.1386</v>
      </c>
      <c r="AD559" s="10">
        <f>Cleaned_data[[#This Row],[Product Cost]]*Cleaned_data[[#This Row],[Quantity]]</f>
        <v>384</v>
      </c>
      <c r="AE559" s="10">
        <f>Cleaned_data[[#This Row],[Net Sales]]-Cleaned_data[[#This Row],[COGS]]</f>
        <v>328.1386</v>
      </c>
      <c r="AF559" s="11">
        <f>Cleaned_data[[#This Row],[Gross Profit]]/Cleaned_data[[#This Row],[Net Sales]]</f>
        <v>0.46077912361441997</v>
      </c>
      <c r="AG559">
        <f>Cleaned_data[[#This Row],[Ship_Date]]-Cleaned_data[[#This Row],[Order_Date]]</f>
        <v>6</v>
      </c>
      <c r="AH559" t="str">
        <f>IF(Cleaned_data[[#This Row],[Delivery Days]]&gt;10,"late","on time")</f>
        <v>on time</v>
      </c>
      <c r="AI559" t="str">
        <f>TEXT(Cleaned_data[[#This Row],[Order_Date]],"mmmm")</f>
        <v>August</v>
      </c>
      <c r="AJ559" s="9" t="str">
        <f>"Q"&amp;ROUNDUP(MONTH(Cleaned_data[[#This Row],[Order_Date]])/3,0)</f>
        <v>Q3</v>
      </c>
    </row>
    <row r="560" spans="1:36">
      <c r="A560" t="s">
        <v>1049</v>
      </c>
      <c r="B560" s="9">
        <v>45883</v>
      </c>
      <c r="C560" s="9">
        <v>45890</v>
      </c>
      <c r="D560" t="s">
        <v>402</v>
      </c>
      <c r="E560" t="s">
        <v>403</v>
      </c>
      <c r="F560" t="s">
        <v>74</v>
      </c>
      <c r="G560" t="s">
        <v>75</v>
      </c>
      <c r="H560" t="s">
        <v>212</v>
      </c>
      <c r="I560" t="s">
        <v>213</v>
      </c>
      <c r="J560" t="s">
        <v>129</v>
      </c>
      <c r="K560" t="s">
        <v>79</v>
      </c>
      <c r="L560" t="s">
        <v>337</v>
      </c>
      <c r="M560" t="s">
        <v>338</v>
      </c>
      <c r="N560" t="s">
        <v>93</v>
      </c>
      <c r="O560" t="s">
        <v>236</v>
      </c>
      <c r="P560" s="8">
        <v>4</v>
      </c>
      <c r="Q560" s="10">
        <v>279.74</v>
      </c>
      <c r="R560" s="11">
        <v>0.08</v>
      </c>
      <c r="S560" s="10">
        <v>25.65</v>
      </c>
      <c r="T560" t="s">
        <v>84</v>
      </c>
      <c r="U560" t="s">
        <v>148</v>
      </c>
      <c r="V560" s="8">
        <v>1</v>
      </c>
      <c r="W560" t="s">
        <v>1270</v>
      </c>
      <c r="X560" t="str">
        <f>_xlfn.XLOOKUP(Cleaned_data[[#This Row],[Customer_ID]],Customers[S],Customers[Loyalty_Tier])</f>
        <v>Bronze</v>
      </c>
      <c r="Y560" s="9">
        <f>_xlfn.XLOOKUP(Cleaned_data[[#This Row],[Customer_ID]],Customers[S],Customers[Signup_Date])</f>
        <v>45658</v>
      </c>
      <c r="Z560" s="12">
        <f>_xlfn.XLOOKUP(Cleaned_data[[#This Row],[SKU]],Products[SKU],Products[Standard_Cost])</f>
        <v>146</v>
      </c>
      <c r="AA560" s="10">
        <f>Cleaned_data[[#This Row],[Quantity]]*Cleaned_data[[#This Row],[Unit_Price]]</f>
        <v>1118.96</v>
      </c>
      <c r="AB560" s="10">
        <f>Cleaned_data[[#This Row],[Unit_Price]]*Cleaned_data[[#This Row],[Discount_Pct]]</f>
        <v>22.379200000000001</v>
      </c>
      <c r="AC560" s="10">
        <f>Cleaned_data[[#This Row],[Gross Sales]]-Cleaned_data[[#This Row],[Discount amount]]</f>
        <v>1096.5808</v>
      </c>
      <c r="AD560" s="10">
        <f>Cleaned_data[[#This Row],[Product Cost]]*Cleaned_data[[#This Row],[Quantity]]</f>
        <v>584</v>
      </c>
      <c r="AE560" s="10">
        <f>Cleaned_data[[#This Row],[Net Sales]]-Cleaned_data[[#This Row],[COGS]]</f>
        <v>512.58079999999995</v>
      </c>
      <c r="AF560" s="11">
        <f>Cleaned_data[[#This Row],[Gross Profit]]/Cleaned_data[[#This Row],[Net Sales]]</f>
        <v>0.46743550498057229</v>
      </c>
      <c r="AG560">
        <f>Cleaned_data[[#This Row],[Ship_Date]]-Cleaned_data[[#This Row],[Order_Date]]</f>
        <v>7</v>
      </c>
      <c r="AH560" t="str">
        <f>IF(Cleaned_data[[#This Row],[Delivery Days]]&gt;10,"late","on time")</f>
        <v>on time</v>
      </c>
      <c r="AI560" t="str">
        <f>TEXT(Cleaned_data[[#This Row],[Order_Date]],"mmmm")</f>
        <v>August</v>
      </c>
      <c r="AJ560" s="9" t="str">
        <f>"Q"&amp;ROUNDUP(MONTH(Cleaned_data[[#This Row],[Order_Date]])/3,0)</f>
        <v>Q3</v>
      </c>
    </row>
    <row r="561" spans="1:36">
      <c r="A561" t="s">
        <v>1050</v>
      </c>
      <c r="B561" s="9">
        <v>45884</v>
      </c>
      <c r="C561" s="9">
        <v>45894</v>
      </c>
      <c r="D561" t="s">
        <v>248</v>
      </c>
      <c r="E561" t="s">
        <v>137</v>
      </c>
      <c r="F561" t="s">
        <v>74</v>
      </c>
      <c r="G561" t="s">
        <v>75</v>
      </c>
      <c r="H561" t="s">
        <v>98</v>
      </c>
      <c r="I561" t="s">
        <v>99</v>
      </c>
      <c r="J561" t="s">
        <v>78</v>
      </c>
      <c r="K561" t="s">
        <v>147</v>
      </c>
      <c r="L561" t="s">
        <v>162</v>
      </c>
      <c r="M561" t="s">
        <v>163</v>
      </c>
      <c r="N561" t="s">
        <v>120</v>
      </c>
      <c r="O561" t="s">
        <v>164</v>
      </c>
      <c r="P561" s="8">
        <v>4</v>
      </c>
      <c r="Q561" s="10">
        <v>891.87</v>
      </c>
      <c r="R561" s="11">
        <v>0.02</v>
      </c>
      <c r="S561" s="10">
        <v>21.56</v>
      </c>
      <c r="T561" t="s">
        <v>84</v>
      </c>
      <c r="U561" t="s">
        <v>85</v>
      </c>
      <c r="V561" s="8">
        <v>1</v>
      </c>
      <c r="W561" t="s">
        <v>1270</v>
      </c>
      <c r="X561" t="str">
        <f>_xlfn.XLOOKUP(Cleaned_data[[#This Row],[Customer_ID]],Customers[S],Customers[Loyalty_Tier])</f>
        <v>Gold</v>
      </c>
      <c r="Y561" s="9">
        <f>_xlfn.XLOOKUP(Cleaned_data[[#This Row],[Customer_ID]],Customers[S],Customers[Signup_Date])</f>
        <v>45204</v>
      </c>
      <c r="Z561" s="12">
        <f>_xlfn.XLOOKUP(Cleaned_data[[#This Row],[SKU]],Products[SKU],Products[Standard_Cost])</f>
        <v>585</v>
      </c>
      <c r="AA561" s="10">
        <f>Cleaned_data[[#This Row],[Quantity]]*Cleaned_data[[#This Row],[Unit_Price]]</f>
        <v>3567.48</v>
      </c>
      <c r="AB561" s="10">
        <f>Cleaned_data[[#This Row],[Unit_Price]]*Cleaned_data[[#This Row],[Discount_Pct]]</f>
        <v>17.837399999999999</v>
      </c>
      <c r="AC561" s="10">
        <f>Cleaned_data[[#This Row],[Gross Sales]]-Cleaned_data[[#This Row],[Discount amount]]</f>
        <v>3549.6426000000001</v>
      </c>
      <c r="AD561" s="10">
        <f>Cleaned_data[[#This Row],[Product Cost]]*Cleaned_data[[#This Row],[Quantity]]</f>
        <v>2340</v>
      </c>
      <c r="AE561" s="10">
        <f>Cleaned_data[[#This Row],[Net Sales]]-Cleaned_data[[#This Row],[COGS]]</f>
        <v>1209.6426000000001</v>
      </c>
      <c r="AF561" s="11">
        <f>Cleaned_data[[#This Row],[Gross Profit]]/Cleaned_data[[#This Row],[Net Sales]]</f>
        <v>0.34077870262206117</v>
      </c>
      <c r="AG561">
        <f>Cleaned_data[[#This Row],[Ship_Date]]-Cleaned_data[[#This Row],[Order_Date]]</f>
        <v>10</v>
      </c>
      <c r="AH561" t="str">
        <f>IF(Cleaned_data[[#This Row],[Delivery Days]]&gt;10,"late","on time")</f>
        <v>on time</v>
      </c>
      <c r="AI561" t="str">
        <f>TEXT(Cleaned_data[[#This Row],[Order_Date]],"mmmm")</f>
        <v>August</v>
      </c>
      <c r="AJ561" s="9" t="str">
        <f>"Q"&amp;ROUNDUP(MONTH(Cleaned_data[[#This Row],[Order_Date]])/3,0)</f>
        <v>Q3</v>
      </c>
    </row>
    <row r="562" spans="1:36">
      <c r="A562" t="s">
        <v>1051</v>
      </c>
      <c r="B562" s="9">
        <v>45884</v>
      </c>
      <c r="C562" s="9">
        <v>45889</v>
      </c>
      <c r="D562" t="s">
        <v>508</v>
      </c>
      <c r="E562" t="s">
        <v>509</v>
      </c>
      <c r="F562" t="s">
        <v>74</v>
      </c>
      <c r="G562" t="s">
        <v>75</v>
      </c>
      <c r="H562" t="s">
        <v>76</v>
      </c>
      <c r="I562" t="s">
        <v>77</v>
      </c>
      <c r="J562" t="s">
        <v>78</v>
      </c>
      <c r="K562" t="s">
        <v>130</v>
      </c>
      <c r="L562" t="s">
        <v>80</v>
      </c>
      <c r="M562" t="s">
        <v>81</v>
      </c>
      <c r="N562" t="s">
        <v>82</v>
      </c>
      <c r="O562" t="s">
        <v>83</v>
      </c>
      <c r="P562" s="8">
        <v>1</v>
      </c>
      <c r="Q562" s="10">
        <v>0</v>
      </c>
      <c r="R562" s="11">
        <v>0</v>
      </c>
      <c r="S562" s="10">
        <v>14.8</v>
      </c>
      <c r="T562" t="s">
        <v>84</v>
      </c>
      <c r="U562" t="s">
        <v>85</v>
      </c>
      <c r="V562" s="8">
        <v>1</v>
      </c>
      <c r="W562" t="s">
        <v>1274</v>
      </c>
      <c r="X562" t="str">
        <f>_xlfn.XLOOKUP(Cleaned_data[[#This Row],[Customer_ID]],Customers[S],Customers[Loyalty_Tier])</f>
        <v>Platinum</v>
      </c>
      <c r="Y562" s="9">
        <f>_xlfn.XLOOKUP(Cleaned_data[[#This Row],[Customer_ID]],Customers[S],Customers[Signup_Date])</f>
        <v>44820</v>
      </c>
      <c r="Z562" s="12">
        <f>_xlfn.XLOOKUP(Cleaned_data[[#This Row],[SKU]],Products[SKU],Products[Standard_Cost])</f>
        <v>125</v>
      </c>
      <c r="AA562" s="10">
        <f>Cleaned_data[[#This Row],[Quantity]]*Cleaned_data[[#This Row],[Unit_Price]]</f>
        <v>0</v>
      </c>
      <c r="AB562" s="10">
        <f>Cleaned_data[[#This Row],[Unit_Price]]*Cleaned_data[[#This Row],[Discount_Pct]]</f>
        <v>0</v>
      </c>
      <c r="AC562" s="10">
        <f>Cleaned_data[[#This Row],[Gross Sales]]-Cleaned_data[[#This Row],[Discount amount]]</f>
        <v>0</v>
      </c>
      <c r="AD562" s="10">
        <f>Cleaned_data[[#This Row],[Product Cost]]*Cleaned_data[[#This Row],[Quantity]]</f>
        <v>125</v>
      </c>
      <c r="AE562" s="10">
        <f>Cleaned_data[[#This Row],[Net Sales]]-Cleaned_data[[#This Row],[COGS]]</f>
        <v>-125</v>
      </c>
      <c r="AF562" s="11" t="e">
        <f>Cleaned_data[[#This Row],[Gross Profit]]/Cleaned_data[[#This Row],[Net Sales]]</f>
        <v>#DIV/0!</v>
      </c>
      <c r="AG562">
        <f>Cleaned_data[[#This Row],[Ship_Date]]-Cleaned_data[[#This Row],[Order_Date]]</f>
        <v>5</v>
      </c>
      <c r="AH562" t="str">
        <f>IF(Cleaned_data[[#This Row],[Delivery Days]]&gt;10,"late","on time")</f>
        <v>on time</v>
      </c>
      <c r="AI562" t="str">
        <f>TEXT(Cleaned_data[[#This Row],[Order_Date]],"mmmm")</f>
        <v>August</v>
      </c>
      <c r="AJ562" s="9" t="str">
        <f>"Q"&amp;ROUNDUP(MONTH(Cleaned_data[[#This Row],[Order_Date]])/3,0)</f>
        <v>Q3</v>
      </c>
    </row>
    <row r="563" spans="1:36">
      <c r="A563" t="s">
        <v>1052</v>
      </c>
      <c r="B563" s="9">
        <v>45884</v>
      </c>
      <c r="C563" s="9">
        <v>45887</v>
      </c>
      <c r="D563" t="s">
        <v>297</v>
      </c>
      <c r="E563" t="s">
        <v>298</v>
      </c>
      <c r="F563" t="s">
        <v>74</v>
      </c>
      <c r="G563" t="s">
        <v>126</v>
      </c>
      <c r="H563" t="s">
        <v>291</v>
      </c>
      <c r="I563" t="s">
        <v>292</v>
      </c>
      <c r="J563" t="s">
        <v>219</v>
      </c>
      <c r="K563" t="s">
        <v>90</v>
      </c>
      <c r="L563" t="s">
        <v>141</v>
      </c>
      <c r="M563" t="s">
        <v>142</v>
      </c>
      <c r="N563" t="s">
        <v>103</v>
      </c>
      <c r="O563" t="s">
        <v>143</v>
      </c>
      <c r="P563" s="8">
        <v>9</v>
      </c>
      <c r="Q563" s="10">
        <v>37.06</v>
      </c>
      <c r="R563" s="11">
        <v>0.02</v>
      </c>
      <c r="S563" s="10">
        <v>13.82</v>
      </c>
      <c r="T563" t="s">
        <v>84</v>
      </c>
      <c r="U563" t="s">
        <v>85</v>
      </c>
      <c r="V563" s="8">
        <v>2</v>
      </c>
      <c r="W563" t="s">
        <v>1270</v>
      </c>
      <c r="X563" t="str">
        <f>_xlfn.XLOOKUP(Cleaned_data[[#This Row],[Customer_ID]],Customers[S],Customers[Loyalty_Tier])</f>
        <v>Bronze</v>
      </c>
      <c r="Y563" s="9">
        <f>_xlfn.XLOOKUP(Cleaned_data[[#This Row],[Customer_ID]],Customers[S],Customers[Signup_Date])</f>
        <v>44911</v>
      </c>
      <c r="Z563" s="12">
        <f>_xlfn.XLOOKUP(Cleaned_data[[#This Row],[SKU]],Products[SKU],Products[Standard_Cost])</f>
        <v>18</v>
      </c>
      <c r="AA563" s="10">
        <f>Cleaned_data[[#This Row],[Quantity]]*Cleaned_data[[#This Row],[Unit_Price]]</f>
        <v>333.54</v>
      </c>
      <c r="AB563" s="10">
        <f>Cleaned_data[[#This Row],[Unit_Price]]*Cleaned_data[[#This Row],[Discount_Pct]]</f>
        <v>0.74120000000000008</v>
      </c>
      <c r="AC563" s="10">
        <f>Cleaned_data[[#This Row],[Gross Sales]]-Cleaned_data[[#This Row],[Discount amount]]</f>
        <v>332.79880000000003</v>
      </c>
      <c r="AD563" s="10">
        <f>Cleaned_data[[#This Row],[Product Cost]]*Cleaned_data[[#This Row],[Quantity]]</f>
        <v>162</v>
      </c>
      <c r="AE563" s="10">
        <f>Cleaned_data[[#This Row],[Net Sales]]-Cleaned_data[[#This Row],[COGS]]</f>
        <v>170.79880000000003</v>
      </c>
      <c r="AF563" s="11">
        <f>Cleaned_data[[#This Row],[Gross Profit]]/Cleaned_data[[#This Row],[Net Sales]]</f>
        <v>0.51321939862763932</v>
      </c>
      <c r="AG563">
        <f>Cleaned_data[[#This Row],[Ship_Date]]-Cleaned_data[[#This Row],[Order_Date]]</f>
        <v>3</v>
      </c>
      <c r="AH563" t="str">
        <f>IF(Cleaned_data[[#This Row],[Delivery Days]]&gt;10,"late","on time")</f>
        <v>on time</v>
      </c>
      <c r="AI563" t="str">
        <f>TEXT(Cleaned_data[[#This Row],[Order_Date]],"mmmm")</f>
        <v>August</v>
      </c>
      <c r="AJ563" s="9" t="str">
        <f>"Q"&amp;ROUNDUP(MONTH(Cleaned_data[[#This Row],[Order_Date]])/3,0)</f>
        <v>Q3</v>
      </c>
    </row>
    <row r="564" spans="1:36">
      <c r="A564" t="s">
        <v>1053</v>
      </c>
      <c r="B564" s="9">
        <v>45885</v>
      </c>
      <c r="C564" s="9">
        <v>45886</v>
      </c>
      <c r="D564" t="s">
        <v>812</v>
      </c>
      <c r="E564" t="s">
        <v>813</v>
      </c>
      <c r="F564" t="s">
        <v>152</v>
      </c>
      <c r="G564" t="s">
        <v>75</v>
      </c>
      <c r="H564" t="s">
        <v>273</v>
      </c>
      <c r="I564" t="s">
        <v>274</v>
      </c>
      <c r="J564" t="s">
        <v>129</v>
      </c>
      <c r="K564" t="s">
        <v>79</v>
      </c>
      <c r="L564" t="s">
        <v>359</v>
      </c>
      <c r="M564" t="s">
        <v>360</v>
      </c>
      <c r="N564" t="s">
        <v>93</v>
      </c>
      <c r="O564" t="s">
        <v>94</v>
      </c>
      <c r="P564" s="8">
        <v>4</v>
      </c>
      <c r="Q564" s="10">
        <v>471.24</v>
      </c>
      <c r="R564" s="11">
        <v>0.12</v>
      </c>
      <c r="S564" s="10">
        <v>20.95</v>
      </c>
      <c r="T564" t="s">
        <v>84</v>
      </c>
      <c r="U564" t="s">
        <v>85</v>
      </c>
      <c r="V564" s="8">
        <v>1</v>
      </c>
      <c r="W564" t="s">
        <v>1270</v>
      </c>
      <c r="X564" t="str">
        <f>_xlfn.XLOOKUP(Cleaned_data[[#This Row],[Customer_ID]],Customers[S],Customers[Loyalty_Tier])</f>
        <v>Platinum</v>
      </c>
      <c r="Y564" s="9">
        <f>_xlfn.XLOOKUP(Cleaned_data[[#This Row],[Customer_ID]],Customers[S],Customers[Signup_Date])</f>
        <v>45828</v>
      </c>
      <c r="Z564" s="12">
        <f>_xlfn.XLOOKUP(Cleaned_data[[#This Row],[SKU]],Products[SKU],Products[Standard_Cost])</f>
        <v>265</v>
      </c>
      <c r="AA564" s="10">
        <f>Cleaned_data[[#This Row],[Quantity]]*Cleaned_data[[#This Row],[Unit_Price]]</f>
        <v>1884.96</v>
      </c>
      <c r="AB564" s="10">
        <f>Cleaned_data[[#This Row],[Unit_Price]]*Cleaned_data[[#This Row],[Discount_Pct]]</f>
        <v>56.5488</v>
      </c>
      <c r="AC564" s="10">
        <f>Cleaned_data[[#This Row],[Gross Sales]]-Cleaned_data[[#This Row],[Discount amount]]</f>
        <v>1828.4112</v>
      </c>
      <c r="AD564" s="10">
        <f>Cleaned_data[[#This Row],[Product Cost]]*Cleaned_data[[#This Row],[Quantity]]</f>
        <v>1060</v>
      </c>
      <c r="AE564" s="10">
        <f>Cleaned_data[[#This Row],[Net Sales]]-Cleaned_data[[#This Row],[COGS]]</f>
        <v>768.41120000000001</v>
      </c>
      <c r="AF564" s="11">
        <f>Cleaned_data[[#This Row],[Gross Profit]]/Cleaned_data[[#This Row],[Net Sales]]</f>
        <v>0.4202617004315003</v>
      </c>
      <c r="AG564">
        <f>Cleaned_data[[#This Row],[Ship_Date]]-Cleaned_data[[#This Row],[Order_Date]]</f>
        <v>1</v>
      </c>
      <c r="AH564" t="str">
        <f>IF(Cleaned_data[[#This Row],[Delivery Days]]&gt;10,"late","on time")</f>
        <v>on time</v>
      </c>
      <c r="AI564" t="str">
        <f>TEXT(Cleaned_data[[#This Row],[Order_Date]],"mmmm")</f>
        <v>August</v>
      </c>
      <c r="AJ564" s="9" t="str">
        <f>"Q"&amp;ROUNDUP(MONTH(Cleaned_data[[#This Row],[Order_Date]])/3,0)</f>
        <v>Q3</v>
      </c>
    </row>
    <row r="565" spans="1:36">
      <c r="A565" t="s">
        <v>1054</v>
      </c>
      <c r="B565" s="9">
        <v>45886</v>
      </c>
      <c r="C565" s="9">
        <v>45895</v>
      </c>
      <c r="D565" t="s">
        <v>541</v>
      </c>
      <c r="E565" t="s">
        <v>542</v>
      </c>
      <c r="F565" t="s">
        <v>89</v>
      </c>
      <c r="G565" t="s">
        <v>138</v>
      </c>
      <c r="H565" t="s">
        <v>139</v>
      </c>
      <c r="I565" t="s">
        <v>140</v>
      </c>
      <c r="J565" t="s">
        <v>219</v>
      </c>
      <c r="K565" t="s">
        <v>90</v>
      </c>
      <c r="L565" t="s">
        <v>220</v>
      </c>
      <c r="M565" t="s">
        <v>221</v>
      </c>
      <c r="N565" t="s">
        <v>93</v>
      </c>
      <c r="O565" t="s">
        <v>177</v>
      </c>
      <c r="P565" s="8">
        <v>2</v>
      </c>
      <c r="Q565" s="10">
        <v>224.36</v>
      </c>
      <c r="R565" s="11">
        <v>0.1</v>
      </c>
      <c r="S565" s="10">
        <v>19.16</v>
      </c>
      <c r="T565" t="s">
        <v>105</v>
      </c>
      <c r="U565" t="s">
        <v>85</v>
      </c>
      <c r="V565" s="8">
        <v>5</v>
      </c>
      <c r="W565" t="s">
        <v>1270</v>
      </c>
      <c r="X565" t="str">
        <f>_xlfn.XLOOKUP(Cleaned_data[[#This Row],[Customer_ID]],Customers[S],Customers[Loyalty_Tier])</f>
        <v>Silver</v>
      </c>
      <c r="Y565" s="9">
        <f>_xlfn.XLOOKUP(Cleaned_data[[#This Row],[Customer_ID]],Customers[S],Customers[Signup_Date])</f>
        <v>45674</v>
      </c>
      <c r="Z565" s="12">
        <f>_xlfn.XLOOKUP(Cleaned_data[[#This Row],[SKU]],Products[SKU],Products[Standard_Cost])</f>
        <v>118</v>
      </c>
      <c r="AA565" s="10">
        <f>Cleaned_data[[#This Row],[Quantity]]*Cleaned_data[[#This Row],[Unit_Price]]</f>
        <v>448.72</v>
      </c>
      <c r="AB565" s="10">
        <f>Cleaned_data[[#This Row],[Unit_Price]]*Cleaned_data[[#This Row],[Discount_Pct]]</f>
        <v>22.436000000000003</v>
      </c>
      <c r="AC565" s="10">
        <f>Cleaned_data[[#This Row],[Gross Sales]]-Cleaned_data[[#This Row],[Discount amount]]</f>
        <v>426.28400000000005</v>
      </c>
      <c r="AD565" s="10">
        <f>Cleaned_data[[#This Row],[Product Cost]]*Cleaned_data[[#This Row],[Quantity]]</f>
        <v>236</v>
      </c>
      <c r="AE565" s="10">
        <f>Cleaned_data[[#This Row],[Net Sales]]-Cleaned_data[[#This Row],[COGS]]</f>
        <v>190.28400000000005</v>
      </c>
      <c r="AF565" s="11">
        <f>Cleaned_data[[#This Row],[Gross Profit]]/Cleaned_data[[#This Row],[Net Sales]]</f>
        <v>0.44637847069090097</v>
      </c>
      <c r="AG565">
        <f>Cleaned_data[[#This Row],[Ship_Date]]-Cleaned_data[[#This Row],[Order_Date]]</f>
        <v>9</v>
      </c>
      <c r="AH565" t="str">
        <f>IF(Cleaned_data[[#This Row],[Delivery Days]]&gt;10,"late","on time")</f>
        <v>on time</v>
      </c>
      <c r="AI565" t="str">
        <f>TEXT(Cleaned_data[[#This Row],[Order_Date]],"mmmm")</f>
        <v>August</v>
      </c>
      <c r="AJ565" s="9" t="str">
        <f>"Q"&amp;ROUNDUP(MONTH(Cleaned_data[[#This Row],[Order_Date]])/3,0)</f>
        <v>Q3</v>
      </c>
    </row>
    <row r="566" spans="1:36">
      <c r="A566" t="s">
        <v>1055</v>
      </c>
      <c r="B566" s="9">
        <v>45887</v>
      </c>
      <c r="C566" s="9">
        <v>45894</v>
      </c>
      <c r="D566" t="s">
        <v>787</v>
      </c>
      <c r="E566" t="s">
        <v>660</v>
      </c>
      <c r="F566" t="s">
        <v>152</v>
      </c>
      <c r="G566" t="s">
        <v>194</v>
      </c>
      <c r="H566" t="s">
        <v>1271</v>
      </c>
      <c r="I566" t="s">
        <v>203</v>
      </c>
      <c r="J566" t="s">
        <v>109</v>
      </c>
      <c r="K566" t="s">
        <v>168</v>
      </c>
      <c r="L566" t="s">
        <v>91</v>
      </c>
      <c r="M566" t="s">
        <v>92</v>
      </c>
      <c r="N566" t="s">
        <v>93</v>
      </c>
      <c r="O566" t="s">
        <v>94</v>
      </c>
      <c r="P566" s="8">
        <v>2</v>
      </c>
      <c r="Q566" s="10">
        <v>332.77</v>
      </c>
      <c r="R566" s="11">
        <v>0.06</v>
      </c>
      <c r="S566" s="10">
        <v>26.49</v>
      </c>
      <c r="T566" t="s">
        <v>84</v>
      </c>
      <c r="U566" t="s">
        <v>85</v>
      </c>
      <c r="V566" s="8">
        <v>3</v>
      </c>
      <c r="W566" t="s">
        <v>1279</v>
      </c>
      <c r="X566" t="str">
        <f>_xlfn.XLOOKUP(Cleaned_data[[#This Row],[Customer_ID]],Customers[S],Customers[Loyalty_Tier])</f>
        <v>Gold</v>
      </c>
      <c r="Y566" s="9">
        <f>_xlfn.XLOOKUP(Cleaned_data[[#This Row],[Customer_ID]],Customers[S],Customers[Signup_Date])</f>
        <v>44524</v>
      </c>
      <c r="Z566" s="12">
        <f>_xlfn.XLOOKUP(Cleaned_data[[#This Row],[SKU]],Products[SKU],Products[Standard_Cost])</f>
        <v>184</v>
      </c>
      <c r="AA566" s="10">
        <f>Cleaned_data[[#This Row],[Quantity]]*Cleaned_data[[#This Row],[Unit_Price]]</f>
        <v>665.54</v>
      </c>
      <c r="AB566" s="10">
        <f>Cleaned_data[[#This Row],[Unit_Price]]*Cleaned_data[[#This Row],[Discount_Pct]]</f>
        <v>19.966199999999997</v>
      </c>
      <c r="AC566" s="10">
        <f>Cleaned_data[[#This Row],[Gross Sales]]-Cleaned_data[[#This Row],[Discount amount]]</f>
        <v>645.57380000000001</v>
      </c>
      <c r="AD566" s="10">
        <f>Cleaned_data[[#This Row],[Product Cost]]*Cleaned_data[[#This Row],[Quantity]]</f>
        <v>368</v>
      </c>
      <c r="AE566" s="10">
        <f>Cleaned_data[[#This Row],[Net Sales]]-Cleaned_data[[#This Row],[COGS]]</f>
        <v>277.57380000000001</v>
      </c>
      <c r="AF566" s="11">
        <f>Cleaned_data[[#This Row],[Gross Profit]]/Cleaned_data[[#This Row],[Net Sales]]</f>
        <v>0.42996447501432061</v>
      </c>
      <c r="AG566">
        <f>Cleaned_data[[#This Row],[Ship_Date]]-Cleaned_data[[#This Row],[Order_Date]]</f>
        <v>7</v>
      </c>
      <c r="AH566" t="str">
        <f>IF(Cleaned_data[[#This Row],[Delivery Days]]&gt;10,"late","on time")</f>
        <v>on time</v>
      </c>
      <c r="AI566" t="str">
        <f>TEXT(Cleaned_data[[#This Row],[Order_Date]],"mmmm")</f>
        <v>August</v>
      </c>
      <c r="AJ566" s="9" t="str">
        <f>"Q"&amp;ROUNDUP(MONTH(Cleaned_data[[#This Row],[Order_Date]])/3,0)</f>
        <v>Q3</v>
      </c>
    </row>
    <row r="567" spans="1:36">
      <c r="A567" t="s">
        <v>1056</v>
      </c>
      <c r="B567" s="9">
        <v>45887</v>
      </c>
      <c r="C567" s="9">
        <v>45892</v>
      </c>
      <c r="D567" t="s">
        <v>287</v>
      </c>
      <c r="E567" t="s">
        <v>146</v>
      </c>
      <c r="F567" t="s">
        <v>89</v>
      </c>
      <c r="G567" t="s">
        <v>194</v>
      </c>
      <c r="H567" t="s">
        <v>195</v>
      </c>
      <c r="I567" t="s">
        <v>196</v>
      </c>
      <c r="J567" t="s">
        <v>109</v>
      </c>
      <c r="K567" t="s">
        <v>90</v>
      </c>
      <c r="L567" t="s">
        <v>261</v>
      </c>
      <c r="M567" t="s">
        <v>262</v>
      </c>
      <c r="N567" t="s">
        <v>103</v>
      </c>
      <c r="O567" t="s">
        <v>104</v>
      </c>
      <c r="P567" s="8">
        <v>1</v>
      </c>
      <c r="Q567" s="10">
        <v>28.01</v>
      </c>
      <c r="R567" s="11">
        <v>0.1</v>
      </c>
      <c r="S567" s="10">
        <v>11.01</v>
      </c>
      <c r="T567" t="s">
        <v>84</v>
      </c>
      <c r="U567" t="s">
        <v>85</v>
      </c>
      <c r="V567" s="8">
        <v>1</v>
      </c>
      <c r="W567" t="s">
        <v>1270</v>
      </c>
      <c r="X567" t="str">
        <f>_xlfn.XLOOKUP(Cleaned_data[[#This Row],[Customer_ID]],Customers[S],Customers[Loyalty_Tier])</f>
        <v>Gold</v>
      </c>
      <c r="Y567" s="9">
        <f>_xlfn.XLOOKUP(Cleaned_data[[#This Row],[Customer_ID]],Customers[S],Customers[Signup_Date])</f>
        <v>45848</v>
      </c>
      <c r="Z567" s="12">
        <f>_xlfn.XLOOKUP(Cleaned_data[[#This Row],[SKU]],Products[SKU],Products[Standard_Cost])</f>
        <v>12</v>
      </c>
      <c r="AA567" s="10">
        <f>Cleaned_data[[#This Row],[Quantity]]*Cleaned_data[[#This Row],[Unit_Price]]</f>
        <v>28.01</v>
      </c>
      <c r="AB567" s="10">
        <f>Cleaned_data[[#This Row],[Unit_Price]]*Cleaned_data[[#This Row],[Discount_Pct]]</f>
        <v>2.8010000000000002</v>
      </c>
      <c r="AC567" s="10">
        <f>Cleaned_data[[#This Row],[Gross Sales]]-Cleaned_data[[#This Row],[Discount amount]]</f>
        <v>25.209000000000003</v>
      </c>
      <c r="AD567" s="10">
        <f>Cleaned_data[[#This Row],[Product Cost]]*Cleaned_data[[#This Row],[Quantity]]</f>
        <v>12</v>
      </c>
      <c r="AE567" s="10">
        <f>Cleaned_data[[#This Row],[Net Sales]]-Cleaned_data[[#This Row],[COGS]]</f>
        <v>13.209000000000003</v>
      </c>
      <c r="AF567" s="11">
        <f>Cleaned_data[[#This Row],[Gross Profit]]/Cleaned_data[[#This Row],[Net Sales]]</f>
        <v>0.52397953111983819</v>
      </c>
      <c r="AG567">
        <f>Cleaned_data[[#This Row],[Ship_Date]]-Cleaned_data[[#This Row],[Order_Date]]</f>
        <v>5</v>
      </c>
      <c r="AH567" t="str">
        <f>IF(Cleaned_data[[#This Row],[Delivery Days]]&gt;10,"late","on time")</f>
        <v>on time</v>
      </c>
      <c r="AI567" t="str">
        <f>TEXT(Cleaned_data[[#This Row],[Order_Date]],"mmmm")</f>
        <v>August</v>
      </c>
      <c r="AJ567" s="9" t="str">
        <f>"Q"&amp;ROUNDUP(MONTH(Cleaned_data[[#This Row],[Order_Date]])/3,0)</f>
        <v>Q3</v>
      </c>
    </row>
    <row r="568" spans="1:36">
      <c r="A568" t="s">
        <v>1057</v>
      </c>
      <c r="B568" s="9">
        <v>45888</v>
      </c>
      <c r="C568" s="9">
        <v>45896</v>
      </c>
      <c r="D568" t="s">
        <v>279</v>
      </c>
      <c r="E568" t="s">
        <v>280</v>
      </c>
      <c r="F568" t="s">
        <v>89</v>
      </c>
      <c r="G568" t="s">
        <v>126</v>
      </c>
      <c r="H568" t="s">
        <v>160</v>
      </c>
      <c r="I568" t="s">
        <v>182</v>
      </c>
      <c r="J568" t="s">
        <v>129</v>
      </c>
      <c r="K568" t="s">
        <v>168</v>
      </c>
      <c r="L568" t="s">
        <v>80</v>
      </c>
      <c r="M568" t="s">
        <v>81</v>
      </c>
      <c r="N568" t="s">
        <v>82</v>
      </c>
      <c r="O568" t="s">
        <v>83</v>
      </c>
      <c r="P568" s="8">
        <v>10</v>
      </c>
      <c r="Q568" s="10">
        <v>242.38</v>
      </c>
      <c r="R568" s="11">
        <v>0.01</v>
      </c>
      <c r="S568" s="10">
        <v>6.04</v>
      </c>
      <c r="T568" t="s">
        <v>84</v>
      </c>
      <c r="U568" t="s">
        <v>85</v>
      </c>
      <c r="V568" s="8">
        <v>5</v>
      </c>
      <c r="W568" t="s">
        <v>1270</v>
      </c>
      <c r="X568" t="str">
        <f>_xlfn.XLOOKUP(Cleaned_data[[#This Row],[Customer_ID]],Customers[S],Customers[Loyalty_Tier])</f>
        <v>Bronze</v>
      </c>
      <c r="Y568" s="9">
        <f>_xlfn.XLOOKUP(Cleaned_data[[#This Row],[Customer_ID]],Customers[S],Customers[Signup_Date])</f>
        <v>45772</v>
      </c>
      <c r="Z568" s="12">
        <f>_xlfn.XLOOKUP(Cleaned_data[[#This Row],[SKU]],Products[SKU],Products[Standard_Cost])</f>
        <v>125</v>
      </c>
      <c r="AA568" s="10">
        <f>Cleaned_data[[#This Row],[Quantity]]*Cleaned_data[[#This Row],[Unit_Price]]</f>
        <v>2423.8000000000002</v>
      </c>
      <c r="AB568" s="10">
        <f>Cleaned_data[[#This Row],[Unit_Price]]*Cleaned_data[[#This Row],[Discount_Pct]]</f>
        <v>2.4238</v>
      </c>
      <c r="AC568" s="10">
        <f>Cleaned_data[[#This Row],[Gross Sales]]-Cleaned_data[[#This Row],[Discount amount]]</f>
        <v>2421.3762000000002</v>
      </c>
      <c r="AD568" s="10">
        <f>Cleaned_data[[#This Row],[Product Cost]]*Cleaned_data[[#This Row],[Quantity]]</f>
        <v>1250</v>
      </c>
      <c r="AE568" s="10">
        <f>Cleaned_data[[#This Row],[Net Sales]]-Cleaned_data[[#This Row],[COGS]]</f>
        <v>1171.3762000000002</v>
      </c>
      <c r="AF568" s="11">
        <f>Cleaned_data[[#This Row],[Gross Profit]]/Cleaned_data[[#This Row],[Net Sales]]</f>
        <v>0.48376464590673685</v>
      </c>
      <c r="AG568">
        <f>Cleaned_data[[#This Row],[Ship_Date]]-Cleaned_data[[#This Row],[Order_Date]]</f>
        <v>8</v>
      </c>
      <c r="AH568" t="str">
        <f>IF(Cleaned_data[[#This Row],[Delivery Days]]&gt;10,"late","on time")</f>
        <v>on time</v>
      </c>
      <c r="AI568" t="str">
        <f>TEXT(Cleaned_data[[#This Row],[Order_Date]],"mmmm")</f>
        <v>August</v>
      </c>
      <c r="AJ568" s="9" t="str">
        <f>"Q"&amp;ROUNDUP(MONTH(Cleaned_data[[#This Row],[Order_Date]])/3,0)</f>
        <v>Q3</v>
      </c>
    </row>
    <row r="569" spans="1:36">
      <c r="A569" t="s">
        <v>1058</v>
      </c>
      <c r="B569" s="9">
        <v>45890</v>
      </c>
      <c r="C569" s="9">
        <v>45897</v>
      </c>
      <c r="D569" t="s">
        <v>210</v>
      </c>
      <c r="E569" t="s">
        <v>211</v>
      </c>
      <c r="F569" t="s">
        <v>89</v>
      </c>
      <c r="G569" t="s">
        <v>75</v>
      </c>
      <c r="H569" t="s">
        <v>212</v>
      </c>
      <c r="I569" t="s">
        <v>213</v>
      </c>
      <c r="J569" t="s">
        <v>78</v>
      </c>
      <c r="K569" t="s">
        <v>90</v>
      </c>
      <c r="L569" t="s">
        <v>80</v>
      </c>
      <c r="M569" t="s">
        <v>81</v>
      </c>
      <c r="N569" t="s">
        <v>82</v>
      </c>
      <c r="O569" t="s">
        <v>83</v>
      </c>
      <c r="P569" s="8">
        <v>4</v>
      </c>
      <c r="Q569" s="10">
        <v>252.56</v>
      </c>
      <c r="R569" s="11">
        <v>0.11</v>
      </c>
      <c r="S569" s="10">
        <v>16.559999999999999</v>
      </c>
      <c r="T569" t="s">
        <v>122</v>
      </c>
      <c r="U569" t="s">
        <v>85</v>
      </c>
      <c r="V569" s="8">
        <v>4</v>
      </c>
      <c r="W569" t="s">
        <v>1270</v>
      </c>
      <c r="X569" t="str">
        <f>_xlfn.XLOOKUP(Cleaned_data[[#This Row],[Customer_ID]],Customers[S],Customers[Loyalty_Tier])</f>
        <v>Platinum</v>
      </c>
      <c r="Y569" s="9">
        <f>_xlfn.XLOOKUP(Cleaned_data[[#This Row],[Customer_ID]],Customers[S],Customers[Signup_Date])</f>
        <v>45059</v>
      </c>
      <c r="Z569" s="12">
        <f>_xlfn.XLOOKUP(Cleaned_data[[#This Row],[SKU]],Products[SKU],Products[Standard_Cost])</f>
        <v>125</v>
      </c>
      <c r="AA569" s="10">
        <f>Cleaned_data[[#This Row],[Quantity]]*Cleaned_data[[#This Row],[Unit_Price]]</f>
        <v>1010.24</v>
      </c>
      <c r="AB569" s="10">
        <f>Cleaned_data[[#This Row],[Unit_Price]]*Cleaned_data[[#This Row],[Discount_Pct]]</f>
        <v>27.781600000000001</v>
      </c>
      <c r="AC569" s="10">
        <f>Cleaned_data[[#This Row],[Gross Sales]]-Cleaned_data[[#This Row],[Discount amount]]</f>
        <v>982.45839999999998</v>
      </c>
      <c r="AD569" s="10">
        <f>Cleaned_data[[#This Row],[Product Cost]]*Cleaned_data[[#This Row],[Quantity]]</f>
        <v>500</v>
      </c>
      <c r="AE569" s="10">
        <f>Cleaned_data[[#This Row],[Net Sales]]-Cleaned_data[[#This Row],[COGS]]</f>
        <v>482.45839999999998</v>
      </c>
      <c r="AF569" s="11">
        <f>Cleaned_data[[#This Row],[Gross Profit]]/Cleaned_data[[#This Row],[Net Sales]]</f>
        <v>0.49107259910445061</v>
      </c>
      <c r="AG569">
        <f>Cleaned_data[[#This Row],[Ship_Date]]-Cleaned_data[[#This Row],[Order_Date]]</f>
        <v>7</v>
      </c>
      <c r="AH569" t="str">
        <f>IF(Cleaned_data[[#This Row],[Delivery Days]]&gt;10,"late","on time")</f>
        <v>on time</v>
      </c>
      <c r="AI569" t="str">
        <f>TEXT(Cleaned_data[[#This Row],[Order_Date]],"mmmm")</f>
        <v>August</v>
      </c>
      <c r="AJ569" s="9" t="str">
        <f>"Q"&amp;ROUNDUP(MONTH(Cleaned_data[[#This Row],[Order_Date]])/3,0)</f>
        <v>Q3</v>
      </c>
    </row>
    <row r="570" spans="1:36">
      <c r="A570" t="s">
        <v>1059</v>
      </c>
      <c r="B570" s="9">
        <v>45892</v>
      </c>
      <c r="C570" s="9">
        <v>45901</v>
      </c>
      <c r="D570" t="s">
        <v>598</v>
      </c>
      <c r="E570" t="s">
        <v>599</v>
      </c>
      <c r="F570" t="s">
        <v>89</v>
      </c>
      <c r="G570" t="s">
        <v>138</v>
      </c>
      <c r="H570" t="s">
        <v>457</v>
      </c>
      <c r="I570" t="s">
        <v>458</v>
      </c>
      <c r="J570" t="s">
        <v>109</v>
      </c>
      <c r="K570" t="s">
        <v>79</v>
      </c>
      <c r="L570" t="s">
        <v>162</v>
      </c>
      <c r="M570" t="s">
        <v>163</v>
      </c>
      <c r="N570" t="s">
        <v>120</v>
      </c>
      <c r="O570" t="s">
        <v>164</v>
      </c>
      <c r="P570" s="8">
        <v>1</v>
      </c>
      <c r="Q570" s="10">
        <v>847.78</v>
      </c>
      <c r="R570" s="11">
        <v>0.01</v>
      </c>
      <c r="S570" s="10">
        <v>17.86</v>
      </c>
      <c r="T570" t="s">
        <v>134</v>
      </c>
      <c r="U570" t="s">
        <v>85</v>
      </c>
      <c r="V570" s="8">
        <v>1</v>
      </c>
      <c r="W570" t="s">
        <v>1270</v>
      </c>
      <c r="X570" t="str">
        <f>_xlfn.XLOOKUP(Cleaned_data[[#This Row],[Customer_ID]],Customers[S],Customers[Loyalty_Tier])</f>
        <v>Platinum</v>
      </c>
      <c r="Y570" s="9">
        <f>_xlfn.XLOOKUP(Cleaned_data[[#This Row],[Customer_ID]],Customers[S],Customers[Signup_Date])</f>
        <v>45908</v>
      </c>
      <c r="Z570" s="12">
        <f>_xlfn.XLOOKUP(Cleaned_data[[#This Row],[SKU]],Products[SKU],Products[Standard_Cost])</f>
        <v>585</v>
      </c>
      <c r="AA570" s="10">
        <f>Cleaned_data[[#This Row],[Quantity]]*Cleaned_data[[#This Row],[Unit_Price]]</f>
        <v>847.78</v>
      </c>
      <c r="AB570" s="10">
        <f>Cleaned_data[[#This Row],[Unit_Price]]*Cleaned_data[[#This Row],[Discount_Pct]]</f>
        <v>8.4778000000000002</v>
      </c>
      <c r="AC570" s="10">
        <f>Cleaned_data[[#This Row],[Gross Sales]]-Cleaned_data[[#This Row],[Discount amount]]</f>
        <v>839.30219999999997</v>
      </c>
      <c r="AD570" s="10">
        <f>Cleaned_data[[#This Row],[Product Cost]]*Cleaned_data[[#This Row],[Quantity]]</f>
        <v>585</v>
      </c>
      <c r="AE570" s="10">
        <f>Cleaned_data[[#This Row],[Net Sales]]-Cleaned_data[[#This Row],[COGS]]</f>
        <v>254.30219999999997</v>
      </c>
      <c r="AF570" s="11">
        <f>Cleaned_data[[#This Row],[Gross Profit]]/Cleaned_data[[#This Row],[Net Sales]]</f>
        <v>0.30299241441283004</v>
      </c>
      <c r="AG570">
        <f>Cleaned_data[[#This Row],[Ship_Date]]-Cleaned_data[[#This Row],[Order_Date]]</f>
        <v>9</v>
      </c>
      <c r="AH570" t="str">
        <f>IF(Cleaned_data[[#This Row],[Delivery Days]]&gt;10,"late","on time")</f>
        <v>on time</v>
      </c>
      <c r="AI570" t="str">
        <f>TEXT(Cleaned_data[[#This Row],[Order_Date]],"mmmm")</f>
        <v>August</v>
      </c>
      <c r="AJ570" s="9" t="str">
        <f>"Q"&amp;ROUNDUP(MONTH(Cleaned_data[[#This Row],[Order_Date]])/3,0)</f>
        <v>Q3</v>
      </c>
    </row>
    <row r="571" spans="1:36">
      <c r="A571" t="s">
        <v>1060</v>
      </c>
      <c r="B571" s="9">
        <v>45892</v>
      </c>
      <c r="C571" s="9">
        <v>45900</v>
      </c>
      <c r="D571" t="s">
        <v>300</v>
      </c>
      <c r="E571" t="s">
        <v>151</v>
      </c>
      <c r="F571" t="s">
        <v>152</v>
      </c>
      <c r="G571" t="s">
        <v>75</v>
      </c>
      <c r="H571" t="s">
        <v>98</v>
      </c>
      <c r="I571" t="s">
        <v>99</v>
      </c>
      <c r="J571" t="s">
        <v>129</v>
      </c>
      <c r="K571" t="s">
        <v>147</v>
      </c>
      <c r="L571" t="s">
        <v>301</v>
      </c>
      <c r="M571" t="s">
        <v>302</v>
      </c>
      <c r="N571" t="s">
        <v>120</v>
      </c>
      <c r="O571" t="s">
        <v>190</v>
      </c>
      <c r="P571" s="8">
        <v>3</v>
      </c>
      <c r="Q571" s="10">
        <v>135.80000000000001</v>
      </c>
      <c r="R571" s="11">
        <v>0.11</v>
      </c>
      <c r="S571" s="10">
        <v>14.94</v>
      </c>
      <c r="T571" t="s">
        <v>134</v>
      </c>
      <c r="U571" t="s">
        <v>85</v>
      </c>
      <c r="V571" s="8">
        <v>3</v>
      </c>
      <c r="W571" t="s">
        <v>1270</v>
      </c>
      <c r="X571" t="str">
        <f>_xlfn.XLOOKUP(Cleaned_data[[#This Row],[Customer_ID]],Customers[S],Customers[Loyalty_Tier])</f>
        <v>Gold</v>
      </c>
      <c r="Y571" s="9">
        <f>_xlfn.XLOOKUP(Cleaned_data[[#This Row],[Customer_ID]],Customers[S],Customers[Signup_Date])</f>
        <v>44995</v>
      </c>
      <c r="Z571" s="12">
        <f>_xlfn.XLOOKUP(Cleaned_data[[#This Row],[SKU]],Products[SKU],Products[Standard_Cost])</f>
        <v>72</v>
      </c>
      <c r="AA571" s="10">
        <f>Cleaned_data[[#This Row],[Quantity]]*Cleaned_data[[#This Row],[Unit_Price]]</f>
        <v>407.40000000000003</v>
      </c>
      <c r="AB571" s="10">
        <f>Cleaned_data[[#This Row],[Unit_Price]]*Cleaned_data[[#This Row],[Discount_Pct]]</f>
        <v>14.938000000000001</v>
      </c>
      <c r="AC571" s="10">
        <f>Cleaned_data[[#This Row],[Gross Sales]]-Cleaned_data[[#This Row],[Discount amount]]</f>
        <v>392.46200000000005</v>
      </c>
      <c r="AD571" s="10">
        <f>Cleaned_data[[#This Row],[Product Cost]]*Cleaned_data[[#This Row],[Quantity]]</f>
        <v>216</v>
      </c>
      <c r="AE571" s="10">
        <f>Cleaned_data[[#This Row],[Net Sales]]-Cleaned_data[[#This Row],[COGS]]</f>
        <v>176.46200000000005</v>
      </c>
      <c r="AF571" s="11">
        <f>Cleaned_data[[#This Row],[Gross Profit]]/Cleaned_data[[#This Row],[Net Sales]]</f>
        <v>0.44962824426313891</v>
      </c>
      <c r="AG571">
        <f>Cleaned_data[[#This Row],[Ship_Date]]-Cleaned_data[[#This Row],[Order_Date]]</f>
        <v>8</v>
      </c>
      <c r="AH571" t="str">
        <f>IF(Cleaned_data[[#This Row],[Delivery Days]]&gt;10,"late","on time")</f>
        <v>on time</v>
      </c>
      <c r="AI571" t="str">
        <f>TEXT(Cleaned_data[[#This Row],[Order_Date]],"mmmm")</f>
        <v>August</v>
      </c>
      <c r="AJ571" s="9" t="str">
        <f>"Q"&amp;ROUNDUP(MONTH(Cleaned_data[[#This Row],[Order_Date]])/3,0)</f>
        <v>Q3</v>
      </c>
    </row>
    <row r="572" spans="1:36">
      <c r="A572" t="s">
        <v>1061</v>
      </c>
      <c r="B572" s="9">
        <v>45892</v>
      </c>
      <c r="C572" s="9">
        <v>45907</v>
      </c>
      <c r="D572" t="s">
        <v>667</v>
      </c>
      <c r="E572" t="s">
        <v>336</v>
      </c>
      <c r="F572" t="s">
        <v>152</v>
      </c>
      <c r="G572" t="s">
        <v>138</v>
      </c>
      <c r="H572" t="s">
        <v>457</v>
      </c>
      <c r="I572" t="s">
        <v>458</v>
      </c>
      <c r="J572" t="s">
        <v>129</v>
      </c>
      <c r="K572" t="s">
        <v>130</v>
      </c>
      <c r="L572" t="s">
        <v>234</v>
      </c>
      <c r="M572" t="s">
        <v>235</v>
      </c>
      <c r="N572" t="s">
        <v>93</v>
      </c>
      <c r="O572" t="s">
        <v>236</v>
      </c>
      <c r="P572" s="8">
        <v>3</v>
      </c>
      <c r="Q572" s="10">
        <v>150.78</v>
      </c>
      <c r="R572" s="11">
        <v>7.0000000000000007E-2</v>
      </c>
      <c r="S572" s="10">
        <v>22.68</v>
      </c>
      <c r="T572" t="s">
        <v>105</v>
      </c>
      <c r="U572" t="s">
        <v>85</v>
      </c>
      <c r="V572" s="8">
        <v>5</v>
      </c>
      <c r="W572" t="s">
        <v>1270</v>
      </c>
      <c r="X572" t="str">
        <f>_xlfn.XLOOKUP(Cleaned_data[[#This Row],[Customer_ID]],Customers[S],Customers[Loyalty_Tier])</f>
        <v>Gold</v>
      </c>
      <c r="Y572" s="9">
        <f>_xlfn.XLOOKUP(Cleaned_data[[#This Row],[Customer_ID]],Customers[S],Customers[Signup_Date])</f>
        <v>45372</v>
      </c>
      <c r="Z572" s="12">
        <f>_xlfn.XLOOKUP(Cleaned_data[[#This Row],[SKU]],Products[SKU],Products[Standard_Cost])</f>
        <v>82</v>
      </c>
      <c r="AA572" s="10">
        <f>Cleaned_data[[#This Row],[Quantity]]*Cleaned_data[[#This Row],[Unit_Price]]</f>
        <v>452.34000000000003</v>
      </c>
      <c r="AB572" s="10">
        <f>Cleaned_data[[#This Row],[Unit_Price]]*Cleaned_data[[#This Row],[Discount_Pct]]</f>
        <v>10.554600000000001</v>
      </c>
      <c r="AC572" s="10">
        <f>Cleaned_data[[#This Row],[Gross Sales]]-Cleaned_data[[#This Row],[Discount amount]]</f>
        <v>441.78540000000004</v>
      </c>
      <c r="AD572" s="10">
        <f>Cleaned_data[[#This Row],[Product Cost]]*Cleaned_data[[#This Row],[Quantity]]</f>
        <v>246</v>
      </c>
      <c r="AE572" s="10">
        <f>Cleaned_data[[#This Row],[Net Sales]]-Cleaned_data[[#This Row],[COGS]]</f>
        <v>195.78540000000004</v>
      </c>
      <c r="AF572" s="11">
        <f>Cleaned_data[[#This Row],[Gross Profit]]/Cleaned_data[[#This Row],[Net Sales]]</f>
        <v>0.44316856102533042</v>
      </c>
      <c r="AG572">
        <f>Cleaned_data[[#This Row],[Ship_Date]]-Cleaned_data[[#This Row],[Order_Date]]</f>
        <v>15</v>
      </c>
      <c r="AH572" t="str">
        <f>IF(Cleaned_data[[#This Row],[Delivery Days]]&gt;10,"late","on time")</f>
        <v>late</v>
      </c>
      <c r="AI572" t="str">
        <f>TEXT(Cleaned_data[[#This Row],[Order_Date]],"mmmm")</f>
        <v>August</v>
      </c>
      <c r="AJ572" s="9" t="str">
        <f>"Q"&amp;ROUNDUP(MONTH(Cleaned_data[[#This Row],[Order_Date]])/3,0)</f>
        <v>Q3</v>
      </c>
    </row>
    <row r="573" spans="1:36">
      <c r="A573" t="s">
        <v>1062</v>
      </c>
      <c r="B573" s="9">
        <v>45893</v>
      </c>
      <c r="C573" s="9">
        <v>45902</v>
      </c>
      <c r="D573" t="s">
        <v>704</v>
      </c>
      <c r="E573" t="s">
        <v>705</v>
      </c>
      <c r="F573" t="s">
        <v>89</v>
      </c>
      <c r="G573" t="s">
        <v>138</v>
      </c>
      <c r="H573" t="s">
        <v>186</v>
      </c>
      <c r="I573" t="s">
        <v>187</v>
      </c>
      <c r="J573" t="s">
        <v>219</v>
      </c>
      <c r="K573" t="s">
        <v>130</v>
      </c>
      <c r="L573" t="s">
        <v>118</v>
      </c>
      <c r="M573" t="s">
        <v>119</v>
      </c>
      <c r="N573" t="s">
        <v>120</v>
      </c>
      <c r="O573" t="s">
        <v>121</v>
      </c>
      <c r="P573" s="8">
        <v>2</v>
      </c>
      <c r="Q573" s="10">
        <v>301.83999999999997</v>
      </c>
      <c r="R573" s="11">
        <v>0.08</v>
      </c>
      <c r="S573" s="10">
        <v>19.309999999999999</v>
      </c>
      <c r="T573" t="s">
        <v>134</v>
      </c>
      <c r="U573" t="s">
        <v>85</v>
      </c>
      <c r="V573" s="8">
        <v>4</v>
      </c>
      <c r="W573" t="s">
        <v>1270</v>
      </c>
      <c r="X573" t="str">
        <f>_xlfn.XLOOKUP(Cleaned_data[[#This Row],[Customer_ID]],Customers[S],Customers[Loyalty_Tier])</f>
        <v>Silver</v>
      </c>
      <c r="Y573" s="9">
        <f>_xlfn.XLOOKUP(Cleaned_data[[#This Row],[Customer_ID]],Customers[S],Customers[Signup_Date])</f>
        <v>45403</v>
      </c>
      <c r="Z573" s="12">
        <f>_xlfn.XLOOKUP(Cleaned_data[[#This Row],[SKU]],Products[SKU],Products[Standard_Cost])</f>
        <v>168</v>
      </c>
      <c r="AA573" s="10">
        <f>Cleaned_data[[#This Row],[Quantity]]*Cleaned_data[[#This Row],[Unit_Price]]</f>
        <v>603.67999999999995</v>
      </c>
      <c r="AB573" s="10">
        <f>Cleaned_data[[#This Row],[Unit_Price]]*Cleaned_data[[#This Row],[Discount_Pct]]</f>
        <v>24.147199999999998</v>
      </c>
      <c r="AC573" s="10">
        <f>Cleaned_data[[#This Row],[Gross Sales]]-Cleaned_data[[#This Row],[Discount amount]]</f>
        <v>579.53279999999995</v>
      </c>
      <c r="AD573" s="10">
        <f>Cleaned_data[[#This Row],[Product Cost]]*Cleaned_data[[#This Row],[Quantity]]</f>
        <v>336</v>
      </c>
      <c r="AE573" s="10">
        <f>Cleaned_data[[#This Row],[Net Sales]]-Cleaned_data[[#This Row],[COGS]]</f>
        <v>243.53279999999995</v>
      </c>
      <c r="AF573" s="11">
        <f>Cleaned_data[[#This Row],[Gross Profit]]/Cleaned_data[[#This Row],[Net Sales]]</f>
        <v>0.42022263450834874</v>
      </c>
      <c r="AG573">
        <f>Cleaned_data[[#This Row],[Ship_Date]]-Cleaned_data[[#This Row],[Order_Date]]</f>
        <v>9</v>
      </c>
      <c r="AH573" t="str">
        <f>IF(Cleaned_data[[#This Row],[Delivery Days]]&gt;10,"late","on time")</f>
        <v>on time</v>
      </c>
      <c r="AI573" t="str">
        <f>TEXT(Cleaned_data[[#This Row],[Order_Date]],"mmmm")</f>
        <v>August</v>
      </c>
      <c r="AJ573" s="9" t="str">
        <f>"Q"&amp;ROUNDUP(MONTH(Cleaned_data[[#This Row],[Order_Date]])/3,0)</f>
        <v>Q3</v>
      </c>
    </row>
    <row r="574" spans="1:36">
      <c r="A574" t="s">
        <v>1063</v>
      </c>
      <c r="B574" s="9">
        <v>45894</v>
      </c>
      <c r="C574" s="9">
        <v>45897</v>
      </c>
      <c r="D574" t="s">
        <v>271</v>
      </c>
      <c r="E574" t="s">
        <v>272</v>
      </c>
      <c r="F574" t="s">
        <v>89</v>
      </c>
      <c r="G574" t="s">
        <v>75</v>
      </c>
      <c r="H574" t="s">
        <v>273</v>
      </c>
      <c r="I574" t="s">
        <v>274</v>
      </c>
      <c r="J574" t="s">
        <v>78</v>
      </c>
      <c r="K574" t="s">
        <v>168</v>
      </c>
      <c r="L574" t="s">
        <v>431</v>
      </c>
      <c r="M574" t="s">
        <v>432</v>
      </c>
      <c r="N574" t="s">
        <v>103</v>
      </c>
      <c r="O574" t="s">
        <v>251</v>
      </c>
      <c r="P574" s="8">
        <v>1</v>
      </c>
      <c r="Q574" s="10">
        <v>37.49</v>
      </c>
      <c r="R574" s="11">
        <v>0</v>
      </c>
      <c r="S574" s="10">
        <v>7.65</v>
      </c>
      <c r="T574" t="s">
        <v>134</v>
      </c>
      <c r="U574" t="s">
        <v>85</v>
      </c>
      <c r="V574" s="8">
        <v>4</v>
      </c>
      <c r="W574" t="s">
        <v>1270</v>
      </c>
      <c r="X574" t="str">
        <f>_xlfn.XLOOKUP(Cleaned_data[[#This Row],[Customer_ID]],Customers[S],Customers[Loyalty_Tier])</f>
        <v>Silver</v>
      </c>
      <c r="Y574" s="9">
        <f>_xlfn.XLOOKUP(Cleaned_data[[#This Row],[Customer_ID]],Customers[S],Customers[Signup_Date])</f>
        <v>44909</v>
      </c>
      <c r="Z574" s="12">
        <f>_xlfn.XLOOKUP(Cleaned_data[[#This Row],[SKU]],Products[SKU],Products[Standard_Cost])</f>
        <v>20</v>
      </c>
      <c r="AA574" s="10">
        <f>Cleaned_data[[#This Row],[Quantity]]*Cleaned_data[[#This Row],[Unit_Price]]</f>
        <v>37.49</v>
      </c>
      <c r="AB574" s="10">
        <f>Cleaned_data[[#This Row],[Unit_Price]]*Cleaned_data[[#This Row],[Discount_Pct]]</f>
        <v>0</v>
      </c>
      <c r="AC574" s="10">
        <f>Cleaned_data[[#This Row],[Gross Sales]]-Cleaned_data[[#This Row],[Discount amount]]</f>
        <v>37.49</v>
      </c>
      <c r="AD574" s="10">
        <f>Cleaned_data[[#This Row],[Product Cost]]*Cleaned_data[[#This Row],[Quantity]]</f>
        <v>20</v>
      </c>
      <c r="AE574" s="10">
        <f>Cleaned_data[[#This Row],[Net Sales]]-Cleaned_data[[#This Row],[COGS]]</f>
        <v>17.490000000000002</v>
      </c>
      <c r="AF574" s="11">
        <f>Cleaned_data[[#This Row],[Gross Profit]]/Cleaned_data[[#This Row],[Net Sales]]</f>
        <v>0.46652440650840227</v>
      </c>
      <c r="AG574">
        <f>Cleaned_data[[#This Row],[Ship_Date]]-Cleaned_data[[#This Row],[Order_Date]]</f>
        <v>3</v>
      </c>
      <c r="AH574" t="str">
        <f>IF(Cleaned_data[[#This Row],[Delivery Days]]&gt;10,"late","on time")</f>
        <v>on time</v>
      </c>
      <c r="AI574" t="str">
        <f>TEXT(Cleaned_data[[#This Row],[Order_Date]],"mmmm")</f>
        <v>August</v>
      </c>
      <c r="AJ574" s="9" t="str">
        <f>"Q"&amp;ROUNDUP(MONTH(Cleaned_data[[#This Row],[Order_Date]])/3,0)</f>
        <v>Q3</v>
      </c>
    </row>
    <row r="575" spans="1:36">
      <c r="A575" t="s">
        <v>1064</v>
      </c>
      <c r="B575" s="9">
        <v>45895</v>
      </c>
      <c r="C575" s="9">
        <v>45897</v>
      </c>
      <c r="D575" t="s">
        <v>145</v>
      </c>
      <c r="E575" t="s">
        <v>146</v>
      </c>
      <c r="F575" t="s">
        <v>74</v>
      </c>
      <c r="G575" t="s">
        <v>75</v>
      </c>
      <c r="H575" t="s">
        <v>116</v>
      </c>
      <c r="I575" t="s">
        <v>117</v>
      </c>
      <c r="J575" t="s">
        <v>219</v>
      </c>
      <c r="K575" t="s">
        <v>130</v>
      </c>
      <c r="L575" t="s">
        <v>284</v>
      </c>
      <c r="M575" t="s">
        <v>285</v>
      </c>
      <c r="N575" t="s">
        <v>103</v>
      </c>
      <c r="O575" t="s">
        <v>143</v>
      </c>
      <c r="P575" s="8">
        <v>2</v>
      </c>
      <c r="Q575" s="10">
        <v>27.65</v>
      </c>
      <c r="R575" s="11">
        <v>7.0000000000000007E-2</v>
      </c>
      <c r="S575" s="10">
        <v>13.01</v>
      </c>
      <c r="T575" t="s">
        <v>122</v>
      </c>
      <c r="U575" t="s">
        <v>85</v>
      </c>
      <c r="V575" s="8">
        <v>4</v>
      </c>
      <c r="W575" t="s">
        <v>1270</v>
      </c>
      <c r="X575" t="str">
        <f>_xlfn.XLOOKUP(Cleaned_data[[#This Row],[Customer_ID]],Customers[S],Customers[Loyalty_Tier])</f>
        <v>Platinum</v>
      </c>
      <c r="Y575" s="9">
        <f>_xlfn.XLOOKUP(Cleaned_data[[#This Row],[Customer_ID]],Customers[S],Customers[Signup_Date])</f>
        <v>44668</v>
      </c>
      <c r="Z575" s="12">
        <f>_xlfn.XLOOKUP(Cleaned_data[[#This Row],[SKU]],Products[SKU],Products[Standard_Cost])</f>
        <v>14</v>
      </c>
      <c r="AA575" s="10">
        <f>Cleaned_data[[#This Row],[Quantity]]*Cleaned_data[[#This Row],[Unit_Price]]</f>
        <v>55.3</v>
      </c>
      <c r="AB575" s="10">
        <f>Cleaned_data[[#This Row],[Unit_Price]]*Cleaned_data[[#This Row],[Discount_Pct]]</f>
        <v>1.9355</v>
      </c>
      <c r="AC575" s="10">
        <f>Cleaned_data[[#This Row],[Gross Sales]]-Cleaned_data[[#This Row],[Discount amount]]</f>
        <v>53.3645</v>
      </c>
      <c r="AD575" s="10">
        <f>Cleaned_data[[#This Row],[Product Cost]]*Cleaned_data[[#This Row],[Quantity]]</f>
        <v>28</v>
      </c>
      <c r="AE575" s="10">
        <f>Cleaned_data[[#This Row],[Net Sales]]-Cleaned_data[[#This Row],[COGS]]</f>
        <v>25.3645</v>
      </c>
      <c r="AF575" s="11">
        <f>Cleaned_data[[#This Row],[Gross Profit]]/Cleaned_data[[#This Row],[Net Sales]]</f>
        <v>0.47530661769528432</v>
      </c>
      <c r="AG575">
        <f>Cleaned_data[[#This Row],[Ship_Date]]-Cleaned_data[[#This Row],[Order_Date]]</f>
        <v>2</v>
      </c>
      <c r="AH575" t="str">
        <f>IF(Cleaned_data[[#This Row],[Delivery Days]]&gt;10,"late","on time")</f>
        <v>on time</v>
      </c>
      <c r="AI575" t="str">
        <f>TEXT(Cleaned_data[[#This Row],[Order_Date]],"mmmm")</f>
        <v>August</v>
      </c>
      <c r="AJ575" s="9" t="str">
        <f>"Q"&amp;ROUNDUP(MONTH(Cleaned_data[[#This Row],[Order_Date]])/3,0)</f>
        <v>Q3</v>
      </c>
    </row>
    <row r="576" spans="1:36">
      <c r="A576" t="s">
        <v>1065</v>
      </c>
      <c r="B576" s="9">
        <v>45896</v>
      </c>
      <c r="C576" s="9">
        <v>45906</v>
      </c>
      <c r="D576" t="s">
        <v>1066</v>
      </c>
      <c r="E576" t="s">
        <v>1067</v>
      </c>
      <c r="F576" t="s">
        <v>152</v>
      </c>
      <c r="G576" t="s">
        <v>75</v>
      </c>
      <c r="H576" t="s">
        <v>98</v>
      </c>
      <c r="I576" t="s">
        <v>99</v>
      </c>
      <c r="J576" t="s">
        <v>129</v>
      </c>
      <c r="K576" t="s">
        <v>130</v>
      </c>
      <c r="L576" t="s">
        <v>261</v>
      </c>
      <c r="M576" t="s">
        <v>262</v>
      </c>
      <c r="N576" t="s">
        <v>103</v>
      </c>
      <c r="O576" t="s">
        <v>104</v>
      </c>
      <c r="P576" s="8">
        <v>-7</v>
      </c>
      <c r="Q576" s="10">
        <v>25.52</v>
      </c>
      <c r="R576" s="11">
        <v>0.06</v>
      </c>
      <c r="S576" s="10">
        <v>7.03</v>
      </c>
      <c r="T576" t="s">
        <v>122</v>
      </c>
      <c r="U576" t="s">
        <v>85</v>
      </c>
      <c r="W576" t="s">
        <v>1273</v>
      </c>
      <c r="X576" t="str">
        <f>_xlfn.XLOOKUP(Cleaned_data[[#This Row],[Customer_ID]],Customers[S],Customers[Loyalty_Tier])</f>
        <v>Bronze</v>
      </c>
      <c r="Y576" s="9">
        <f>_xlfn.XLOOKUP(Cleaned_data[[#This Row],[Customer_ID]],Customers[S],Customers[Signup_Date])</f>
        <v>44202</v>
      </c>
      <c r="Z576" s="12">
        <f>_xlfn.XLOOKUP(Cleaned_data[[#This Row],[SKU]],Products[SKU],Products[Standard_Cost])</f>
        <v>12</v>
      </c>
      <c r="AA576" s="10">
        <f>Cleaned_data[[#This Row],[Quantity]]*Cleaned_data[[#This Row],[Unit_Price]]</f>
        <v>-178.64</v>
      </c>
      <c r="AB576" s="10">
        <f>Cleaned_data[[#This Row],[Unit_Price]]*Cleaned_data[[#This Row],[Discount_Pct]]</f>
        <v>1.5311999999999999</v>
      </c>
      <c r="AC576" s="10">
        <f>Cleaned_data[[#This Row],[Gross Sales]]-Cleaned_data[[#This Row],[Discount amount]]</f>
        <v>-180.1712</v>
      </c>
      <c r="AD576" s="10">
        <f>Cleaned_data[[#This Row],[Product Cost]]*Cleaned_data[[#This Row],[Quantity]]</f>
        <v>-84</v>
      </c>
      <c r="AE576" s="10">
        <f>Cleaned_data[[#This Row],[Net Sales]]-Cleaned_data[[#This Row],[COGS]]</f>
        <v>-96.171199999999999</v>
      </c>
      <c r="AF576" s="11">
        <f>Cleaned_data[[#This Row],[Gross Profit]]/Cleaned_data[[#This Row],[Net Sales]]</f>
        <v>0.53377676343388958</v>
      </c>
      <c r="AG576">
        <f>Cleaned_data[[#This Row],[Ship_Date]]-Cleaned_data[[#This Row],[Order_Date]]</f>
        <v>10</v>
      </c>
      <c r="AH576" t="str">
        <f>IF(Cleaned_data[[#This Row],[Delivery Days]]&gt;10,"late","on time")</f>
        <v>on time</v>
      </c>
      <c r="AI576" t="str">
        <f>TEXT(Cleaned_data[[#This Row],[Order_Date]],"mmmm")</f>
        <v>August</v>
      </c>
      <c r="AJ576" s="9" t="str">
        <f>"Q"&amp;ROUNDUP(MONTH(Cleaned_data[[#This Row],[Order_Date]])/3,0)</f>
        <v>Q3</v>
      </c>
    </row>
    <row r="577" spans="1:36">
      <c r="A577" t="s">
        <v>1068</v>
      </c>
      <c r="B577" s="9">
        <v>45896</v>
      </c>
      <c r="C577" s="9">
        <v>45897</v>
      </c>
      <c r="D577" t="s">
        <v>751</v>
      </c>
      <c r="E577" t="s">
        <v>752</v>
      </c>
      <c r="F577" t="s">
        <v>152</v>
      </c>
      <c r="G577" t="s">
        <v>138</v>
      </c>
      <c r="H577" t="s">
        <v>139</v>
      </c>
      <c r="I577" t="s">
        <v>140</v>
      </c>
      <c r="J577" t="s">
        <v>219</v>
      </c>
      <c r="K577" t="s">
        <v>79</v>
      </c>
      <c r="L577" t="s">
        <v>141</v>
      </c>
      <c r="M577" t="s">
        <v>142</v>
      </c>
      <c r="N577" t="s">
        <v>103</v>
      </c>
      <c r="O577" t="s">
        <v>143</v>
      </c>
      <c r="P577" s="8">
        <v>4</v>
      </c>
      <c r="Q577" s="10">
        <v>36.020000000000003</v>
      </c>
      <c r="R577" s="11">
        <v>0.26</v>
      </c>
      <c r="S577" s="10">
        <v>10.119999999999999</v>
      </c>
      <c r="T577" t="s">
        <v>134</v>
      </c>
      <c r="U577" t="s">
        <v>85</v>
      </c>
      <c r="V577" s="8">
        <v>1</v>
      </c>
      <c r="W577" t="s">
        <v>1270</v>
      </c>
      <c r="X577" t="str">
        <f>_xlfn.XLOOKUP(Cleaned_data[[#This Row],[Customer_ID]],Customers[S],Customers[Loyalty_Tier])</f>
        <v>Silver</v>
      </c>
      <c r="Y577" s="9">
        <f>_xlfn.XLOOKUP(Cleaned_data[[#This Row],[Customer_ID]],Customers[S],Customers[Signup_Date])</f>
        <v>44640</v>
      </c>
      <c r="Z577" s="12">
        <f>_xlfn.XLOOKUP(Cleaned_data[[#This Row],[SKU]],Products[SKU],Products[Standard_Cost])</f>
        <v>18</v>
      </c>
      <c r="AA577" s="10">
        <f>Cleaned_data[[#This Row],[Quantity]]*Cleaned_data[[#This Row],[Unit_Price]]</f>
        <v>144.08000000000001</v>
      </c>
      <c r="AB577" s="10">
        <f>Cleaned_data[[#This Row],[Unit_Price]]*Cleaned_data[[#This Row],[Discount_Pct]]</f>
        <v>9.3652000000000015</v>
      </c>
      <c r="AC577" s="10">
        <f>Cleaned_data[[#This Row],[Gross Sales]]-Cleaned_data[[#This Row],[Discount amount]]</f>
        <v>134.71480000000003</v>
      </c>
      <c r="AD577" s="10">
        <f>Cleaned_data[[#This Row],[Product Cost]]*Cleaned_data[[#This Row],[Quantity]]</f>
        <v>72</v>
      </c>
      <c r="AE577" s="10">
        <f>Cleaned_data[[#This Row],[Net Sales]]-Cleaned_data[[#This Row],[COGS]]</f>
        <v>62.714800000000025</v>
      </c>
      <c r="AF577" s="11">
        <f>Cleaned_data[[#This Row],[Gross Profit]]/Cleaned_data[[#This Row],[Net Sales]]</f>
        <v>0.4655375652860711</v>
      </c>
      <c r="AG577">
        <f>Cleaned_data[[#This Row],[Ship_Date]]-Cleaned_data[[#This Row],[Order_Date]]</f>
        <v>1</v>
      </c>
      <c r="AH577" t="str">
        <f>IF(Cleaned_data[[#This Row],[Delivery Days]]&gt;10,"late","on time")</f>
        <v>on time</v>
      </c>
      <c r="AI577" t="str">
        <f>TEXT(Cleaned_data[[#This Row],[Order_Date]],"mmmm")</f>
        <v>August</v>
      </c>
      <c r="AJ577" s="9" t="str">
        <f>"Q"&amp;ROUNDUP(MONTH(Cleaned_data[[#This Row],[Order_Date]])/3,0)</f>
        <v>Q3</v>
      </c>
    </row>
    <row r="578" spans="1:36">
      <c r="A578" t="s">
        <v>1069</v>
      </c>
      <c r="B578" s="9">
        <v>45897</v>
      </c>
      <c r="C578" s="9">
        <v>45910</v>
      </c>
      <c r="D578" t="s">
        <v>714</v>
      </c>
      <c r="E578" t="s">
        <v>715</v>
      </c>
      <c r="F578" t="s">
        <v>89</v>
      </c>
      <c r="G578" t="s">
        <v>126</v>
      </c>
      <c r="H578" t="s">
        <v>160</v>
      </c>
      <c r="I578" t="s">
        <v>161</v>
      </c>
      <c r="J578" t="s">
        <v>219</v>
      </c>
      <c r="K578" t="s">
        <v>130</v>
      </c>
      <c r="L578" t="s">
        <v>207</v>
      </c>
      <c r="M578" t="s">
        <v>208</v>
      </c>
      <c r="N578" t="s">
        <v>120</v>
      </c>
      <c r="O578" t="s">
        <v>164</v>
      </c>
      <c r="P578" s="8">
        <v>4</v>
      </c>
      <c r="Q578" s="10">
        <v>1426.2</v>
      </c>
      <c r="R578" s="11">
        <v>0</v>
      </c>
      <c r="S578" s="10">
        <v>22.6</v>
      </c>
      <c r="T578" t="s">
        <v>105</v>
      </c>
      <c r="U578" t="s">
        <v>85</v>
      </c>
      <c r="V578" s="8">
        <v>3</v>
      </c>
      <c r="W578" t="s">
        <v>1270</v>
      </c>
      <c r="X578" t="str">
        <f>_xlfn.XLOOKUP(Cleaned_data[[#This Row],[Customer_ID]],Customers[S],Customers[Loyalty_Tier])</f>
        <v>Bronze</v>
      </c>
      <c r="Y578" s="9">
        <f>_xlfn.XLOOKUP(Cleaned_data[[#This Row],[Customer_ID]],Customers[S],Customers[Signup_Date])</f>
        <v>45844</v>
      </c>
      <c r="Z578" s="12">
        <f>_xlfn.XLOOKUP(Cleaned_data[[#This Row],[SKU]],Products[SKU],Products[Standard_Cost])</f>
        <v>885</v>
      </c>
      <c r="AA578" s="10">
        <f>Cleaned_data[[#This Row],[Quantity]]*Cleaned_data[[#This Row],[Unit_Price]]</f>
        <v>5704.8</v>
      </c>
      <c r="AB578" s="10">
        <f>Cleaned_data[[#This Row],[Unit_Price]]*Cleaned_data[[#This Row],[Discount_Pct]]</f>
        <v>0</v>
      </c>
      <c r="AC578" s="10">
        <f>Cleaned_data[[#This Row],[Gross Sales]]-Cleaned_data[[#This Row],[Discount amount]]</f>
        <v>5704.8</v>
      </c>
      <c r="AD578" s="10">
        <f>Cleaned_data[[#This Row],[Product Cost]]*Cleaned_data[[#This Row],[Quantity]]</f>
        <v>3540</v>
      </c>
      <c r="AE578" s="10">
        <f>Cleaned_data[[#This Row],[Net Sales]]-Cleaned_data[[#This Row],[COGS]]</f>
        <v>2164.8000000000002</v>
      </c>
      <c r="AF578" s="11">
        <f>Cleaned_data[[#This Row],[Gross Profit]]/Cleaned_data[[#This Row],[Net Sales]]</f>
        <v>0.37946992006731178</v>
      </c>
      <c r="AG578">
        <f>Cleaned_data[[#This Row],[Ship_Date]]-Cleaned_data[[#This Row],[Order_Date]]</f>
        <v>13</v>
      </c>
      <c r="AH578" t="str">
        <f>IF(Cleaned_data[[#This Row],[Delivery Days]]&gt;10,"late","on time")</f>
        <v>late</v>
      </c>
      <c r="AI578" t="str">
        <f>TEXT(Cleaned_data[[#This Row],[Order_Date]],"mmmm")</f>
        <v>August</v>
      </c>
      <c r="AJ578" s="9" t="str">
        <f>"Q"&amp;ROUNDUP(MONTH(Cleaned_data[[#This Row],[Order_Date]])/3,0)</f>
        <v>Q3</v>
      </c>
    </row>
    <row r="579" spans="1:36">
      <c r="A579" t="s">
        <v>1070</v>
      </c>
      <c r="B579" s="9">
        <v>45897</v>
      </c>
      <c r="C579" s="9">
        <v>45904</v>
      </c>
      <c r="D579" t="s">
        <v>289</v>
      </c>
      <c r="E579" t="s">
        <v>290</v>
      </c>
      <c r="F579" t="s">
        <v>74</v>
      </c>
      <c r="G579" t="s">
        <v>126</v>
      </c>
      <c r="H579" t="s">
        <v>291</v>
      </c>
      <c r="I579" t="s">
        <v>292</v>
      </c>
      <c r="J579" t="s">
        <v>219</v>
      </c>
      <c r="K579" t="s">
        <v>130</v>
      </c>
      <c r="L579" t="s">
        <v>220</v>
      </c>
      <c r="M579" t="s">
        <v>221</v>
      </c>
      <c r="N579" t="s">
        <v>93</v>
      </c>
      <c r="O579" t="s">
        <v>177</v>
      </c>
      <c r="P579" s="8">
        <v>1</v>
      </c>
      <c r="Q579" s="10">
        <v>236.84</v>
      </c>
      <c r="R579" s="11">
        <v>7.0000000000000007E-2</v>
      </c>
      <c r="S579" s="10">
        <v>18.18</v>
      </c>
      <c r="T579" t="s">
        <v>84</v>
      </c>
      <c r="U579" t="s">
        <v>85</v>
      </c>
      <c r="W579" t="s">
        <v>1270</v>
      </c>
      <c r="X579" t="str">
        <f>_xlfn.XLOOKUP(Cleaned_data[[#This Row],[Customer_ID]],Customers[S],Customers[Loyalty_Tier])</f>
        <v>Silver</v>
      </c>
      <c r="Y579" s="9">
        <f>_xlfn.XLOOKUP(Cleaned_data[[#This Row],[Customer_ID]],Customers[S],Customers[Signup_Date])</f>
        <v>44734</v>
      </c>
      <c r="Z579" s="12">
        <f>_xlfn.XLOOKUP(Cleaned_data[[#This Row],[SKU]],Products[SKU],Products[Standard_Cost])</f>
        <v>118</v>
      </c>
      <c r="AA579" s="10">
        <f>Cleaned_data[[#This Row],[Quantity]]*Cleaned_data[[#This Row],[Unit_Price]]</f>
        <v>236.84</v>
      </c>
      <c r="AB579" s="10">
        <f>Cleaned_data[[#This Row],[Unit_Price]]*Cleaned_data[[#This Row],[Discount_Pct]]</f>
        <v>16.578800000000001</v>
      </c>
      <c r="AC579" s="10">
        <f>Cleaned_data[[#This Row],[Gross Sales]]-Cleaned_data[[#This Row],[Discount amount]]</f>
        <v>220.2612</v>
      </c>
      <c r="AD579" s="10">
        <f>Cleaned_data[[#This Row],[Product Cost]]*Cleaned_data[[#This Row],[Quantity]]</f>
        <v>118</v>
      </c>
      <c r="AE579" s="10">
        <f>Cleaned_data[[#This Row],[Net Sales]]-Cleaned_data[[#This Row],[COGS]]</f>
        <v>102.2612</v>
      </c>
      <c r="AF579" s="11">
        <f>Cleaned_data[[#This Row],[Gross Profit]]/Cleaned_data[[#This Row],[Net Sales]]</f>
        <v>0.46427241838326494</v>
      </c>
      <c r="AG579">
        <f>Cleaned_data[[#This Row],[Ship_Date]]-Cleaned_data[[#This Row],[Order_Date]]</f>
        <v>7</v>
      </c>
      <c r="AH579" t="str">
        <f>IF(Cleaned_data[[#This Row],[Delivery Days]]&gt;10,"late","on time")</f>
        <v>on time</v>
      </c>
      <c r="AI579" t="str">
        <f>TEXT(Cleaned_data[[#This Row],[Order_Date]],"mmmm")</f>
        <v>August</v>
      </c>
      <c r="AJ579" s="9" t="str">
        <f>"Q"&amp;ROUNDUP(MONTH(Cleaned_data[[#This Row],[Order_Date]])/3,0)</f>
        <v>Q3</v>
      </c>
    </row>
    <row r="580" spans="1:36">
      <c r="A580" t="s">
        <v>1071</v>
      </c>
      <c r="B580" s="9">
        <v>45898</v>
      </c>
      <c r="C580" s="9">
        <v>45903</v>
      </c>
      <c r="D580" t="s">
        <v>228</v>
      </c>
      <c r="E580" t="s">
        <v>229</v>
      </c>
      <c r="F580" t="s">
        <v>74</v>
      </c>
      <c r="G580" t="s">
        <v>194</v>
      </c>
      <c r="H580" t="s">
        <v>230</v>
      </c>
      <c r="I580" t="s">
        <v>231</v>
      </c>
      <c r="J580" t="s">
        <v>129</v>
      </c>
      <c r="K580" t="s">
        <v>79</v>
      </c>
      <c r="L580" t="s">
        <v>80</v>
      </c>
      <c r="M580" t="s">
        <v>81</v>
      </c>
      <c r="N580" t="s">
        <v>82</v>
      </c>
      <c r="O580" t="s">
        <v>83</v>
      </c>
      <c r="P580" s="8">
        <v>9</v>
      </c>
      <c r="Q580" s="10">
        <v>250</v>
      </c>
      <c r="R580" s="11">
        <v>0.34</v>
      </c>
      <c r="S580" s="10">
        <v>9.61</v>
      </c>
      <c r="T580" t="s">
        <v>134</v>
      </c>
      <c r="U580" t="s">
        <v>85</v>
      </c>
      <c r="V580" s="8">
        <v>2</v>
      </c>
      <c r="W580" t="s">
        <v>1270</v>
      </c>
      <c r="X580" t="str">
        <f>_xlfn.XLOOKUP(Cleaned_data[[#This Row],[Customer_ID]],Customers[S],Customers[Loyalty_Tier])</f>
        <v>Silver</v>
      </c>
      <c r="Y580" s="9">
        <f>_xlfn.XLOOKUP(Cleaned_data[[#This Row],[Customer_ID]],Customers[S],Customers[Signup_Date])</f>
        <v>45843</v>
      </c>
      <c r="Z580" s="12">
        <f>_xlfn.XLOOKUP(Cleaned_data[[#This Row],[SKU]],Products[SKU],Products[Standard_Cost])</f>
        <v>125</v>
      </c>
      <c r="AA580" s="10">
        <f>Cleaned_data[[#This Row],[Quantity]]*Cleaned_data[[#This Row],[Unit_Price]]</f>
        <v>2250</v>
      </c>
      <c r="AB580" s="10">
        <f>Cleaned_data[[#This Row],[Unit_Price]]*Cleaned_data[[#This Row],[Discount_Pct]]</f>
        <v>85</v>
      </c>
      <c r="AC580" s="10">
        <f>Cleaned_data[[#This Row],[Gross Sales]]-Cleaned_data[[#This Row],[Discount amount]]</f>
        <v>2165</v>
      </c>
      <c r="AD580" s="10">
        <f>Cleaned_data[[#This Row],[Product Cost]]*Cleaned_data[[#This Row],[Quantity]]</f>
        <v>1125</v>
      </c>
      <c r="AE580" s="10">
        <f>Cleaned_data[[#This Row],[Net Sales]]-Cleaned_data[[#This Row],[COGS]]</f>
        <v>1040</v>
      </c>
      <c r="AF580" s="11">
        <f>Cleaned_data[[#This Row],[Gross Profit]]/Cleaned_data[[#This Row],[Net Sales]]</f>
        <v>0.48036951501154734</v>
      </c>
      <c r="AG580">
        <f>Cleaned_data[[#This Row],[Ship_Date]]-Cleaned_data[[#This Row],[Order_Date]]</f>
        <v>5</v>
      </c>
      <c r="AH580" t="str">
        <f>IF(Cleaned_data[[#This Row],[Delivery Days]]&gt;10,"late","on time")</f>
        <v>on time</v>
      </c>
      <c r="AI580" t="str">
        <f>TEXT(Cleaned_data[[#This Row],[Order_Date]],"mmmm")</f>
        <v>August</v>
      </c>
      <c r="AJ580" s="9" t="str">
        <f>"Q"&amp;ROUNDUP(MONTH(Cleaned_data[[#This Row],[Order_Date]])/3,0)</f>
        <v>Q3</v>
      </c>
    </row>
    <row r="581" spans="1:36">
      <c r="A581" t="s">
        <v>1072</v>
      </c>
      <c r="B581" s="9">
        <v>45899</v>
      </c>
      <c r="C581" s="9">
        <v>45907</v>
      </c>
      <c r="D581" t="s">
        <v>613</v>
      </c>
      <c r="E581" t="s">
        <v>614</v>
      </c>
      <c r="F581" t="s">
        <v>74</v>
      </c>
      <c r="G581" t="s">
        <v>194</v>
      </c>
      <c r="H581" t="s">
        <v>195</v>
      </c>
      <c r="I581" t="s">
        <v>196</v>
      </c>
      <c r="J581" t="s">
        <v>78</v>
      </c>
      <c r="K581" t="s">
        <v>100</v>
      </c>
      <c r="L581" t="s">
        <v>141</v>
      </c>
      <c r="M581" t="s">
        <v>142</v>
      </c>
      <c r="N581" t="s">
        <v>103</v>
      </c>
      <c r="O581" t="s">
        <v>143</v>
      </c>
      <c r="P581" s="8">
        <v>3</v>
      </c>
      <c r="Q581" s="10">
        <v>34.67</v>
      </c>
      <c r="R581" s="11">
        <v>0.04</v>
      </c>
      <c r="S581" s="10">
        <v>7.29</v>
      </c>
      <c r="T581" t="s">
        <v>84</v>
      </c>
      <c r="U581" t="s">
        <v>85</v>
      </c>
      <c r="V581" s="8">
        <v>5</v>
      </c>
      <c r="W581" t="s">
        <v>1270</v>
      </c>
      <c r="X581" t="str">
        <f>_xlfn.XLOOKUP(Cleaned_data[[#This Row],[Customer_ID]],Customers[S],Customers[Loyalty_Tier])</f>
        <v>Platinum</v>
      </c>
      <c r="Y581" s="9">
        <f>_xlfn.XLOOKUP(Cleaned_data[[#This Row],[Customer_ID]],Customers[S],Customers[Signup_Date])</f>
        <v>44454</v>
      </c>
      <c r="Z581" s="12">
        <f>_xlfn.XLOOKUP(Cleaned_data[[#This Row],[SKU]],Products[SKU],Products[Standard_Cost])</f>
        <v>18</v>
      </c>
      <c r="AA581" s="10">
        <f>Cleaned_data[[#This Row],[Quantity]]*Cleaned_data[[#This Row],[Unit_Price]]</f>
        <v>104.01</v>
      </c>
      <c r="AB581" s="10">
        <f>Cleaned_data[[#This Row],[Unit_Price]]*Cleaned_data[[#This Row],[Discount_Pct]]</f>
        <v>1.3868</v>
      </c>
      <c r="AC581" s="10">
        <f>Cleaned_data[[#This Row],[Gross Sales]]-Cleaned_data[[#This Row],[Discount amount]]</f>
        <v>102.62320000000001</v>
      </c>
      <c r="AD581" s="10">
        <f>Cleaned_data[[#This Row],[Product Cost]]*Cleaned_data[[#This Row],[Quantity]]</f>
        <v>54</v>
      </c>
      <c r="AE581" s="10">
        <f>Cleaned_data[[#This Row],[Net Sales]]-Cleaned_data[[#This Row],[COGS]]</f>
        <v>48.623200000000011</v>
      </c>
      <c r="AF581" s="11">
        <f>Cleaned_data[[#This Row],[Gross Profit]]/Cleaned_data[[#This Row],[Net Sales]]</f>
        <v>0.47380319459927195</v>
      </c>
      <c r="AG581">
        <f>Cleaned_data[[#This Row],[Ship_Date]]-Cleaned_data[[#This Row],[Order_Date]]</f>
        <v>8</v>
      </c>
      <c r="AH581" t="str">
        <f>IF(Cleaned_data[[#This Row],[Delivery Days]]&gt;10,"late","on time")</f>
        <v>on time</v>
      </c>
      <c r="AI581" t="str">
        <f>TEXT(Cleaned_data[[#This Row],[Order_Date]],"mmmm")</f>
        <v>August</v>
      </c>
      <c r="AJ581" s="9" t="str">
        <f>"Q"&amp;ROUNDUP(MONTH(Cleaned_data[[#This Row],[Order_Date]])/3,0)</f>
        <v>Q3</v>
      </c>
    </row>
    <row r="582" spans="1:36">
      <c r="A582" t="s">
        <v>1073</v>
      </c>
      <c r="B582" s="9">
        <v>45899</v>
      </c>
      <c r="C582" s="9">
        <v>45907</v>
      </c>
      <c r="D582" t="s">
        <v>627</v>
      </c>
      <c r="E582" t="s">
        <v>542</v>
      </c>
      <c r="F582" t="s">
        <v>152</v>
      </c>
      <c r="G582" t="s">
        <v>194</v>
      </c>
      <c r="H582" t="s">
        <v>240</v>
      </c>
      <c r="I582" t="s">
        <v>241</v>
      </c>
      <c r="J582" t="s">
        <v>109</v>
      </c>
      <c r="K582" t="s">
        <v>79</v>
      </c>
      <c r="L582" t="s">
        <v>197</v>
      </c>
      <c r="M582" t="s">
        <v>198</v>
      </c>
      <c r="N582" t="s">
        <v>120</v>
      </c>
      <c r="O582" t="s">
        <v>121</v>
      </c>
      <c r="P582" s="8">
        <v>3</v>
      </c>
      <c r="Q582" s="10">
        <v>534.01</v>
      </c>
      <c r="R582" s="11">
        <v>0</v>
      </c>
      <c r="S582" s="10">
        <v>13.31</v>
      </c>
      <c r="T582" t="s">
        <v>134</v>
      </c>
      <c r="U582" t="s">
        <v>85</v>
      </c>
      <c r="V582" s="8">
        <v>4</v>
      </c>
      <c r="W582" t="s">
        <v>1270</v>
      </c>
      <c r="X582" t="str">
        <f>_xlfn.XLOOKUP(Cleaned_data[[#This Row],[Customer_ID]],Customers[S],Customers[Loyalty_Tier])</f>
        <v>Gold</v>
      </c>
      <c r="Y582" s="9">
        <f>_xlfn.XLOOKUP(Cleaned_data[[#This Row],[Customer_ID]],Customers[S],Customers[Signup_Date])</f>
        <v>44610</v>
      </c>
      <c r="Z582" s="12">
        <f>_xlfn.XLOOKUP(Cleaned_data[[#This Row],[SKU]],Products[SKU],Products[Standard_Cost])</f>
        <v>310</v>
      </c>
      <c r="AA582" s="10">
        <f>Cleaned_data[[#This Row],[Quantity]]*Cleaned_data[[#This Row],[Unit_Price]]</f>
        <v>1602.03</v>
      </c>
      <c r="AB582" s="10">
        <f>Cleaned_data[[#This Row],[Unit_Price]]*Cleaned_data[[#This Row],[Discount_Pct]]</f>
        <v>0</v>
      </c>
      <c r="AC582" s="10">
        <f>Cleaned_data[[#This Row],[Gross Sales]]-Cleaned_data[[#This Row],[Discount amount]]</f>
        <v>1602.03</v>
      </c>
      <c r="AD582" s="10">
        <f>Cleaned_data[[#This Row],[Product Cost]]*Cleaned_data[[#This Row],[Quantity]]</f>
        <v>930</v>
      </c>
      <c r="AE582" s="10">
        <f>Cleaned_data[[#This Row],[Net Sales]]-Cleaned_data[[#This Row],[COGS]]</f>
        <v>672.03</v>
      </c>
      <c r="AF582" s="11">
        <f>Cleaned_data[[#This Row],[Gross Profit]]/Cleaned_data[[#This Row],[Net Sales]]</f>
        <v>0.41948652646954177</v>
      </c>
      <c r="AG582">
        <f>Cleaned_data[[#This Row],[Ship_Date]]-Cleaned_data[[#This Row],[Order_Date]]</f>
        <v>8</v>
      </c>
      <c r="AH582" t="str">
        <f>IF(Cleaned_data[[#This Row],[Delivery Days]]&gt;10,"late","on time")</f>
        <v>on time</v>
      </c>
      <c r="AI582" t="str">
        <f>TEXT(Cleaned_data[[#This Row],[Order_Date]],"mmmm")</f>
        <v>August</v>
      </c>
      <c r="AJ582" s="9" t="str">
        <f>"Q"&amp;ROUNDUP(MONTH(Cleaned_data[[#This Row],[Order_Date]])/3,0)</f>
        <v>Q3</v>
      </c>
    </row>
    <row r="583" spans="1:36">
      <c r="A583" t="s">
        <v>1074</v>
      </c>
      <c r="B583" s="9">
        <v>45900</v>
      </c>
      <c r="C583" s="9">
        <v>45906</v>
      </c>
      <c r="D583" t="s">
        <v>136</v>
      </c>
      <c r="E583" t="s">
        <v>137</v>
      </c>
      <c r="F583" t="s">
        <v>74</v>
      </c>
      <c r="G583" t="s">
        <v>138</v>
      </c>
      <c r="H583" t="s">
        <v>139</v>
      </c>
      <c r="I583" t="s">
        <v>140</v>
      </c>
      <c r="J583" t="s">
        <v>129</v>
      </c>
      <c r="K583" t="s">
        <v>90</v>
      </c>
      <c r="L583" t="s">
        <v>301</v>
      </c>
      <c r="M583" t="s">
        <v>302</v>
      </c>
      <c r="N583" t="s">
        <v>120</v>
      </c>
      <c r="O583" t="s">
        <v>190</v>
      </c>
      <c r="P583" s="8">
        <v>2</v>
      </c>
      <c r="Q583" s="10">
        <v>141.46</v>
      </c>
      <c r="R583" s="11">
        <v>0.11</v>
      </c>
      <c r="S583" s="10">
        <v>10.210000000000001</v>
      </c>
      <c r="T583" t="s">
        <v>134</v>
      </c>
      <c r="U583" t="s">
        <v>85</v>
      </c>
      <c r="V583" s="8">
        <v>2</v>
      </c>
      <c r="W583" t="s">
        <v>1270</v>
      </c>
      <c r="X583" t="str">
        <f>_xlfn.XLOOKUP(Cleaned_data[[#This Row],[Customer_ID]],Customers[S],Customers[Loyalty_Tier])</f>
        <v>Silver</v>
      </c>
      <c r="Y583" s="9">
        <f>_xlfn.XLOOKUP(Cleaned_data[[#This Row],[Customer_ID]],Customers[S],Customers[Signup_Date])</f>
        <v>45236</v>
      </c>
      <c r="Z583" s="12">
        <f>_xlfn.XLOOKUP(Cleaned_data[[#This Row],[SKU]],Products[SKU],Products[Standard_Cost])</f>
        <v>72</v>
      </c>
      <c r="AA583" s="10">
        <f>Cleaned_data[[#This Row],[Quantity]]*Cleaned_data[[#This Row],[Unit_Price]]</f>
        <v>282.92</v>
      </c>
      <c r="AB583" s="10">
        <f>Cleaned_data[[#This Row],[Unit_Price]]*Cleaned_data[[#This Row],[Discount_Pct]]</f>
        <v>15.560600000000001</v>
      </c>
      <c r="AC583" s="10">
        <f>Cleaned_data[[#This Row],[Gross Sales]]-Cleaned_data[[#This Row],[Discount amount]]</f>
        <v>267.35939999999999</v>
      </c>
      <c r="AD583" s="10">
        <f>Cleaned_data[[#This Row],[Product Cost]]*Cleaned_data[[#This Row],[Quantity]]</f>
        <v>144</v>
      </c>
      <c r="AE583" s="10">
        <f>Cleaned_data[[#This Row],[Net Sales]]-Cleaned_data[[#This Row],[COGS]]</f>
        <v>123.35939999999999</v>
      </c>
      <c r="AF583" s="11">
        <f>Cleaned_data[[#This Row],[Gross Profit]]/Cleaned_data[[#This Row],[Net Sales]]</f>
        <v>0.46139915035715967</v>
      </c>
      <c r="AG583">
        <f>Cleaned_data[[#This Row],[Ship_Date]]-Cleaned_data[[#This Row],[Order_Date]]</f>
        <v>6</v>
      </c>
      <c r="AH583" t="str">
        <f>IF(Cleaned_data[[#This Row],[Delivery Days]]&gt;10,"late","on time")</f>
        <v>on time</v>
      </c>
      <c r="AI583" t="str">
        <f>TEXT(Cleaned_data[[#This Row],[Order_Date]],"mmmm")</f>
        <v>August</v>
      </c>
      <c r="AJ583" s="9" t="str">
        <f>"Q"&amp;ROUNDUP(MONTH(Cleaned_data[[#This Row],[Order_Date]])/3,0)</f>
        <v>Q3</v>
      </c>
    </row>
    <row r="584" spans="1:36">
      <c r="A584" t="s">
        <v>1075</v>
      </c>
      <c r="B584" s="9">
        <v>45901</v>
      </c>
      <c r="C584" s="9">
        <v>45908</v>
      </c>
      <c r="D584" t="s">
        <v>1076</v>
      </c>
      <c r="E584" t="s">
        <v>1077</v>
      </c>
      <c r="F584" t="s">
        <v>74</v>
      </c>
      <c r="G584" t="s">
        <v>126</v>
      </c>
      <c r="H584" t="s">
        <v>160</v>
      </c>
      <c r="I584" t="s">
        <v>161</v>
      </c>
      <c r="J584" t="s">
        <v>219</v>
      </c>
      <c r="K584" t="s">
        <v>79</v>
      </c>
      <c r="L584" t="s">
        <v>431</v>
      </c>
      <c r="M584" t="s">
        <v>432</v>
      </c>
      <c r="N584" t="s">
        <v>103</v>
      </c>
      <c r="O584" t="s">
        <v>251</v>
      </c>
      <c r="P584" s="8">
        <v>3</v>
      </c>
      <c r="Q584" s="10">
        <v>38.840000000000003</v>
      </c>
      <c r="R584" s="11">
        <v>7.0000000000000007E-2</v>
      </c>
      <c r="S584" s="10">
        <v>10.69</v>
      </c>
      <c r="T584" t="s">
        <v>122</v>
      </c>
      <c r="U584" t="s">
        <v>85</v>
      </c>
      <c r="V584" s="8">
        <v>4</v>
      </c>
      <c r="W584" t="s">
        <v>1270</v>
      </c>
      <c r="X584" t="str">
        <f>_xlfn.XLOOKUP(Cleaned_data[[#This Row],[Customer_ID]],Customers[S],Customers[Loyalty_Tier])</f>
        <v>Bronze</v>
      </c>
      <c r="Y584" s="9">
        <f>_xlfn.XLOOKUP(Cleaned_data[[#This Row],[Customer_ID]],Customers[S],Customers[Signup_Date])</f>
        <v>44250</v>
      </c>
      <c r="Z584" s="12">
        <f>_xlfn.XLOOKUP(Cleaned_data[[#This Row],[SKU]],Products[SKU],Products[Standard_Cost])</f>
        <v>20</v>
      </c>
      <c r="AA584" s="10">
        <f>Cleaned_data[[#This Row],[Quantity]]*Cleaned_data[[#This Row],[Unit_Price]]</f>
        <v>116.52000000000001</v>
      </c>
      <c r="AB584" s="10">
        <f>Cleaned_data[[#This Row],[Unit_Price]]*Cleaned_data[[#This Row],[Discount_Pct]]</f>
        <v>2.7188000000000003</v>
      </c>
      <c r="AC584" s="10">
        <f>Cleaned_data[[#This Row],[Gross Sales]]-Cleaned_data[[#This Row],[Discount amount]]</f>
        <v>113.80120000000001</v>
      </c>
      <c r="AD584" s="10">
        <f>Cleaned_data[[#This Row],[Product Cost]]*Cleaned_data[[#This Row],[Quantity]]</f>
        <v>60</v>
      </c>
      <c r="AE584" s="10">
        <f>Cleaned_data[[#This Row],[Net Sales]]-Cleaned_data[[#This Row],[COGS]]</f>
        <v>53.801200000000009</v>
      </c>
      <c r="AF584" s="11">
        <f>Cleaned_data[[#This Row],[Gross Profit]]/Cleaned_data[[#This Row],[Net Sales]]</f>
        <v>0.47276478631156793</v>
      </c>
      <c r="AG584">
        <f>Cleaned_data[[#This Row],[Ship_Date]]-Cleaned_data[[#This Row],[Order_Date]]</f>
        <v>7</v>
      </c>
      <c r="AH584" t="str">
        <f>IF(Cleaned_data[[#This Row],[Delivery Days]]&gt;10,"late","on time")</f>
        <v>on time</v>
      </c>
      <c r="AI584" t="str">
        <f>TEXT(Cleaned_data[[#This Row],[Order_Date]],"mmmm")</f>
        <v>September</v>
      </c>
      <c r="AJ584" s="9" t="str">
        <f>"Q"&amp;ROUNDUP(MONTH(Cleaned_data[[#This Row],[Order_Date]])/3,0)</f>
        <v>Q3</v>
      </c>
    </row>
    <row r="585" spans="1:36">
      <c r="A585" t="s">
        <v>1078</v>
      </c>
      <c r="B585" s="9">
        <v>45901</v>
      </c>
      <c r="C585" s="9">
        <v>45909</v>
      </c>
      <c r="D585" t="s">
        <v>166</v>
      </c>
      <c r="E585" t="s">
        <v>167</v>
      </c>
      <c r="F585" t="s">
        <v>74</v>
      </c>
      <c r="G585" t="s">
        <v>75</v>
      </c>
      <c r="H585" t="s">
        <v>116</v>
      </c>
      <c r="I585" t="s">
        <v>117</v>
      </c>
      <c r="J585" t="s">
        <v>219</v>
      </c>
      <c r="K585" t="s">
        <v>130</v>
      </c>
      <c r="L585" t="s">
        <v>254</v>
      </c>
      <c r="M585" t="s">
        <v>255</v>
      </c>
      <c r="N585" t="s">
        <v>82</v>
      </c>
      <c r="O585" t="s">
        <v>83</v>
      </c>
      <c r="P585" s="8">
        <v>6</v>
      </c>
      <c r="Q585" s="10">
        <v>96.21</v>
      </c>
      <c r="R585" s="11">
        <v>7.0000000000000007E-2</v>
      </c>
      <c r="S585" s="10">
        <v>15.63</v>
      </c>
      <c r="T585" t="s">
        <v>84</v>
      </c>
      <c r="U585" t="s">
        <v>85</v>
      </c>
      <c r="V585" s="8">
        <v>4</v>
      </c>
      <c r="W585" t="s">
        <v>1270</v>
      </c>
      <c r="X585" t="str">
        <f>_xlfn.XLOOKUP(Cleaned_data[[#This Row],[Customer_ID]],Customers[S],Customers[Loyalty_Tier])</f>
        <v>Platinum</v>
      </c>
      <c r="Y585" s="9">
        <f>_xlfn.XLOOKUP(Cleaned_data[[#This Row],[Customer_ID]],Customers[S],Customers[Signup_Date])</f>
        <v>46013</v>
      </c>
      <c r="Z585" s="12">
        <f>_xlfn.XLOOKUP(Cleaned_data[[#This Row],[SKU]],Products[SKU],Products[Standard_Cost])</f>
        <v>48</v>
      </c>
      <c r="AA585" s="10">
        <f>Cleaned_data[[#This Row],[Quantity]]*Cleaned_data[[#This Row],[Unit_Price]]</f>
        <v>577.26</v>
      </c>
      <c r="AB585" s="10">
        <f>Cleaned_data[[#This Row],[Unit_Price]]*Cleaned_data[[#This Row],[Discount_Pct]]</f>
        <v>6.7347000000000001</v>
      </c>
      <c r="AC585" s="10">
        <f>Cleaned_data[[#This Row],[Gross Sales]]-Cleaned_data[[#This Row],[Discount amount]]</f>
        <v>570.52530000000002</v>
      </c>
      <c r="AD585" s="10">
        <f>Cleaned_data[[#This Row],[Product Cost]]*Cleaned_data[[#This Row],[Quantity]]</f>
        <v>288</v>
      </c>
      <c r="AE585" s="10">
        <f>Cleaned_data[[#This Row],[Net Sales]]-Cleaned_data[[#This Row],[COGS]]</f>
        <v>282.52530000000002</v>
      </c>
      <c r="AF585" s="11">
        <f>Cleaned_data[[#This Row],[Gross Profit]]/Cleaned_data[[#This Row],[Net Sales]]</f>
        <v>0.49520205326564837</v>
      </c>
      <c r="AG585">
        <f>Cleaned_data[[#This Row],[Ship_Date]]-Cleaned_data[[#This Row],[Order_Date]]</f>
        <v>8</v>
      </c>
      <c r="AH585" t="str">
        <f>IF(Cleaned_data[[#This Row],[Delivery Days]]&gt;10,"late","on time")</f>
        <v>on time</v>
      </c>
      <c r="AI585" t="str">
        <f>TEXT(Cleaned_data[[#This Row],[Order_Date]],"mmmm")</f>
        <v>September</v>
      </c>
      <c r="AJ585" s="9" t="str">
        <f>"Q"&amp;ROUNDUP(MONTH(Cleaned_data[[#This Row],[Order_Date]])/3,0)</f>
        <v>Q3</v>
      </c>
    </row>
    <row r="586" spans="1:36">
      <c r="A586" t="s">
        <v>1079</v>
      </c>
      <c r="B586" s="9">
        <v>45902</v>
      </c>
      <c r="C586" s="9">
        <v>45906</v>
      </c>
      <c r="D586" t="s">
        <v>771</v>
      </c>
      <c r="E586" t="s">
        <v>772</v>
      </c>
      <c r="F586" t="s">
        <v>74</v>
      </c>
      <c r="G586" t="s">
        <v>126</v>
      </c>
      <c r="H586" t="s">
        <v>127</v>
      </c>
      <c r="I586" t="s">
        <v>128</v>
      </c>
      <c r="J586" t="s">
        <v>219</v>
      </c>
      <c r="K586" t="s">
        <v>79</v>
      </c>
      <c r="L586" t="s">
        <v>110</v>
      </c>
      <c r="M586" t="s">
        <v>111</v>
      </c>
      <c r="N586" t="s">
        <v>82</v>
      </c>
      <c r="O586" t="s">
        <v>112</v>
      </c>
      <c r="P586" s="8">
        <v>3</v>
      </c>
      <c r="Q586" s="10">
        <v>316.93</v>
      </c>
      <c r="R586" s="11">
        <v>0.1</v>
      </c>
      <c r="S586" s="10">
        <v>5.0199999999999996</v>
      </c>
      <c r="T586" t="s">
        <v>122</v>
      </c>
      <c r="U586" t="s">
        <v>1276</v>
      </c>
      <c r="W586" t="s">
        <v>1281</v>
      </c>
      <c r="X586" t="str">
        <f>_xlfn.XLOOKUP(Cleaned_data[[#This Row],[Customer_ID]],Customers[S],Customers[Loyalty_Tier])</f>
        <v>Bronze</v>
      </c>
      <c r="Y586" s="9">
        <f>_xlfn.XLOOKUP(Cleaned_data[[#This Row],[Customer_ID]],Customers[S],Customers[Signup_Date])</f>
        <v>45891</v>
      </c>
      <c r="Z586" s="12">
        <f>_xlfn.XLOOKUP(Cleaned_data[[#This Row],[SKU]],Products[SKU],Products[Standard_Cost])</f>
        <v>165</v>
      </c>
      <c r="AA586" s="10">
        <f>Cleaned_data[[#This Row],[Quantity]]*Cleaned_data[[#This Row],[Unit_Price]]</f>
        <v>950.79</v>
      </c>
      <c r="AB586" s="10">
        <f>Cleaned_data[[#This Row],[Unit_Price]]*Cleaned_data[[#This Row],[Discount_Pct]]</f>
        <v>31.693000000000001</v>
      </c>
      <c r="AC586" s="10">
        <f>Cleaned_data[[#This Row],[Gross Sales]]-Cleaned_data[[#This Row],[Discount amount]]</f>
        <v>919.09699999999998</v>
      </c>
      <c r="AD586" s="10">
        <f>Cleaned_data[[#This Row],[Product Cost]]*Cleaned_data[[#This Row],[Quantity]]</f>
        <v>495</v>
      </c>
      <c r="AE586" s="10">
        <f>Cleaned_data[[#This Row],[Net Sales]]-Cleaned_data[[#This Row],[COGS]]</f>
        <v>424.09699999999998</v>
      </c>
      <c r="AF586" s="11">
        <f>Cleaned_data[[#This Row],[Gross Profit]]/Cleaned_data[[#This Row],[Net Sales]]</f>
        <v>0.46142790151637963</v>
      </c>
      <c r="AG586">
        <f>Cleaned_data[[#This Row],[Ship_Date]]-Cleaned_data[[#This Row],[Order_Date]]</f>
        <v>4</v>
      </c>
      <c r="AH586" t="str">
        <f>IF(Cleaned_data[[#This Row],[Delivery Days]]&gt;10,"late","on time")</f>
        <v>on time</v>
      </c>
      <c r="AI586" t="str">
        <f>TEXT(Cleaned_data[[#This Row],[Order_Date]],"mmmm")</f>
        <v>September</v>
      </c>
      <c r="AJ586" s="9" t="str">
        <f>"Q"&amp;ROUNDUP(MONTH(Cleaned_data[[#This Row],[Order_Date]])/3,0)</f>
        <v>Q3</v>
      </c>
    </row>
    <row r="587" spans="1:36">
      <c r="A587" t="s">
        <v>1080</v>
      </c>
      <c r="B587" s="9">
        <v>45904</v>
      </c>
      <c r="C587" s="9">
        <v>45906</v>
      </c>
      <c r="D587" t="s">
        <v>563</v>
      </c>
      <c r="E587" t="s">
        <v>564</v>
      </c>
      <c r="F587" t="s">
        <v>152</v>
      </c>
      <c r="G587" t="s">
        <v>138</v>
      </c>
      <c r="H587" t="s">
        <v>139</v>
      </c>
      <c r="I587" t="s">
        <v>140</v>
      </c>
      <c r="J587" t="s">
        <v>219</v>
      </c>
      <c r="K587" t="s">
        <v>79</v>
      </c>
      <c r="L587" t="s">
        <v>431</v>
      </c>
      <c r="M587" t="s">
        <v>432</v>
      </c>
      <c r="N587" t="s">
        <v>103</v>
      </c>
      <c r="O587" t="s">
        <v>251</v>
      </c>
      <c r="P587" s="8">
        <v>8</v>
      </c>
      <c r="Q587" s="10">
        <v>39.369999999999997</v>
      </c>
      <c r="R587" s="11">
        <v>0</v>
      </c>
      <c r="S587" s="10">
        <v>9.9</v>
      </c>
      <c r="T587" t="s">
        <v>105</v>
      </c>
      <c r="U587" t="s">
        <v>85</v>
      </c>
      <c r="V587" s="8">
        <v>1</v>
      </c>
      <c r="W587" t="s">
        <v>1270</v>
      </c>
      <c r="X587" t="str">
        <f>_xlfn.XLOOKUP(Cleaned_data[[#This Row],[Customer_ID]],Customers[S],Customers[Loyalty_Tier])</f>
        <v>Platinum</v>
      </c>
      <c r="Y587" s="9">
        <f>_xlfn.XLOOKUP(Cleaned_data[[#This Row],[Customer_ID]],Customers[S],Customers[Signup_Date])</f>
        <v>45510</v>
      </c>
      <c r="Z587" s="12">
        <f>_xlfn.XLOOKUP(Cleaned_data[[#This Row],[SKU]],Products[SKU],Products[Standard_Cost])</f>
        <v>20</v>
      </c>
      <c r="AA587" s="10">
        <f>Cleaned_data[[#This Row],[Quantity]]*Cleaned_data[[#This Row],[Unit_Price]]</f>
        <v>314.95999999999998</v>
      </c>
      <c r="AB587" s="10">
        <f>Cleaned_data[[#This Row],[Unit_Price]]*Cleaned_data[[#This Row],[Discount_Pct]]</f>
        <v>0</v>
      </c>
      <c r="AC587" s="10">
        <f>Cleaned_data[[#This Row],[Gross Sales]]-Cleaned_data[[#This Row],[Discount amount]]</f>
        <v>314.95999999999998</v>
      </c>
      <c r="AD587" s="10">
        <f>Cleaned_data[[#This Row],[Product Cost]]*Cleaned_data[[#This Row],[Quantity]]</f>
        <v>160</v>
      </c>
      <c r="AE587" s="10">
        <f>Cleaned_data[[#This Row],[Net Sales]]-Cleaned_data[[#This Row],[COGS]]</f>
        <v>154.95999999999998</v>
      </c>
      <c r="AF587" s="11">
        <f>Cleaned_data[[#This Row],[Gross Profit]]/Cleaned_data[[#This Row],[Net Sales]]</f>
        <v>0.49199898399796799</v>
      </c>
      <c r="AG587">
        <f>Cleaned_data[[#This Row],[Ship_Date]]-Cleaned_data[[#This Row],[Order_Date]]</f>
        <v>2</v>
      </c>
      <c r="AH587" t="str">
        <f>IF(Cleaned_data[[#This Row],[Delivery Days]]&gt;10,"late","on time")</f>
        <v>on time</v>
      </c>
      <c r="AI587" t="str">
        <f>TEXT(Cleaned_data[[#This Row],[Order_Date]],"mmmm")</f>
        <v>September</v>
      </c>
      <c r="AJ587" s="9" t="str">
        <f>"Q"&amp;ROUNDUP(MONTH(Cleaned_data[[#This Row],[Order_Date]])/3,0)</f>
        <v>Q3</v>
      </c>
    </row>
    <row r="588" spans="1:36">
      <c r="A588" t="s">
        <v>1081</v>
      </c>
      <c r="B588" s="9">
        <v>45904</v>
      </c>
      <c r="C588" s="9">
        <v>45917</v>
      </c>
      <c r="D588" t="s">
        <v>714</v>
      </c>
      <c r="E588" t="s">
        <v>715</v>
      </c>
      <c r="F588" t="s">
        <v>89</v>
      </c>
      <c r="G588" t="s">
        <v>126</v>
      </c>
      <c r="H588" t="s">
        <v>160</v>
      </c>
      <c r="I588" t="s">
        <v>161</v>
      </c>
      <c r="J588" t="s">
        <v>78</v>
      </c>
      <c r="K588" t="s">
        <v>130</v>
      </c>
      <c r="L588" t="s">
        <v>234</v>
      </c>
      <c r="M588" t="s">
        <v>235</v>
      </c>
      <c r="N588" t="s">
        <v>93</v>
      </c>
      <c r="O588" t="s">
        <v>236</v>
      </c>
      <c r="P588" s="8">
        <v>2</v>
      </c>
      <c r="Q588" s="10">
        <v>142.38999999999999</v>
      </c>
      <c r="R588" s="11">
        <v>0.35</v>
      </c>
      <c r="S588" s="10">
        <v>28.46</v>
      </c>
      <c r="T588" t="s">
        <v>134</v>
      </c>
      <c r="U588" t="s">
        <v>85</v>
      </c>
      <c r="V588" s="8">
        <v>4</v>
      </c>
      <c r="W588" t="s">
        <v>1270</v>
      </c>
      <c r="X588" t="str">
        <f>_xlfn.XLOOKUP(Cleaned_data[[#This Row],[Customer_ID]],Customers[S],Customers[Loyalty_Tier])</f>
        <v>Bronze</v>
      </c>
      <c r="Y588" s="9">
        <f>_xlfn.XLOOKUP(Cleaned_data[[#This Row],[Customer_ID]],Customers[S],Customers[Signup_Date])</f>
        <v>45844</v>
      </c>
      <c r="Z588" s="12">
        <f>_xlfn.XLOOKUP(Cleaned_data[[#This Row],[SKU]],Products[SKU],Products[Standard_Cost])</f>
        <v>82</v>
      </c>
      <c r="AA588" s="10">
        <f>Cleaned_data[[#This Row],[Quantity]]*Cleaned_data[[#This Row],[Unit_Price]]</f>
        <v>284.77999999999997</v>
      </c>
      <c r="AB588" s="10">
        <f>Cleaned_data[[#This Row],[Unit_Price]]*Cleaned_data[[#This Row],[Discount_Pct]]</f>
        <v>49.836499999999994</v>
      </c>
      <c r="AC588" s="10">
        <f>Cleaned_data[[#This Row],[Gross Sales]]-Cleaned_data[[#This Row],[Discount amount]]</f>
        <v>234.94349999999997</v>
      </c>
      <c r="AD588" s="10">
        <f>Cleaned_data[[#This Row],[Product Cost]]*Cleaned_data[[#This Row],[Quantity]]</f>
        <v>164</v>
      </c>
      <c r="AE588" s="10">
        <f>Cleaned_data[[#This Row],[Net Sales]]-Cleaned_data[[#This Row],[COGS]]</f>
        <v>70.943499999999972</v>
      </c>
      <c r="AF588" s="11">
        <f>Cleaned_data[[#This Row],[Gross Profit]]/Cleaned_data[[#This Row],[Net Sales]]</f>
        <v>0.30195983289599404</v>
      </c>
      <c r="AG588">
        <f>Cleaned_data[[#This Row],[Ship_Date]]-Cleaned_data[[#This Row],[Order_Date]]</f>
        <v>13</v>
      </c>
      <c r="AH588" t="str">
        <f>IF(Cleaned_data[[#This Row],[Delivery Days]]&gt;10,"late","on time")</f>
        <v>late</v>
      </c>
      <c r="AI588" t="str">
        <f>TEXT(Cleaned_data[[#This Row],[Order_Date]],"mmmm")</f>
        <v>September</v>
      </c>
      <c r="AJ588" s="9" t="str">
        <f>"Q"&amp;ROUNDUP(MONTH(Cleaned_data[[#This Row],[Order_Date]])/3,0)</f>
        <v>Q3</v>
      </c>
    </row>
    <row r="589" spans="1:36">
      <c r="A589" t="s">
        <v>1082</v>
      </c>
      <c r="B589" s="9">
        <v>45904</v>
      </c>
      <c r="C589" s="9">
        <v>45906</v>
      </c>
      <c r="D589" t="s">
        <v>576</v>
      </c>
      <c r="E589" t="s">
        <v>577</v>
      </c>
      <c r="F589" t="s">
        <v>89</v>
      </c>
      <c r="G589" t="s">
        <v>126</v>
      </c>
      <c r="H589" t="s">
        <v>291</v>
      </c>
      <c r="I589" t="s">
        <v>292</v>
      </c>
      <c r="J589" t="s">
        <v>109</v>
      </c>
      <c r="K589" t="s">
        <v>168</v>
      </c>
      <c r="L589" t="s">
        <v>254</v>
      </c>
      <c r="M589" t="s">
        <v>255</v>
      </c>
      <c r="N589" t="s">
        <v>82</v>
      </c>
      <c r="O589" t="s">
        <v>83</v>
      </c>
      <c r="P589" s="8">
        <v>-1</v>
      </c>
      <c r="Q589" s="10">
        <v>100.11</v>
      </c>
      <c r="R589" s="11">
        <v>0.06</v>
      </c>
      <c r="S589" s="10">
        <v>7.21</v>
      </c>
      <c r="T589" t="s">
        <v>134</v>
      </c>
      <c r="U589" t="s">
        <v>85</v>
      </c>
      <c r="V589" s="8">
        <v>1</v>
      </c>
      <c r="W589" t="s">
        <v>1273</v>
      </c>
      <c r="X589" t="str">
        <f>_xlfn.XLOOKUP(Cleaned_data[[#This Row],[Customer_ID]],Customers[S],Customers[Loyalty_Tier])</f>
        <v>Bronze</v>
      </c>
      <c r="Y589" s="9">
        <f>_xlfn.XLOOKUP(Cleaned_data[[#This Row],[Customer_ID]],Customers[S],Customers[Signup_Date])</f>
        <v>44876</v>
      </c>
      <c r="Z589" s="12">
        <f>_xlfn.XLOOKUP(Cleaned_data[[#This Row],[SKU]],Products[SKU],Products[Standard_Cost])</f>
        <v>48</v>
      </c>
      <c r="AA589" s="10">
        <f>Cleaned_data[[#This Row],[Quantity]]*Cleaned_data[[#This Row],[Unit_Price]]</f>
        <v>-100.11</v>
      </c>
      <c r="AB589" s="10">
        <f>Cleaned_data[[#This Row],[Unit_Price]]*Cleaned_data[[#This Row],[Discount_Pct]]</f>
        <v>6.0065999999999997</v>
      </c>
      <c r="AC589" s="10">
        <f>Cleaned_data[[#This Row],[Gross Sales]]-Cleaned_data[[#This Row],[Discount amount]]</f>
        <v>-106.11660000000001</v>
      </c>
      <c r="AD589" s="10">
        <f>Cleaned_data[[#This Row],[Product Cost]]*Cleaned_data[[#This Row],[Quantity]]</f>
        <v>-48</v>
      </c>
      <c r="AE589" s="10">
        <f>Cleaned_data[[#This Row],[Net Sales]]-Cleaned_data[[#This Row],[COGS]]</f>
        <v>-58.116600000000005</v>
      </c>
      <c r="AF589" s="11">
        <f>Cleaned_data[[#This Row],[Gross Profit]]/Cleaned_data[[#This Row],[Net Sales]]</f>
        <v>0.54766737720582837</v>
      </c>
      <c r="AG589">
        <f>Cleaned_data[[#This Row],[Ship_Date]]-Cleaned_data[[#This Row],[Order_Date]]</f>
        <v>2</v>
      </c>
      <c r="AH589" t="str">
        <f>IF(Cleaned_data[[#This Row],[Delivery Days]]&gt;10,"late","on time")</f>
        <v>on time</v>
      </c>
      <c r="AI589" t="str">
        <f>TEXT(Cleaned_data[[#This Row],[Order_Date]],"mmmm")</f>
        <v>September</v>
      </c>
      <c r="AJ589" s="9" t="str">
        <f>"Q"&amp;ROUNDUP(MONTH(Cleaned_data[[#This Row],[Order_Date]])/3,0)</f>
        <v>Q3</v>
      </c>
    </row>
    <row r="590" spans="1:36">
      <c r="A590" t="s">
        <v>1083</v>
      </c>
      <c r="B590" s="9">
        <v>45904</v>
      </c>
      <c r="C590" s="9">
        <v>45921</v>
      </c>
      <c r="D590" t="s">
        <v>392</v>
      </c>
      <c r="E590" t="s">
        <v>393</v>
      </c>
      <c r="F590" t="s">
        <v>74</v>
      </c>
      <c r="G590" t="s">
        <v>126</v>
      </c>
      <c r="H590" t="s">
        <v>160</v>
      </c>
      <c r="I590" t="s">
        <v>161</v>
      </c>
      <c r="J590" t="s">
        <v>78</v>
      </c>
      <c r="K590" t="s">
        <v>168</v>
      </c>
      <c r="L590" t="s">
        <v>110</v>
      </c>
      <c r="M590" t="s">
        <v>111</v>
      </c>
      <c r="N590" t="s">
        <v>82</v>
      </c>
      <c r="O590" t="s">
        <v>112</v>
      </c>
      <c r="P590" s="8">
        <v>0</v>
      </c>
      <c r="Q590" s="10">
        <v>329.02</v>
      </c>
      <c r="R590" s="11">
        <v>0.08</v>
      </c>
      <c r="S590" s="10">
        <v>6.65</v>
      </c>
      <c r="T590" t="s">
        <v>84</v>
      </c>
      <c r="U590" t="s">
        <v>85</v>
      </c>
      <c r="V590" s="8">
        <v>1</v>
      </c>
      <c r="W590" t="s">
        <v>1273</v>
      </c>
      <c r="X590" t="str">
        <f>_xlfn.XLOOKUP(Cleaned_data[[#This Row],[Customer_ID]],Customers[S],Customers[Loyalty_Tier])</f>
        <v>Gold</v>
      </c>
      <c r="Y590" s="9">
        <f>_xlfn.XLOOKUP(Cleaned_data[[#This Row],[Customer_ID]],Customers[S],Customers[Signup_Date])</f>
        <v>44236</v>
      </c>
      <c r="Z590" s="12">
        <f>_xlfn.XLOOKUP(Cleaned_data[[#This Row],[SKU]],Products[SKU],Products[Standard_Cost])</f>
        <v>165</v>
      </c>
      <c r="AA590" s="10">
        <f>Cleaned_data[[#This Row],[Quantity]]*Cleaned_data[[#This Row],[Unit_Price]]</f>
        <v>0</v>
      </c>
      <c r="AB590" s="10">
        <f>Cleaned_data[[#This Row],[Unit_Price]]*Cleaned_data[[#This Row],[Discount_Pct]]</f>
        <v>26.3216</v>
      </c>
      <c r="AC590" s="10">
        <f>Cleaned_data[[#This Row],[Gross Sales]]-Cleaned_data[[#This Row],[Discount amount]]</f>
        <v>-26.3216</v>
      </c>
      <c r="AD590" s="10">
        <f>Cleaned_data[[#This Row],[Product Cost]]*Cleaned_data[[#This Row],[Quantity]]</f>
        <v>0</v>
      </c>
      <c r="AE590" s="10">
        <f>Cleaned_data[[#This Row],[Net Sales]]-Cleaned_data[[#This Row],[COGS]]</f>
        <v>-26.3216</v>
      </c>
      <c r="AF590" s="11">
        <f>Cleaned_data[[#This Row],[Gross Profit]]/Cleaned_data[[#This Row],[Net Sales]]</f>
        <v>1</v>
      </c>
      <c r="AG590">
        <f>Cleaned_data[[#This Row],[Ship_Date]]-Cleaned_data[[#This Row],[Order_Date]]</f>
        <v>17</v>
      </c>
      <c r="AH590" t="str">
        <f>IF(Cleaned_data[[#This Row],[Delivery Days]]&gt;10,"late","on time")</f>
        <v>late</v>
      </c>
      <c r="AI590" t="str">
        <f>TEXT(Cleaned_data[[#This Row],[Order_Date]],"mmmm")</f>
        <v>September</v>
      </c>
      <c r="AJ590" s="9" t="str">
        <f>"Q"&amp;ROUNDUP(MONTH(Cleaned_data[[#This Row],[Order_Date]])/3,0)</f>
        <v>Q3</v>
      </c>
    </row>
    <row r="591" spans="1:36">
      <c r="A591" t="s">
        <v>1084</v>
      </c>
      <c r="B591" s="9">
        <v>45905</v>
      </c>
      <c r="C591" s="9">
        <v>45919</v>
      </c>
      <c r="D591" t="s">
        <v>228</v>
      </c>
      <c r="E591" t="s">
        <v>229</v>
      </c>
      <c r="F591" t="s">
        <v>74</v>
      </c>
      <c r="G591" t="s">
        <v>194</v>
      </c>
      <c r="H591" t="s">
        <v>230</v>
      </c>
      <c r="I591" t="s">
        <v>231</v>
      </c>
      <c r="J591" t="s">
        <v>78</v>
      </c>
      <c r="K591" t="s">
        <v>100</v>
      </c>
      <c r="L591" t="s">
        <v>101</v>
      </c>
      <c r="M591" t="s">
        <v>102</v>
      </c>
      <c r="N591" t="s">
        <v>103</v>
      </c>
      <c r="O591" t="s">
        <v>104</v>
      </c>
      <c r="P591" s="8">
        <v>2</v>
      </c>
      <c r="Q591" s="10">
        <v>77.03</v>
      </c>
      <c r="R591" s="11">
        <v>7.0000000000000007E-2</v>
      </c>
      <c r="S591" s="10">
        <v>8.3800000000000008</v>
      </c>
      <c r="T591" t="s">
        <v>84</v>
      </c>
      <c r="U591" t="s">
        <v>85</v>
      </c>
      <c r="V591" s="8">
        <v>4</v>
      </c>
      <c r="W591" t="s">
        <v>1270</v>
      </c>
      <c r="X591" t="str">
        <f>_xlfn.XLOOKUP(Cleaned_data[[#This Row],[Customer_ID]],Customers[S],Customers[Loyalty_Tier])</f>
        <v>Silver</v>
      </c>
      <c r="Y591" s="9">
        <f>_xlfn.XLOOKUP(Cleaned_data[[#This Row],[Customer_ID]],Customers[S],Customers[Signup_Date])</f>
        <v>45843</v>
      </c>
      <c r="Z591" s="12">
        <f>_xlfn.XLOOKUP(Cleaned_data[[#This Row],[SKU]],Products[SKU],Products[Standard_Cost])</f>
        <v>36</v>
      </c>
      <c r="AA591" s="10">
        <f>Cleaned_data[[#This Row],[Quantity]]*Cleaned_data[[#This Row],[Unit_Price]]</f>
        <v>154.06</v>
      </c>
      <c r="AB591" s="10">
        <f>Cleaned_data[[#This Row],[Unit_Price]]*Cleaned_data[[#This Row],[Discount_Pct]]</f>
        <v>5.392100000000001</v>
      </c>
      <c r="AC591" s="10">
        <f>Cleaned_data[[#This Row],[Gross Sales]]-Cleaned_data[[#This Row],[Discount amount]]</f>
        <v>148.6679</v>
      </c>
      <c r="AD591" s="10">
        <f>Cleaned_data[[#This Row],[Product Cost]]*Cleaned_data[[#This Row],[Quantity]]</f>
        <v>72</v>
      </c>
      <c r="AE591" s="10">
        <f>Cleaned_data[[#This Row],[Net Sales]]-Cleaned_data[[#This Row],[COGS]]</f>
        <v>76.667900000000003</v>
      </c>
      <c r="AF591" s="11">
        <f>Cleaned_data[[#This Row],[Gross Profit]]/Cleaned_data[[#This Row],[Net Sales]]</f>
        <v>0.51569908500759076</v>
      </c>
      <c r="AG591">
        <f>Cleaned_data[[#This Row],[Ship_Date]]-Cleaned_data[[#This Row],[Order_Date]]</f>
        <v>14</v>
      </c>
      <c r="AH591" t="str">
        <f>IF(Cleaned_data[[#This Row],[Delivery Days]]&gt;10,"late","on time")</f>
        <v>late</v>
      </c>
      <c r="AI591" t="str">
        <f>TEXT(Cleaned_data[[#This Row],[Order_Date]],"mmmm")</f>
        <v>September</v>
      </c>
      <c r="AJ591" s="9" t="str">
        <f>"Q"&amp;ROUNDUP(MONTH(Cleaned_data[[#This Row],[Order_Date]])/3,0)</f>
        <v>Q3</v>
      </c>
    </row>
    <row r="592" spans="1:36">
      <c r="A592" t="s">
        <v>1085</v>
      </c>
      <c r="B592" s="9">
        <v>45905</v>
      </c>
      <c r="C592" s="9">
        <v>45906</v>
      </c>
      <c r="D592" t="s">
        <v>1066</v>
      </c>
      <c r="E592" t="s">
        <v>1067</v>
      </c>
      <c r="F592" t="s">
        <v>152</v>
      </c>
      <c r="G592" t="s">
        <v>75</v>
      </c>
      <c r="H592" t="s">
        <v>98</v>
      </c>
      <c r="I592" t="s">
        <v>99</v>
      </c>
      <c r="J592" t="s">
        <v>109</v>
      </c>
      <c r="K592" t="s">
        <v>147</v>
      </c>
      <c r="L592" t="s">
        <v>214</v>
      </c>
      <c r="M592" t="s">
        <v>215</v>
      </c>
      <c r="N592" t="s">
        <v>103</v>
      </c>
      <c r="O592" t="s">
        <v>171</v>
      </c>
      <c r="P592" s="8">
        <v>1</v>
      </c>
      <c r="Q592" s="10">
        <v>12.49</v>
      </c>
      <c r="R592" s="11">
        <v>0</v>
      </c>
      <c r="S592" s="10">
        <v>6.83</v>
      </c>
      <c r="T592" t="s">
        <v>134</v>
      </c>
      <c r="U592" t="s">
        <v>85</v>
      </c>
      <c r="V592" s="8">
        <v>3</v>
      </c>
      <c r="W592" t="s">
        <v>1270</v>
      </c>
      <c r="X592" t="str">
        <f>_xlfn.XLOOKUP(Cleaned_data[[#This Row],[Customer_ID]],Customers[S],Customers[Loyalty_Tier])</f>
        <v>Bronze</v>
      </c>
      <c r="Y592" s="9">
        <f>_xlfn.XLOOKUP(Cleaned_data[[#This Row],[Customer_ID]],Customers[S],Customers[Signup_Date])</f>
        <v>44202</v>
      </c>
      <c r="Z592" s="12">
        <f>_xlfn.XLOOKUP(Cleaned_data[[#This Row],[SKU]],Products[SKU],Products[Standard_Cost])</f>
        <v>5</v>
      </c>
      <c r="AA592" s="10">
        <f>Cleaned_data[[#This Row],[Quantity]]*Cleaned_data[[#This Row],[Unit_Price]]</f>
        <v>12.49</v>
      </c>
      <c r="AB592" s="10">
        <f>Cleaned_data[[#This Row],[Unit_Price]]*Cleaned_data[[#This Row],[Discount_Pct]]</f>
        <v>0</v>
      </c>
      <c r="AC592" s="10">
        <f>Cleaned_data[[#This Row],[Gross Sales]]-Cleaned_data[[#This Row],[Discount amount]]</f>
        <v>12.49</v>
      </c>
      <c r="AD592" s="10">
        <f>Cleaned_data[[#This Row],[Product Cost]]*Cleaned_data[[#This Row],[Quantity]]</f>
        <v>5</v>
      </c>
      <c r="AE592" s="10">
        <f>Cleaned_data[[#This Row],[Net Sales]]-Cleaned_data[[#This Row],[COGS]]</f>
        <v>7.49</v>
      </c>
      <c r="AF592" s="11">
        <f>Cleaned_data[[#This Row],[Gross Profit]]/Cleaned_data[[#This Row],[Net Sales]]</f>
        <v>0.59967974379503608</v>
      </c>
      <c r="AG592">
        <f>Cleaned_data[[#This Row],[Ship_Date]]-Cleaned_data[[#This Row],[Order_Date]]</f>
        <v>1</v>
      </c>
      <c r="AH592" t="str">
        <f>IF(Cleaned_data[[#This Row],[Delivery Days]]&gt;10,"late","on time")</f>
        <v>on time</v>
      </c>
      <c r="AI592" t="str">
        <f>TEXT(Cleaned_data[[#This Row],[Order_Date]],"mmmm")</f>
        <v>September</v>
      </c>
      <c r="AJ592" s="9" t="str">
        <f>"Q"&amp;ROUNDUP(MONTH(Cleaned_data[[#This Row],[Order_Date]])/3,0)</f>
        <v>Q3</v>
      </c>
    </row>
    <row r="593" spans="1:36">
      <c r="A593" t="s">
        <v>1086</v>
      </c>
      <c r="B593" s="9">
        <v>45906</v>
      </c>
      <c r="C593" s="9">
        <v>45915</v>
      </c>
      <c r="D593" t="s">
        <v>217</v>
      </c>
      <c r="E593" t="s">
        <v>218</v>
      </c>
      <c r="F593" t="s">
        <v>89</v>
      </c>
      <c r="G593" t="s">
        <v>75</v>
      </c>
      <c r="H593" t="s">
        <v>98</v>
      </c>
      <c r="I593" t="s">
        <v>99</v>
      </c>
      <c r="J593" t="s">
        <v>219</v>
      </c>
      <c r="K593" t="s">
        <v>130</v>
      </c>
      <c r="L593" t="s">
        <v>188</v>
      </c>
      <c r="M593" t="s">
        <v>189</v>
      </c>
      <c r="N593" t="s">
        <v>120</v>
      </c>
      <c r="O593" t="s">
        <v>190</v>
      </c>
      <c r="P593" s="8">
        <v>3</v>
      </c>
      <c r="Q593" s="10">
        <v>62.07</v>
      </c>
      <c r="R593" s="11">
        <v>0.01</v>
      </c>
      <c r="S593" s="10">
        <v>16.329999999999998</v>
      </c>
      <c r="T593" t="s">
        <v>84</v>
      </c>
      <c r="U593" t="s">
        <v>85</v>
      </c>
      <c r="W593" t="s">
        <v>1270</v>
      </c>
      <c r="X593" t="str">
        <f>_xlfn.XLOOKUP(Cleaned_data[[#This Row],[Customer_ID]],Customers[S],Customers[Loyalty_Tier])</f>
        <v>Bronze</v>
      </c>
      <c r="Y593" s="9">
        <f>_xlfn.XLOOKUP(Cleaned_data[[#This Row],[Customer_ID]],Customers[S],Customers[Signup_Date])</f>
        <v>45419</v>
      </c>
      <c r="Z593" s="12">
        <f>_xlfn.XLOOKUP(Cleaned_data[[#This Row],[SKU]],Products[SKU],Products[Standard_Cost])</f>
        <v>28</v>
      </c>
      <c r="AA593" s="10">
        <f>Cleaned_data[[#This Row],[Quantity]]*Cleaned_data[[#This Row],[Unit_Price]]</f>
        <v>186.21</v>
      </c>
      <c r="AB593" s="10">
        <f>Cleaned_data[[#This Row],[Unit_Price]]*Cleaned_data[[#This Row],[Discount_Pct]]</f>
        <v>0.62070000000000003</v>
      </c>
      <c r="AC593" s="10">
        <f>Cleaned_data[[#This Row],[Gross Sales]]-Cleaned_data[[#This Row],[Discount amount]]</f>
        <v>185.58930000000001</v>
      </c>
      <c r="AD593" s="10">
        <f>Cleaned_data[[#This Row],[Product Cost]]*Cleaned_data[[#This Row],[Quantity]]</f>
        <v>84</v>
      </c>
      <c r="AE593" s="10">
        <f>Cleaned_data[[#This Row],[Net Sales]]-Cleaned_data[[#This Row],[COGS]]</f>
        <v>101.58930000000001</v>
      </c>
      <c r="AF593" s="11">
        <f>Cleaned_data[[#This Row],[Gross Profit]]/Cleaned_data[[#This Row],[Net Sales]]</f>
        <v>0.54738769961414802</v>
      </c>
      <c r="AG593">
        <f>Cleaned_data[[#This Row],[Ship_Date]]-Cleaned_data[[#This Row],[Order_Date]]</f>
        <v>9</v>
      </c>
      <c r="AH593" t="str">
        <f>IF(Cleaned_data[[#This Row],[Delivery Days]]&gt;10,"late","on time")</f>
        <v>on time</v>
      </c>
      <c r="AI593" t="str">
        <f>TEXT(Cleaned_data[[#This Row],[Order_Date]],"mmmm")</f>
        <v>September</v>
      </c>
      <c r="AJ593" s="9" t="str">
        <f>"Q"&amp;ROUNDUP(MONTH(Cleaned_data[[#This Row],[Order_Date]])/3,0)</f>
        <v>Q3</v>
      </c>
    </row>
    <row r="594" spans="1:36">
      <c r="A594" t="s">
        <v>1087</v>
      </c>
      <c r="B594" s="9">
        <v>45906</v>
      </c>
      <c r="C594" s="9">
        <v>45914</v>
      </c>
      <c r="D594" t="s">
        <v>419</v>
      </c>
      <c r="E594" t="s">
        <v>420</v>
      </c>
      <c r="F594" t="s">
        <v>74</v>
      </c>
      <c r="G594" t="s">
        <v>126</v>
      </c>
      <c r="H594" t="s">
        <v>160</v>
      </c>
      <c r="I594" t="s">
        <v>161</v>
      </c>
      <c r="J594" t="s">
        <v>219</v>
      </c>
      <c r="K594" t="s">
        <v>147</v>
      </c>
      <c r="L594" t="s">
        <v>155</v>
      </c>
      <c r="M594" t="s">
        <v>156</v>
      </c>
      <c r="N594" t="s">
        <v>82</v>
      </c>
      <c r="O594" t="s">
        <v>112</v>
      </c>
      <c r="P594" s="8">
        <v>9</v>
      </c>
      <c r="Q594" s="10">
        <v>173.46</v>
      </c>
      <c r="R594" s="11">
        <v>0.02</v>
      </c>
      <c r="S594" s="10">
        <v>7.16</v>
      </c>
      <c r="T594" t="s">
        <v>122</v>
      </c>
      <c r="U594" t="s">
        <v>85</v>
      </c>
      <c r="V594" s="8">
        <v>1</v>
      </c>
      <c r="W594" t="s">
        <v>1270</v>
      </c>
      <c r="X594" t="str">
        <f>_xlfn.XLOOKUP(Cleaned_data[[#This Row],[Customer_ID]],Customers[S],Customers[Loyalty_Tier])</f>
        <v>Silver</v>
      </c>
      <c r="Y594" s="9">
        <f>_xlfn.XLOOKUP(Cleaned_data[[#This Row],[Customer_ID]],Customers[S],Customers[Signup_Date])</f>
        <v>44752</v>
      </c>
      <c r="Z594" s="12">
        <f>_xlfn.XLOOKUP(Cleaned_data[[#This Row],[SKU]],Products[SKU],Products[Standard_Cost])</f>
        <v>82</v>
      </c>
      <c r="AA594" s="10">
        <f>Cleaned_data[[#This Row],[Quantity]]*Cleaned_data[[#This Row],[Unit_Price]]</f>
        <v>1561.14</v>
      </c>
      <c r="AB594" s="10">
        <f>Cleaned_data[[#This Row],[Unit_Price]]*Cleaned_data[[#This Row],[Discount_Pct]]</f>
        <v>3.4692000000000003</v>
      </c>
      <c r="AC594" s="10">
        <f>Cleaned_data[[#This Row],[Gross Sales]]-Cleaned_data[[#This Row],[Discount amount]]</f>
        <v>1557.6708000000001</v>
      </c>
      <c r="AD594" s="10">
        <f>Cleaned_data[[#This Row],[Product Cost]]*Cleaned_data[[#This Row],[Quantity]]</f>
        <v>738</v>
      </c>
      <c r="AE594" s="10">
        <f>Cleaned_data[[#This Row],[Net Sales]]-Cleaned_data[[#This Row],[COGS]]</f>
        <v>819.6708000000001</v>
      </c>
      <c r="AF594" s="11">
        <f>Cleaned_data[[#This Row],[Gross Profit]]/Cleaned_data[[#This Row],[Net Sales]]</f>
        <v>0.5262156804890995</v>
      </c>
      <c r="AG594">
        <f>Cleaned_data[[#This Row],[Ship_Date]]-Cleaned_data[[#This Row],[Order_Date]]</f>
        <v>8</v>
      </c>
      <c r="AH594" t="str">
        <f>IF(Cleaned_data[[#This Row],[Delivery Days]]&gt;10,"late","on time")</f>
        <v>on time</v>
      </c>
      <c r="AI594" t="str">
        <f>TEXT(Cleaned_data[[#This Row],[Order_Date]],"mmmm")</f>
        <v>September</v>
      </c>
      <c r="AJ594" s="9" t="str">
        <f>"Q"&amp;ROUNDUP(MONTH(Cleaned_data[[#This Row],[Order_Date]])/3,0)</f>
        <v>Q3</v>
      </c>
    </row>
    <row r="595" spans="1:36">
      <c r="A595" t="s">
        <v>1088</v>
      </c>
      <c r="B595" s="9">
        <v>45906</v>
      </c>
      <c r="C595" s="9">
        <v>45907</v>
      </c>
      <c r="D595" t="s">
        <v>529</v>
      </c>
      <c r="E595" t="s">
        <v>397</v>
      </c>
      <c r="F595" t="s">
        <v>89</v>
      </c>
      <c r="G595" t="s">
        <v>194</v>
      </c>
      <c r="H595" t="s">
        <v>240</v>
      </c>
      <c r="I595" t="s">
        <v>241</v>
      </c>
      <c r="J595" t="s">
        <v>78</v>
      </c>
      <c r="K595" t="s">
        <v>90</v>
      </c>
      <c r="L595" t="s">
        <v>284</v>
      </c>
      <c r="M595" t="s">
        <v>285</v>
      </c>
      <c r="N595" t="s">
        <v>103</v>
      </c>
      <c r="O595" t="s">
        <v>143</v>
      </c>
      <c r="P595" s="8">
        <v>10</v>
      </c>
      <c r="Q595" s="10">
        <v>29.66</v>
      </c>
      <c r="R595" s="11">
        <v>0.09</v>
      </c>
      <c r="S595" s="10">
        <v>13.72</v>
      </c>
      <c r="T595" t="s">
        <v>105</v>
      </c>
      <c r="U595" t="s">
        <v>85</v>
      </c>
      <c r="V595" s="8">
        <v>2</v>
      </c>
      <c r="W595" t="s">
        <v>1270</v>
      </c>
      <c r="X595" t="str">
        <f>_xlfn.XLOOKUP(Cleaned_data[[#This Row],[Customer_ID]],Customers[S],Customers[Loyalty_Tier])</f>
        <v>Bronze</v>
      </c>
      <c r="Y595" s="9">
        <f>_xlfn.XLOOKUP(Cleaned_data[[#This Row],[Customer_ID]],Customers[S],Customers[Signup_Date])</f>
        <v>45274</v>
      </c>
      <c r="Z595" s="12">
        <f>_xlfn.XLOOKUP(Cleaned_data[[#This Row],[SKU]],Products[SKU],Products[Standard_Cost])</f>
        <v>14</v>
      </c>
      <c r="AA595" s="10">
        <f>Cleaned_data[[#This Row],[Quantity]]*Cleaned_data[[#This Row],[Unit_Price]]</f>
        <v>296.60000000000002</v>
      </c>
      <c r="AB595" s="10">
        <f>Cleaned_data[[#This Row],[Unit_Price]]*Cleaned_data[[#This Row],[Discount_Pct]]</f>
        <v>2.6694</v>
      </c>
      <c r="AC595" s="10">
        <f>Cleaned_data[[#This Row],[Gross Sales]]-Cleaned_data[[#This Row],[Discount amount]]</f>
        <v>293.93060000000003</v>
      </c>
      <c r="AD595" s="10">
        <f>Cleaned_data[[#This Row],[Product Cost]]*Cleaned_data[[#This Row],[Quantity]]</f>
        <v>140</v>
      </c>
      <c r="AE595" s="10">
        <f>Cleaned_data[[#This Row],[Net Sales]]-Cleaned_data[[#This Row],[COGS]]</f>
        <v>153.93060000000003</v>
      </c>
      <c r="AF595" s="11">
        <f>Cleaned_data[[#This Row],[Gross Profit]]/Cleaned_data[[#This Row],[Net Sales]]</f>
        <v>0.52369709040161183</v>
      </c>
      <c r="AG595">
        <f>Cleaned_data[[#This Row],[Ship_Date]]-Cleaned_data[[#This Row],[Order_Date]]</f>
        <v>1</v>
      </c>
      <c r="AH595" t="str">
        <f>IF(Cleaned_data[[#This Row],[Delivery Days]]&gt;10,"late","on time")</f>
        <v>on time</v>
      </c>
      <c r="AI595" t="str">
        <f>TEXT(Cleaned_data[[#This Row],[Order_Date]],"mmmm")</f>
        <v>September</v>
      </c>
      <c r="AJ595" s="9" t="str">
        <f>"Q"&amp;ROUNDUP(MONTH(Cleaned_data[[#This Row],[Order_Date]])/3,0)</f>
        <v>Q3</v>
      </c>
    </row>
    <row r="596" spans="1:36">
      <c r="A596" t="s">
        <v>1089</v>
      </c>
      <c r="B596" s="9">
        <v>45907</v>
      </c>
      <c r="C596" s="9">
        <v>45923</v>
      </c>
      <c r="D596" t="s">
        <v>616</v>
      </c>
      <c r="E596" t="s">
        <v>617</v>
      </c>
      <c r="F596" t="s">
        <v>152</v>
      </c>
      <c r="G596" t="s">
        <v>194</v>
      </c>
      <c r="H596" t="s">
        <v>230</v>
      </c>
      <c r="I596" t="s">
        <v>231</v>
      </c>
      <c r="J596" t="s">
        <v>129</v>
      </c>
      <c r="K596" t="s">
        <v>90</v>
      </c>
      <c r="L596" t="s">
        <v>80</v>
      </c>
      <c r="M596" t="s">
        <v>81</v>
      </c>
      <c r="N596" t="s">
        <v>82</v>
      </c>
      <c r="O596" t="s">
        <v>83</v>
      </c>
      <c r="P596" s="8">
        <v>5</v>
      </c>
      <c r="Q596" s="10">
        <v>247.02</v>
      </c>
      <c r="R596" s="11">
        <v>0.09</v>
      </c>
      <c r="S596" s="10">
        <v>8.4700000000000006</v>
      </c>
      <c r="T596" t="s">
        <v>122</v>
      </c>
      <c r="U596" t="s">
        <v>85</v>
      </c>
      <c r="V596" s="8">
        <v>5</v>
      </c>
      <c r="W596" t="s">
        <v>1270</v>
      </c>
      <c r="X596" t="str">
        <f>_xlfn.XLOOKUP(Cleaned_data[[#This Row],[Customer_ID]],Customers[S],Customers[Loyalty_Tier])</f>
        <v>Platinum</v>
      </c>
      <c r="Y596" s="9">
        <f>_xlfn.XLOOKUP(Cleaned_data[[#This Row],[Customer_ID]],Customers[S],Customers[Signup_Date])</f>
        <v>44835</v>
      </c>
      <c r="Z596" s="12">
        <f>_xlfn.XLOOKUP(Cleaned_data[[#This Row],[SKU]],Products[SKU],Products[Standard_Cost])</f>
        <v>125</v>
      </c>
      <c r="AA596" s="10">
        <f>Cleaned_data[[#This Row],[Quantity]]*Cleaned_data[[#This Row],[Unit_Price]]</f>
        <v>1235.1000000000001</v>
      </c>
      <c r="AB596" s="10">
        <f>Cleaned_data[[#This Row],[Unit_Price]]*Cleaned_data[[#This Row],[Discount_Pct]]</f>
        <v>22.2318</v>
      </c>
      <c r="AC596" s="10">
        <f>Cleaned_data[[#This Row],[Gross Sales]]-Cleaned_data[[#This Row],[Discount amount]]</f>
        <v>1212.8682000000001</v>
      </c>
      <c r="AD596" s="10">
        <f>Cleaned_data[[#This Row],[Product Cost]]*Cleaned_data[[#This Row],[Quantity]]</f>
        <v>625</v>
      </c>
      <c r="AE596" s="10">
        <f>Cleaned_data[[#This Row],[Net Sales]]-Cleaned_data[[#This Row],[COGS]]</f>
        <v>587.86820000000012</v>
      </c>
      <c r="AF596" s="11">
        <f>Cleaned_data[[#This Row],[Gross Profit]]/Cleaned_data[[#This Row],[Net Sales]]</f>
        <v>0.48469256593585358</v>
      </c>
      <c r="AG596">
        <f>Cleaned_data[[#This Row],[Ship_Date]]-Cleaned_data[[#This Row],[Order_Date]]</f>
        <v>16</v>
      </c>
      <c r="AH596" t="str">
        <f>IF(Cleaned_data[[#This Row],[Delivery Days]]&gt;10,"late","on time")</f>
        <v>late</v>
      </c>
      <c r="AI596" t="str">
        <f>TEXT(Cleaned_data[[#This Row],[Order_Date]],"mmmm")</f>
        <v>September</v>
      </c>
      <c r="AJ596" s="9" t="str">
        <f>"Q"&amp;ROUNDUP(MONTH(Cleaned_data[[#This Row],[Order_Date]])/3,0)</f>
        <v>Q3</v>
      </c>
    </row>
    <row r="597" spans="1:36">
      <c r="A597" t="s">
        <v>1090</v>
      </c>
      <c r="B597" s="9">
        <v>45907</v>
      </c>
      <c r="C597" s="9">
        <v>45911</v>
      </c>
      <c r="D597" t="s">
        <v>287</v>
      </c>
      <c r="E597" t="s">
        <v>146</v>
      </c>
      <c r="F597" t="s">
        <v>89</v>
      </c>
      <c r="G597" t="s">
        <v>194</v>
      </c>
      <c r="H597" t="s">
        <v>195</v>
      </c>
      <c r="I597" t="s">
        <v>196</v>
      </c>
      <c r="J597" t="s">
        <v>109</v>
      </c>
      <c r="K597" t="s">
        <v>90</v>
      </c>
      <c r="L597" t="s">
        <v>80</v>
      </c>
      <c r="M597" t="s">
        <v>81</v>
      </c>
      <c r="N597" t="s">
        <v>82</v>
      </c>
      <c r="O597" t="s">
        <v>83</v>
      </c>
      <c r="P597" s="8">
        <v>8</v>
      </c>
      <c r="Q597" s="10">
        <v>243.96</v>
      </c>
      <c r="R597" s="11">
        <v>0.08</v>
      </c>
      <c r="S597" s="10">
        <v>12.27</v>
      </c>
      <c r="T597" t="s">
        <v>122</v>
      </c>
      <c r="U597" t="s">
        <v>85</v>
      </c>
      <c r="V597" s="8">
        <v>1</v>
      </c>
      <c r="W597" t="s">
        <v>1270</v>
      </c>
      <c r="X597" t="str">
        <f>_xlfn.XLOOKUP(Cleaned_data[[#This Row],[Customer_ID]],Customers[S],Customers[Loyalty_Tier])</f>
        <v>Gold</v>
      </c>
      <c r="Y597" s="9">
        <f>_xlfn.XLOOKUP(Cleaned_data[[#This Row],[Customer_ID]],Customers[S],Customers[Signup_Date])</f>
        <v>45848</v>
      </c>
      <c r="Z597" s="12">
        <f>_xlfn.XLOOKUP(Cleaned_data[[#This Row],[SKU]],Products[SKU],Products[Standard_Cost])</f>
        <v>125</v>
      </c>
      <c r="AA597" s="10">
        <f>Cleaned_data[[#This Row],[Quantity]]*Cleaned_data[[#This Row],[Unit_Price]]</f>
        <v>1951.68</v>
      </c>
      <c r="AB597" s="10">
        <f>Cleaned_data[[#This Row],[Unit_Price]]*Cleaned_data[[#This Row],[Discount_Pct]]</f>
        <v>19.5168</v>
      </c>
      <c r="AC597" s="10">
        <f>Cleaned_data[[#This Row],[Gross Sales]]-Cleaned_data[[#This Row],[Discount amount]]</f>
        <v>1932.1632</v>
      </c>
      <c r="AD597" s="10">
        <f>Cleaned_data[[#This Row],[Product Cost]]*Cleaned_data[[#This Row],[Quantity]]</f>
        <v>1000</v>
      </c>
      <c r="AE597" s="10">
        <f>Cleaned_data[[#This Row],[Net Sales]]-Cleaned_data[[#This Row],[COGS]]</f>
        <v>932.16319999999996</v>
      </c>
      <c r="AF597" s="11">
        <f>Cleaned_data[[#This Row],[Gross Profit]]/Cleaned_data[[#This Row],[Net Sales]]</f>
        <v>0.48244537521468167</v>
      </c>
      <c r="AG597">
        <f>Cleaned_data[[#This Row],[Ship_Date]]-Cleaned_data[[#This Row],[Order_Date]]</f>
        <v>4</v>
      </c>
      <c r="AH597" t="str">
        <f>IF(Cleaned_data[[#This Row],[Delivery Days]]&gt;10,"late","on time")</f>
        <v>on time</v>
      </c>
      <c r="AI597" t="str">
        <f>TEXT(Cleaned_data[[#This Row],[Order_Date]],"mmmm")</f>
        <v>September</v>
      </c>
      <c r="AJ597" s="9" t="str">
        <f>"Q"&amp;ROUNDUP(MONTH(Cleaned_data[[#This Row],[Order_Date]])/3,0)</f>
        <v>Q3</v>
      </c>
    </row>
    <row r="598" spans="1:36">
      <c r="A598" t="s">
        <v>1091</v>
      </c>
      <c r="B598" s="9">
        <v>45907</v>
      </c>
      <c r="C598" s="9">
        <v>45912</v>
      </c>
      <c r="D598" t="s">
        <v>381</v>
      </c>
      <c r="E598" t="s">
        <v>382</v>
      </c>
      <c r="F598" t="s">
        <v>152</v>
      </c>
      <c r="G598" t="s">
        <v>194</v>
      </c>
      <c r="H598" t="s">
        <v>202</v>
      </c>
      <c r="I598" t="s">
        <v>203</v>
      </c>
      <c r="J598" t="s">
        <v>78</v>
      </c>
      <c r="K598" t="s">
        <v>90</v>
      </c>
      <c r="L598" t="s">
        <v>301</v>
      </c>
      <c r="M598" t="s">
        <v>302</v>
      </c>
      <c r="N598" t="s">
        <v>120</v>
      </c>
      <c r="O598" t="s">
        <v>190</v>
      </c>
      <c r="P598" s="8">
        <v>4</v>
      </c>
      <c r="Q598" s="10">
        <v>138.16999999999999</v>
      </c>
      <c r="R598" s="11">
        <v>0.1</v>
      </c>
      <c r="S598" s="10">
        <v>8.49</v>
      </c>
      <c r="T598" t="s">
        <v>84</v>
      </c>
      <c r="U598" t="s">
        <v>85</v>
      </c>
      <c r="V598" s="8">
        <v>2</v>
      </c>
      <c r="W598" t="s">
        <v>1270</v>
      </c>
      <c r="X598" t="str">
        <f>_xlfn.XLOOKUP(Cleaned_data[[#This Row],[Customer_ID]],Customers[S],Customers[Loyalty_Tier])</f>
        <v>Gold</v>
      </c>
      <c r="Y598" s="9">
        <f>_xlfn.XLOOKUP(Cleaned_data[[#This Row],[Customer_ID]],Customers[S],Customers[Signup_Date])</f>
        <v>45919</v>
      </c>
      <c r="Z598" s="12">
        <f>_xlfn.XLOOKUP(Cleaned_data[[#This Row],[SKU]],Products[SKU],Products[Standard_Cost])</f>
        <v>72</v>
      </c>
      <c r="AA598" s="10">
        <f>Cleaned_data[[#This Row],[Quantity]]*Cleaned_data[[#This Row],[Unit_Price]]</f>
        <v>552.67999999999995</v>
      </c>
      <c r="AB598" s="10">
        <f>Cleaned_data[[#This Row],[Unit_Price]]*Cleaned_data[[#This Row],[Discount_Pct]]</f>
        <v>13.817</v>
      </c>
      <c r="AC598" s="10">
        <f>Cleaned_data[[#This Row],[Gross Sales]]-Cleaned_data[[#This Row],[Discount amount]]</f>
        <v>538.86299999999994</v>
      </c>
      <c r="AD598" s="10">
        <f>Cleaned_data[[#This Row],[Product Cost]]*Cleaned_data[[#This Row],[Quantity]]</f>
        <v>288</v>
      </c>
      <c r="AE598" s="10">
        <f>Cleaned_data[[#This Row],[Net Sales]]-Cleaned_data[[#This Row],[COGS]]</f>
        <v>250.86299999999994</v>
      </c>
      <c r="AF598" s="11">
        <f>Cleaned_data[[#This Row],[Gross Profit]]/Cleaned_data[[#This Row],[Net Sales]]</f>
        <v>0.46554133425378985</v>
      </c>
      <c r="AG598">
        <f>Cleaned_data[[#This Row],[Ship_Date]]-Cleaned_data[[#This Row],[Order_Date]]</f>
        <v>5</v>
      </c>
      <c r="AH598" t="str">
        <f>IF(Cleaned_data[[#This Row],[Delivery Days]]&gt;10,"late","on time")</f>
        <v>on time</v>
      </c>
      <c r="AI598" t="str">
        <f>TEXT(Cleaned_data[[#This Row],[Order_Date]],"mmmm")</f>
        <v>September</v>
      </c>
      <c r="AJ598" s="9" t="str">
        <f>"Q"&amp;ROUNDUP(MONTH(Cleaned_data[[#This Row],[Order_Date]])/3,0)</f>
        <v>Q3</v>
      </c>
    </row>
    <row r="599" spans="1:36">
      <c r="A599" t="s">
        <v>1092</v>
      </c>
      <c r="B599" s="9">
        <v>45909</v>
      </c>
      <c r="C599" s="9">
        <v>45915</v>
      </c>
      <c r="D599" t="s">
        <v>537</v>
      </c>
      <c r="E599" t="s">
        <v>538</v>
      </c>
      <c r="F599" t="s">
        <v>74</v>
      </c>
      <c r="G599" t="s">
        <v>138</v>
      </c>
      <c r="H599" t="s">
        <v>139</v>
      </c>
      <c r="I599" t="s">
        <v>140</v>
      </c>
      <c r="J599" t="s">
        <v>109</v>
      </c>
      <c r="K599" t="s">
        <v>100</v>
      </c>
      <c r="L599" t="s">
        <v>337</v>
      </c>
      <c r="M599" t="s">
        <v>338</v>
      </c>
      <c r="N599" t="s">
        <v>93</v>
      </c>
      <c r="O599" t="s">
        <v>236</v>
      </c>
      <c r="P599" s="8">
        <v>3</v>
      </c>
      <c r="Q599" s="10">
        <v>283.14</v>
      </c>
      <c r="R599" s="11">
        <v>0.02</v>
      </c>
      <c r="S599" s="10">
        <v>26.31</v>
      </c>
      <c r="T599" t="s">
        <v>122</v>
      </c>
      <c r="U599" t="s">
        <v>85</v>
      </c>
      <c r="V599" s="8">
        <v>4</v>
      </c>
      <c r="W599" t="s">
        <v>1270</v>
      </c>
      <c r="X599" t="str">
        <f>_xlfn.XLOOKUP(Cleaned_data[[#This Row],[Customer_ID]],Customers[S],Customers[Loyalty_Tier])</f>
        <v>Gold</v>
      </c>
      <c r="Y599" s="9">
        <f>_xlfn.XLOOKUP(Cleaned_data[[#This Row],[Customer_ID]],Customers[S],Customers[Signup_Date])</f>
        <v>45902</v>
      </c>
      <c r="Z599" s="12">
        <f>_xlfn.XLOOKUP(Cleaned_data[[#This Row],[SKU]],Products[SKU],Products[Standard_Cost])</f>
        <v>146</v>
      </c>
      <c r="AA599" s="10">
        <f>Cleaned_data[[#This Row],[Quantity]]*Cleaned_data[[#This Row],[Unit_Price]]</f>
        <v>849.42</v>
      </c>
      <c r="AB599" s="10">
        <f>Cleaned_data[[#This Row],[Unit_Price]]*Cleaned_data[[#This Row],[Discount_Pct]]</f>
        <v>5.6627999999999998</v>
      </c>
      <c r="AC599" s="10">
        <f>Cleaned_data[[#This Row],[Gross Sales]]-Cleaned_data[[#This Row],[Discount amount]]</f>
        <v>843.75720000000001</v>
      </c>
      <c r="AD599" s="10">
        <f>Cleaned_data[[#This Row],[Product Cost]]*Cleaned_data[[#This Row],[Quantity]]</f>
        <v>438</v>
      </c>
      <c r="AE599" s="10">
        <f>Cleaned_data[[#This Row],[Net Sales]]-Cleaned_data[[#This Row],[COGS]]</f>
        <v>405.75720000000001</v>
      </c>
      <c r="AF599" s="11">
        <f>Cleaned_data[[#This Row],[Gross Profit]]/Cleaned_data[[#This Row],[Net Sales]]</f>
        <v>0.48089331859923684</v>
      </c>
      <c r="AG599">
        <f>Cleaned_data[[#This Row],[Ship_Date]]-Cleaned_data[[#This Row],[Order_Date]]</f>
        <v>6</v>
      </c>
      <c r="AH599" t="str">
        <f>IF(Cleaned_data[[#This Row],[Delivery Days]]&gt;10,"late","on time")</f>
        <v>on time</v>
      </c>
      <c r="AI599" t="str">
        <f>TEXT(Cleaned_data[[#This Row],[Order_Date]],"mmmm")</f>
        <v>September</v>
      </c>
      <c r="AJ599" s="9" t="str">
        <f>"Q"&amp;ROUNDUP(MONTH(Cleaned_data[[#This Row],[Order_Date]])/3,0)</f>
        <v>Q3</v>
      </c>
    </row>
    <row r="600" spans="1:36">
      <c r="A600" t="s">
        <v>1093</v>
      </c>
      <c r="B600" s="9">
        <v>45910</v>
      </c>
      <c r="C600" s="9">
        <v>45924</v>
      </c>
      <c r="D600" t="s">
        <v>217</v>
      </c>
      <c r="E600" t="s">
        <v>218</v>
      </c>
      <c r="F600" t="s">
        <v>89</v>
      </c>
      <c r="G600" t="s">
        <v>75</v>
      </c>
      <c r="H600" t="s">
        <v>98</v>
      </c>
      <c r="I600" t="s">
        <v>99</v>
      </c>
      <c r="J600" t="s">
        <v>109</v>
      </c>
      <c r="K600" t="s">
        <v>90</v>
      </c>
      <c r="L600" t="s">
        <v>175</v>
      </c>
      <c r="M600" t="s">
        <v>176</v>
      </c>
      <c r="N600" t="s">
        <v>93</v>
      </c>
      <c r="O600" t="s">
        <v>177</v>
      </c>
      <c r="P600" s="8">
        <v>2</v>
      </c>
      <c r="Q600" s="10">
        <v>177.05</v>
      </c>
      <c r="R600" s="11">
        <v>0.11</v>
      </c>
      <c r="S600" s="10">
        <v>27.76</v>
      </c>
      <c r="T600" t="s">
        <v>105</v>
      </c>
      <c r="U600" t="s">
        <v>85</v>
      </c>
      <c r="V600" s="8">
        <v>5</v>
      </c>
      <c r="W600" t="s">
        <v>1270</v>
      </c>
      <c r="X600" t="str">
        <f>_xlfn.XLOOKUP(Cleaned_data[[#This Row],[Customer_ID]],Customers[S],Customers[Loyalty_Tier])</f>
        <v>Bronze</v>
      </c>
      <c r="Y600" s="9">
        <f>_xlfn.XLOOKUP(Cleaned_data[[#This Row],[Customer_ID]],Customers[S],Customers[Signup_Date])</f>
        <v>45419</v>
      </c>
      <c r="Z600" s="12">
        <f>_xlfn.XLOOKUP(Cleaned_data[[#This Row],[SKU]],Products[SKU],Products[Standard_Cost])</f>
        <v>88</v>
      </c>
      <c r="AA600" s="10">
        <f>Cleaned_data[[#This Row],[Quantity]]*Cleaned_data[[#This Row],[Unit_Price]]</f>
        <v>354.1</v>
      </c>
      <c r="AB600" s="10">
        <f>Cleaned_data[[#This Row],[Unit_Price]]*Cleaned_data[[#This Row],[Discount_Pct]]</f>
        <v>19.4755</v>
      </c>
      <c r="AC600" s="10">
        <f>Cleaned_data[[#This Row],[Gross Sales]]-Cleaned_data[[#This Row],[Discount amount]]</f>
        <v>334.62450000000001</v>
      </c>
      <c r="AD600" s="10">
        <f>Cleaned_data[[#This Row],[Product Cost]]*Cleaned_data[[#This Row],[Quantity]]</f>
        <v>176</v>
      </c>
      <c r="AE600" s="10">
        <f>Cleaned_data[[#This Row],[Net Sales]]-Cleaned_data[[#This Row],[COGS]]</f>
        <v>158.62450000000001</v>
      </c>
      <c r="AF600" s="11">
        <f>Cleaned_data[[#This Row],[Gross Profit]]/Cleaned_data[[#This Row],[Net Sales]]</f>
        <v>0.4740373164547127</v>
      </c>
      <c r="AG600">
        <f>Cleaned_data[[#This Row],[Ship_Date]]-Cleaned_data[[#This Row],[Order_Date]]</f>
        <v>14</v>
      </c>
      <c r="AH600" t="str">
        <f>IF(Cleaned_data[[#This Row],[Delivery Days]]&gt;10,"late","on time")</f>
        <v>late</v>
      </c>
      <c r="AI600" t="str">
        <f>TEXT(Cleaned_data[[#This Row],[Order_Date]],"mmmm")</f>
        <v>September</v>
      </c>
      <c r="AJ600" s="9" t="str">
        <f>"Q"&amp;ROUNDUP(MONTH(Cleaned_data[[#This Row],[Order_Date]])/3,0)</f>
        <v>Q3</v>
      </c>
    </row>
    <row r="601" spans="1:36">
      <c r="A601" t="s">
        <v>1094</v>
      </c>
      <c r="B601" s="9">
        <v>45910</v>
      </c>
      <c r="C601" s="9">
        <v>45911</v>
      </c>
      <c r="D601" t="s">
        <v>782</v>
      </c>
      <c r="E601" t="s">
        <v>783</v>
      </c>
      <c r="F601" t="s">
        <v>152</v>
      </c>
      <c r="G601" t="s">
        <v>126</v>
      </c>
      <c r="H601" t="s">
        <v>784</v>
      </c>
      <c r="I601" t="s">
        <v>785</v>
      </c>
      <c r="J601" t="s">
        <v>78</v>
      </c>
      <c r="K601" t="s">
        <v>168</v>
      </c>
      <c r="L601" t="s">
        <v>207</v>
      </c>
      <c r="M601" t="s">
        <v>208</v>
      </c>
      <c r="N601" t="s">
        <v>120</v>
      </c>
      <c r="O601" t="s">
        <v>164</v>
      </c>
      <c r="P601" s="8">
        <v>4</v>
      </c>
      <c r="Q601" s="10">
        <v>1415.81</v>
      </c>
      <c r="R601" s="11">
        <v>0.05</v>
      </c>
      <c r="S601" s="10">
        <v>5.34</v>
      </c>
      <c r="T601" t="s">
        <v>122</v>
      </c>
      <c r="U601" t="s">
        <v>85</v>
      </c>
      <c r="V601" s="8">
        <v>5</v>
      </c>
      <c r="W601" t="s">
        <v>1270</v>
      </c>
      <c r="X601" t="str">
        <f>_xlfn.XLOOKUP(Cleaned_data[[#This Row],[Customer_ID]],Customers[S],Customers[Loyalty_Tier])</f>
        <v>Platinum</v>
      </c>
      <c r="Y601" s="9">
        <f>_xlfn.XLOOKUP(Cleaned_data[[#This Row],[Customer_ID]],Customers[S],Customers[Signup_Date])</f>
        <v>45549</v>
      </c>
      <c r="Z601" s="12">
        <f>_xlfn.XLOOKUP(Cleaned_data[[#This Row],[SKU]],Products[SKU],Products[Standard_Cost])</f>
        <v>885</v>
      </c>
      <c r="AA601" s="10">
        <f>Cleaned_data[[#This Row],[Quantity]]*Cleaned_data[[#This Row],[Unit_Price]]</f>
        <v>5663.24</v>
      </c>
      <c r="AB601" s="10">
        <f>Cleaned_data[[#This Row],[Unit_Price]]*Cleaned_data[[#This Row],[Discount_Pct]]</f>
        <v>70.790499999999994</v>
      </c>
      <c r="AC601" s="10">
        <f>Cleaned_data[[#This Row],[Gross Sales]]-Cleaned_data[[#This Row],[Discount amount]]</f>
        <v>5592.4494999999997</v>
      </c>
      <c r="AD601" s="10">
        <f>Cleaned_data[[#This Row],[Product Cost]]*Cleaned_data[[#This Row],[Quantity]]</f>
        <v>3540</v>
      </c>
      <c r="AE601" s="10">
        <f>Cleaned_data[[#This Row],[Net Sales]]-Cleaned_data[[#This Row],[COGS]]</f>
        <v>2052.4494999999997</v>
      </c>
      <c r="AF601" s="11">
        <f>Cleaned_data[[#This Row],[Gross Profit]]/Cleaned_data[[#This Row],[Net Sales]]</f>
        <v>0.36700367164692321</v>
      </c>
      <c r="AG601">
        <f>Cleaned_data[[#This Row],[Ship_Date]]-Cleaned_data[[#This Row],[Order_Date]]</f>
        <v>1</v>
      </c>
      <c r="AH601" t="str">
        <f>IF(Cleaned_data[[#This Row],[Delivery Days]]&gt;10,"late","on time")</f>
        <v>on time</v>
      </c>
      <c r="AI601" t="str">
        <f>TEXT(Cleaned_data[[#This Row],[Order_Date]],"mmmm")</f>
        <v>September</v>
      </c>
      <c r="AJ601" s="9" t="str">
        <f>"Q"&amp;ROUNDUP(MONTH(Cleaned_data[[#This Row],[Order_Date]])/3,0)</f>
        <v>Q3</v>
      </c>
    </row>
    <row r="602" spans="1:36">
      <c r="A602" t="s">
        <v>1095</v>
      </c>
      <c r="B602" s="9">
        <v>45911</v>
      </c>
      <c r="C602" s="9">
        <v>45920</v>
      </c>
      <c r="D602" t="s">
        <v>451</v>
      </c>
      <c r="E602" t="s">
        <v>452</v>
      </c>
      <c r="F602" t="s">
        <v>89</v>
      </c>
      <c r="G602" t="s">
        <v>126</v>
      </c>
      <c r="H602" t="s">
        <v>160</v>
      </c>
      <c r="I602" t="s">
        <v>161</v>
      </c>
      <c r="J602" t="s">
        <v>109</v>
      </c>
      <c r="K602" t="s">
        <v>147</v>
      </c>
      <c r="L602" t="s">
        <v>155</v>
      </c>
      <c r="M602" t="s">
        <v>156</v>
      </c>
      <c r="N602" t="s">
        <v>82</v>
      </c>
      <c r="O602" t="s">
        <v>112</v>
      </c>
      <c r="P602" s="8">
        <v>2</v>
      </c>
      <c r="Q602" s="10">
        <v>161.32</v>
      </c>
      <c r="R602" s="11">
        <v>0.09</v>
      </c>
      <c r="S602" s="10">
        <v>15.33</v>
      </c>
      <c r="T602" t="s">
        <v>134</v>
      </c>
      <c r="U602" t="s">
        <v>85</v>
      </c>
      <c r="V602" s="8">
        <v>2</v>
      </c>
      <c r="W602" t="s">
        <v>1270</v>
      </c>
      <c r="X602" t="str">
        <f>_xlfn.XLOOKUP(Cleaned_data[[#This Row],[Customer_ID]],Customers[S],Customers[Loyalty_Tier])</f>
        <v>Silver</v>
      </c>
      <c r="Y602" s="9">
        <f>_xlfn.XLOOKUP(Cleaned_data[[#This Row],[Customer_ID]],Customers[S],Customers[Signup_Date])</f>
        <v>45495</v>
      </c>
      <c r="Z602" s="12">
        <f>_xlfn.XLOOKUP(Cleaned_data[[#This Row],[SKU]],Products[SKU],Products[Standard_Cost])</f>
        <v>82</v>
      </c>
      <c r="AA602" s="10">
        <f>Cleaned_data[[#This Row],[Quantity]]*Cleaned_data[[#This Row],[Unit_Price]]</f>
        <v>322.64</v>
      </c>
      <c r="AB602" s="10">
        <f>Cleaned_data[[#This Row],[Unit_Price]]*Cleaned_data[[#This Row],[Discount_Pct]]</f>
        <v>14.518799999999999</v>
      </c>
      <c r="AC602" s="10">
        <f>Cleaned_data[[#This Row],[Gross Sales]]-Cleaned_data[[#This Row],[Discount amount]]</f>
        <v>308.12119999999999</v>
      </c>
      <c r="AD602" s="10">
        <f>Cleaned_data[[#This Row],[Product Cost]]*Cleaned_data[[#This Row],[Quantity]]</f>
        <v>164</v>
      </c>
      <c r="AE602" s="10">
        <f>Cleaned_data[[#This Row],[Net Sales]]-Cleaned_data[[#This Row],[COGS]]</f>
        <v>144.12119999999999</v>
      </c>
      <c r="AF602" s="11">
        <f>Cleaned_data[[#This Row],[Gross Profit]]/Cleaned_data[[#This Row],[Net Sales]]</f>
        <v>0.46774191454531527</v>
      </c>
      <c r="AG602">
        <f>Cleaned_data[[#This Row],[Ship_Date]]-Cleaned_data[[#This Row],[Order_Date]]</f>
        <v>9</v>
      </c>
      <c r="AH602" t="str">
        <f>IF(Cleaned_data[[#This Row],[Delivery Days]]&gt;10,"late","on time")</f>
        <v>on time</v>
      </c>
      <c r="AI602" t="str">
        <f>TEXT(Cleaned_data[[#This Row],[Order_Date]],"mmmm")</f>
        <v>September</v>
      </c>
      <c r="AJ602" s="9" t="str">
        <f>"Q"&amp;ROUNDUP(MONTH(Cleaned_data[[#This Row],[Order_Date]])/3,0)</f>
        <v>Q3</v>
      </c>
    </row>
    <row r="603" spans="1:36">
      <c r="A603" t="s">
        <v>1096</v>
      </c>
      <c r="B603" s="9">
        <v>45912</v>
      </c>
      <c r="C603" s="9">
        <v>45917</v>
      </c>
      <c r="D603" t="s">
        <v>332</v>
      </c>
      <c r="E603" t="s">
        <v>333</v>
      </c>
      <c r="F603" t="s">
        <v>74</v>
      </c>
      <c r="G603" t="s">
        <v>126</v>
      </c>
      <c r="H603" t="s">
        <v>127</v>
      </c>
      <c r="I603" t="s">
        <v>128</v>
      </c>
      <c r="J603" t="s">
        <v>129</v>
      </c>
      <c r="K603" t="s">
        <v>147</v>
      </c>
      <c r="L603" t="s">
        <v>337</v>
      </c>
      <c r="M603" t="s">
        <v>338</v>
      </c>
      <c r="N603" t="s">
        <v>93</v>
      </c>
      <c r="O603" t="s">
        <v>236</v>
      </c>
      <c r="P603" s="8">
        <v>1</v>
      </c>
      <c r="Q603" s="10">
        <v>268</v>
      </c>
      <c r="R603" s="11">
        <v>0.01</v>
      </c>
      <c r="S603" s="10">
        <v>25.2</v>
      </c>
      <c r="T603" t="s">
        <v>105</v>
      </c>
      <c r="U603" t="s">
        <v>85</v>
      </c>
      <c r="W603" t="s">
        <v>1270</v>
      </c>
      <c r="X603" t="str">
        <f>_xlfn.XLOOKUP(Cleaned_data[[#This Row],[Customer_ID]],Customers[S],Customers[Loyalty_Tier])</f>
        <v>Silver</v>
      </c>
      <c r="Y603" s="9">
        <f>_xlfn.XLOOKUP(Cleaned_data[[#This Row],[Customer_ID]],Customers[S],Customers[Signup_Date])</f>
        <v>45373</v>
      </c>
      <c r="Z603" s="12">
        <f>_xlfn.XLOOKUP(Cleaned_data[[#This Row],[SKU]],Products[SKU],Products[Standard_Cost])</f>
        <v>146</v>
      </c>
      <c r="AA603" s="10">
        <f>Cleaned_data[[#This Row],[Quantity]]*Cleaned_data[[#This Row],[Unit_Price]]</f>
        <v>268</v>
      </c>
      <c r="AB603" s="10">
        <f>Cleaned_data[[#This Row],[Unit_Price]]*Cleaned_data[[#This Row],[Discount_Pct]]</f>
        <v>2.68</v>
      </c>
      <c r="AC603" s="10">
        <f>Cleaned_data[[#This Row],[Gross Sales]]-Cleaned_data[[#This Row],[Discount amount]]</f>
        <v>265.32</v>
      </c>
      <c r="AD603" s="10">
        <f>Cleaned_data[[#This Row],[Product Cost]]*Cleaned_data[[#This Row],[Quantity]]</f>
        <v>146</v>
      </c>
      <c r="AE603" s="10">
        <f>Cleaned_data[[#This Row],[Net Sales]]-Cleaned_data[[#This Row],[COGS]]</f>
        <v>119.32</v>
      </c>
      <c r="AF603" s="11">
        <f>Cleaned_data[[#This Row],[Gross Profit]]/Cleaned_data[[#This Row],[Net Sales]]</f>
        <v>0.4497210915121363</v>
      </c>
      <c r="AG603">
        <f>Cleaned_data[[#This Row],[Ship_Date]]-Cleaned_data[[#This Row],[Order_Date]]</f>
        <v>5</v>
      </c>
      <c r="AH603" t="str">
        <f>IF(Cleaned_data[[#This Row],[Delivery Days]]&gt;10,"late","on time")</f>
        <v>on time</v>
      </c>
      <c r="AI603" t="str">
        <f>TEXT(Cleaned_data[[#This Row],[Order_Date]],"mmmm")</f>
        <v>September</v>
      </c>
      <c r="AJ603" s="9" t="str">
        <f>"Q"&amp;ROUNDUP(MONTH(Cleaned_data[[#This Row],[Order_Date]])/3,0)</f>
        <v>Q3</v>
      </c>
    </row>
    <row r="604" spans="1:36">
      <c r="A604" t="s">
        <v>1097</v>
      </c>
      <c r="B604" s="9">
        <v>45912</v>
      </c>
      <c r="C604" s="9">
        <v>45916</v>
      </c>
      <c r="D604" t="s">
        <v>904</v>
      </c>
      <c r="E604" t="s">
        <v>449</v>
      </c>
      <c r="F604" t="s">
        <v>152</v>
      </c>
      <c r="G604" t="s">
        <v>75</v>
      </c>
      <c r="H604" t="s">
        <v>212</v>
      </c>
      <c r="I604" t="s">
        <v>213</v>
      </c>
      <c r="J604" t="s">
        <v>109</v>
      </c>
      <c r="K604" t="s">
        <v>147</v>
      </c>
      <c r="L604" t="s">
        <v>214</v>
      </c>
      <c r="M604" t="s">
        <v>215</v>
      </c>
      <c r="N604" t="s">
        <v>103</v>
      </c>
      <c r="O604" t="s">
        <v>171</v>
      </c>
      <c r="P604" s="8">
        <v>8</v>
      </c>
      <c r="Q604" s="10">
        <v>11.36</v>
      </c>
      <c r="R604" s="11">
        <v>0.02</v>
      </c>
      <c r="S604" s="10">
        <v>5.39</v>
      </c>
      <c r="T604" t="s">
        <v>84</v>
      </c>
      <c r="U604" t="s">
        <v>85</v>
      </c>
      <c r="V604" s="8">
        <v>3</v>
      </c>
      <c r="W604" t="s">
        <v>1270</v>
      </c>
      <c r="X604" t="str">
        <f>_xlfn.XLOOKUP(Cleaned_data[[#This Row],[Customer_ID]],Customers[S],Customers[Loyalty_Tier])</f>
        <v>Silver</v>
      </c>
      <c r="Y604" s="9">
        <f>_xlfn.XLOOKUP(Cleaned_data[[#This Row],[Customer_ID]],Customers[S],Customers[Signup_Date])</f>
        <v>44735</v>
      </c>
      <c r="Z604" s="12">
        <f>_xlfn.XLOOKUP(Cleaned_data[[#This Row],[SKU]],Products[SKU],Products[Standard_Cost])</f>
        <v>5</v>
      </c>
      <c r="AA604" s="10">
        <f>Cleaned_data[[#This Row],[Quantity]]*Cleaned_data[[#This Row],[Unit_Price]]</f>
        <v>90.88</v>
      </c>
      <c r="AB604" s="10">
        <f>Cleaned_data[[#This Row],[Unit_Price]]*Cleaned_data[[#This Row],[Discount_Pct]]</f>
        <v>0.22719999999999999</v>
      </c>
      <c r="AC604" s="10">
        <f>Cleaned_data[[#This Row],[Gross Sales]]-Cleaned_data[[#This Row],[Discount amount]]</f>
        <v>90.652799999999999</v>
      </c>
      <c r="AD604" s="10">
        <f>Cleaned_data[[#This Row],[Product Cost]]*Cleaned_data[[#This Row],[Quantity]]</f>
        <v>40</v>
      </c>
      <c r="AE604" s="10">
        <f>Cleaned_data[[#This Row],[Net Sales]]-Cleaned_data[[#This Row],[COGS]]</f>
        <v>50.652799999999999</v>
      </c>
      <c r="AF604" s="11">
        <f>Cleaned_data[[#This Row],[Gross Profit]]/Cleaned_data[[#This Row],[Net Sales]]</f>
        <v>0.5587560450421829</v>
      </c>
      <c r="AG604">
        <f>Cleaned_data[[#This Row],[Ship_Date]]-Cleaned_data[[#This Row],[Order_Date]]</f>
        <v>4</v>
      </c>
      <c r="AH604" t="str">
        <f>IF(Cleaned_data[[#This Row],[Delivery Days]]&gt;10,"late","on time")</f>
        <v>on time</v>
      </c>
      <c r="AI604" t="str">
        <f>TEXT(Cleaned_data[[#This Row],[Order_Date]],"mmmm")</f>
        <v>September</v>
      </c>
      <c r="AJ604" s="9" t="str">
        <f>"Q"&amp;ROUNDUP(MONTH(Cleaned_data[[#This Row],[Order_Date]])/3,0)</f>
        <v>Q3</v>
      </c>
    </row>
    <row r="605" spans="1:36">
      <c r="A605" t="s">
        <v>1098</v>
      </c>
      <c r="B605" s="9">
        <v>45913</v>
      </c>
      <c r="C605" s="9">
        <v>45927</v>
      </c>
      <c r="D605" t="s">
        <v>646</v>
      </c>
      <c r="E605" t="s">
        <v>647</v>
      </c>
      <c r="F605" t="s">
        <v>89</v>
      </c>
      <c r="G605" t="s">
        <v>126</v>
      </c>
      <c r="H605" t="s">
        <v>127</v>
      </c>
      <c r="I605" t="s">
        <v>128</v>
      </c>
      <c r="J605" t="s">
        <v>129</v>
      </c>
      <c r="K605" t="s">
        <v>130</v>
      </c>
      <c r="L605" t="s">
        <v>118</v>
      </c>
      <c r="M605" t="s">
        <v>119</v>
      </c>
      <c r="N605" t="s">
        <v>120</v>
      </c>
      <c r="O605" t="s">
        <v>121</v>
      </c>
      <c r="P605" s="8">
        <v>1</v>
      </c>
      <c r="Q605" s="10">
        <v>296.51</v>
      </c>
      <c r="R605" s="11">
        <v>0.3</v>
      </c>
      <c r="S605" s="10">
        <v>13.42</v>
      </c>
      <c r="T605" t="s">
        <v>122</v>
      </c>
      <c r="U605" t="s">
        <v>85</v>
      </c>
      <c r="V605" s="8">
        <v>2</v>
      </c>
      <c r="W605" t="s">
        <v>1270</v>
      </c>
      <c r="X605" t="str">
        <f>_xlfn.XLOOKUP(Cleaned_data[[#This Row],[Customer_ID]],Customers[S],Customers[Loyalty_Tier])</f>
        <v>Bronze</v>
      </c>
      <c r="Y605" s="9">
        <f>_xlfn.XLOOKUP(Cleaned_data[[#This Row],[Customer_ID]],Customers[S],Customers[Signup_Date])</f>
        <v>44201</v>
      </c>
      <c r="Z605" s="12">
        <f>_xlfn.XLOOKUP(Cleaned_data[[#This Row],[SKU]],Products[SKU],Products[Standard_Cost])</f>
        <v>168</v>
      </c>
      <c r="AA605" s="10">
        <f>Cleaned_data[[#This Row],[Quantity]]*Cleaned_data[[#This Row],[Unit_Price]]</f>
        <v>296.51</v>
      </c>
      <c r="AB605" s="10">
        <f>Cleaned_data[[#This Row],[Unit_Price]]*Cleaned_data[[#This Row],[Discount_Pct]]</f>
        <v>88.952999999999989</v>
      </c>
      <c r="AC605" s="10">
        <f>Cleaned_data[[#This Row],[Gross Sales]]-Cleaned_data[[#This Row],[Discount amount]]</f>
        <v>207.55700000000002</v>
      </c>
      <c r="AD605" s="10">
        <f>Cleaned_data[[#This Row],[Product Cost]]*Cleaned_data[[#This Row],[Quantity]]</f>
        <v>168</v>
      </c>
      <c r="AE605" s="10">
        <f>Cleaned_data[[#This Row],[Net Sales]]-Cleaned_data[[#This Row],[COGS]]</f>
        <v>39.557000000000016</v>
      </c>
      <c r="AF605" s="11">
        <f>Cleaned_data[[#This Row],[Gross Profit]]/Cleaned_data[[#This Row],[Net Sales]]</f>
        <v>0.19058379144042367</v>
      </c>
      <c r="AG605">
        <f>Cleaned_data[[#This Row],[Ship_Date]]-Cleaned_data[[#This Row],[Order_Date]]</f>
        <v>14</v>
      </c>
      <c r="AH605" t="str">
        <f>IF(Cleaned_data[[#This Row],[Delivery Days]]&gt;10,"late","on time")</f>
        <v>late</v>
      </c>
      <c r="AI605" t="str">
        <f>TEXT(Cleaned_data[[#This Row],[Order_Date]],"mmmm")</f>
        <v>September</v>
      </c>
      <c r="AJ605" s="9" t="str">
        <f>"Q"&amp;ROUNDUP(MONTH(Cleaned_data[[#This Row],[Order_Date]])/3,0)</f>
        <v>Q3</v>
      </c>
    </row>
    <row r="606" spans="1:36">
      <c r="A606" t="s">
        <v>1099</v>
      </c>
      <c r="B606" s="9">
        <v>45914</v>
      </c>
      <c r="C606" s="9">
        <v>45923</v>
      </c>
      <c r="D606" t="s">
        <v>287</v>
      </c>
      <c r="E606" t="s">
        <v>146</v>
      </c>
      <c r="F606" t="s">
        <v>89</v>
      </c>
      <c r="G606" t="s">
        <v>194</v>
      </c>
      <c r="H606" t="s">
        <v>195</v>
      </c>
      <c r="I606" t="s">
        <v>196</v>
      </c>
      <c r="J606" t="s">
        <v>109</v>
      </c>
      <c r="K606" t="s">
        <v>168</v>
      </c>
      <c r="L606" t="s">
        <v>242</v>
      </c>
      <c r="M606" t="s">
        <v>243</v>
      </c>
      <c r="N606" t="s">
        <v>120</v>
      </c>
      <c r="O606" t="s">
        <v>133</v>
      </c>
      <c r="P606" s="8">
        <v>2</v>
      </c>
      <c r="Q606" s="10">
        <v>193.08</v>
      </c>
      <c r="R606" s="11">
        <v>0.02</v>
      </c>
      <c r="S606" s="10">
        <v>12.66</v>
      </c>
      <c r="T606" t="s">
        <v>84</v>
      </c>
      <c r="U606" t="s">
        <v>85</v>
      </c>
      <c r="V606" s="8">
        <v>1</v>
      </c>
      <c r="W606" t="s">
        <v>1270</v>
      </c>
      <c r="X606" t="str">
        <f>_xlfn.XLOOKUP(Cleaned_data[[#This Row],[Customer_ID]],Customers[S],Customers[Loyalty_Tier])</f>
        <v>Gold</v>
      </c>
      <c r="Y606" s="9">
        <f>_xlfn.XLOOKUP(Cleaned_data[[#This Row],[Customer_ID]],Customers[S],Customers[Signup_Date])</f>
        <v>45848</v>
      </c>
      <c r="Z606" s="12">
        <f>_xlfn.XLOOKUP(Cleaned_data[[#This Row],[SKU]],Products[SKU],Products[Standard_Cost])</f>
        <v>96</v>
      </c>
      <c r="AA606" s="10">
        <f>Cleaned_data[[#This Row],[Quantity]]*Cleaned_data[[#This Row],[Unit_Price]]</f>
        <v>386.16</v>
      </c>
      <c r="AB606" s="10">
        <f>Cleaned_data[[#This Row],[Unit_Price]]*Cleaned_data[[#This Row],[Discount_Pct]]</f>
        <v>3.8616000000000001</v>
      </c>
      <c r="AC606" s="10">
        <f>Cleaned_data[[#This Row],[Gross Sales]]-Cleaned_data[[#This Row],[Discount amount]]</f>
        <v>382.29840000000002</v>
      </c>
      <c r="AD606" s="10">
        <f>Cleaned_data[[#This Row],[Product Cost]]*Cleaned_data[[#This Row],[Quantity]]</f>
        <v>192</v>
      </c>
      <c r="AE606" s="10">
        <f>Cleaned_data[[#This Row],[Net Sales]]-Cleaned_data[[#This Row],[COGS]]</f>
        <v>190.29840000000002</v>
      </c>
      <c r="AF606" s="11">
        <f>Cleaned_data[[#This Row],[Gross Profit]]/Cleaned_data[[#This Row],[Net Sales]]</f>
        <v>0.49777451331211431</v>
      </c>
      <c r="AG606">
        <f>Cleaned_data[[#This Row],[Ship_Date]]-Cleaned_data[[#This Row],[Order_Date]]</f>
        <v>9</v>
      </c>
      <c r="AH606" t="str">
        <f>IF(Cleaned_data[[#This Row],[Delivery Days]]&gt;10,"late","on time")</f>
        <v>on time</v>
      </c>
      <c r="AI606" t="str">
        <f>TEXT(Cleaned_data[[#This Row],[Order_Date]],"mmmm")</f>
        <v>September</v>
      </c>
      <c r="AJ606" s="9" t="str">
        <f>"Q"&amp;ROUNDUP(MONTH(Cleaned_data[[#This Row],[Order_Date]])/3,0)</f>
        <v>Q3</v>
      </c>
    </row>
    <row r="607" spans="1:36">
      <c r="A607" t="s">
        <v>1100</v>
      </c>
      <c r="B607" s="9">
        <v>45915</v>
      </c>
      <c r="C607" s="9">
        <v>45916</v>
      </c>
      <c r="D607" t="s">
        <v>782</v>
      </c>
      <c r="E607" t="s">
        <v>783</v>
      </c>
      <c r="F607" t="s">
        <v>152</v>
      </c>
      <c r="G607" t="s">
        <v>126</v>
      </c>
      <c r="H607" t="s">
        <v>784</v>
      </c>
      <c r="I607" t="s">
        <v>785</v>
      </c>
      <c r="J607" t="s">
        <v>129</v>
      </c>
      <c r="K607" t="s">
        <v>130</v>
      </c>
      <c r="L607" t="s">
        <v>80</v>
      </c>
      <c r="M607" t="s">
        <v>81</v>
      </c>
      <c r="N607" t="s">
        <v>82</v>
      </c>
      <c r="O607" t="s">
        <v>83</v>
      </c>
      <c r="P607" s="8">
        <v>1</v>
      </c>
      <c r="Q607" s="10">
        <v>249.88</v>
      </c>
      <c r="R607" s="11">
        <v>0.09</v>
      </c>
      <c r="S607" s="10">
        <v>16.38</v>
      </c>
      <c r="T607" t="s">
        <v>84</v>
      </c>
      <c r="U607" t="s">
        <v>85</v>
      </c>
      <c r="W607" t="s">
        <v>1270</v>
      </c>
      <c r="X607" t="str">
        <f>_xlfn.XLOOKUP(Cleaned_data[[#This Row],[Customer_ID]],Customers[S],Customers[Loyalty_Tier])</f>
        <v>Platinum</v>
      </c>
      <c r="Y607" s="9">
        <f>_xlfn.XLOOKUP(Cleaned_data[[#This Row],[Customer_ID]],Customers[S],Customers[Signup_Date])</f>
        <v>45549</v>
      </c>
      <c r="Z607" s="12">
        <f>_xlfn.XLOOKUP(Cleaned_data[[#This Row],[SKU]],Products[SKU],Products[Standard_Cost])</f>
        <v>125</v>
      </c>
      <c r="AA607" s="10">
        <f>Cleaned_data[[#This Row],[Quantity]]*Cleaned_data[[#This Row],[Unit_Price]]</f>
        <v>249.88</v>
      </c>
      <c r="AB607" s="10">
        <f>Cleaned_data[[#This Row],[Unit_Price]]*Cleaned_data[[#This Row],[Discount_Pct]]</f>
        <v>22.4892</v>
      </c>
      <c r="AC607" s="10">
        <f>Cleaned_data[[#This Row],[Gross Sales]]-Cleaned_data[[#This Row],[Discount amount]]</f>
        <v>227.39079999999998</v>
      </c>
      <c r="AD607" s="10">
        <f>Cleaned_data[[#This Row],[Product Cost]]*Cleaned_data[[#This Row],[Quantity]]</f>
        <v>125</v>
      </c>
      <c r="AE607" s="10">
        <f>Cleaned_data[[#This Row],[Net Sales]]-Cleaned_data[[#This Row],[COGS]]</f>
        <v>102.39079999999998</v>
      </c>
      <c r="AF607" s="11">
        <f>Cleaned_data[[#This Row],[Gross Profit]]/Cleaned_data[[#This Row],[Net Sales]]</f>
        <v>0.45028558763151366</v>
      </c>
      <c r="AG607">
        <f>Cleaned_data[[#This Row],[Ship_Date]]-Cleaned_data[[#This Row],[Order_Date]]</f>
        <v>1</v>
      </c>
      <c r="AH607" t="str">
        <f>IF(Cleaned_data[[#This Row],[Delivery Days]]&gt;10,"late","on time")</f>
        <v>on time</v>
      </c>
      <c r="AI607" t="str">
        <f>TEXT(Cleaned_data[[#This Row],[Order_Date]],"mmmm")</f>
        <v>September</v>
      </c>
      <c r="AJ607" s="9" t="str">
        <f>"Q"&amp;ROUNDUP(MONTH(Cleaned_data[[#This Row],[Order_Date]])/3,0)</f>
        <v>Q3</v>
      </c>
    </row>
    <row r="608" spans="1:36">
      <c r="A608" t="s">
        <v>1101</v>
      </c>
      <c r="B608" s="9">
        <v>45916</v>
      </c>
      <c r="C608" s="9">
        <v>45918</v>
      </c>
      <c r="D608" t="s">
        <v>315</v>
      </c>
      <c r="E608" t="s">
        <v>316</v>
      </c>
      <c r="F608" t="s">
        <v>89</v>
      </c>
      <c r="G608" t="s">
        <v>75</v>
      </c>
      <c r="H608" t="s">
        <v>273</v>
      </c>
      <c r="I608" t="s">
        <v>274</v>
      </c>
      <c r="J608" t="s">
        <v>129</v>
      </c>
      <c r="K608" t="s">
        <v>147</v>
      </c>
      <c r="L608" t="s">
        <v>101</v>
      </c>
      <c r="M608" t="s">
        <v>102</v>
      </c>
      <c r="N608" t="s">
        <v>103</v>
      </c>
      <c r="O608" t="s">
        <v>104</v>
      </c>
      <c r="P608" s="8">
        <v>7</v>
      </c>
      <c r="Q608" s="10">
        <v>78.37</v>
      </c>
      <c r="R608" s="11">
        <v>0.3</v>
      </c>
      <c r="S608" s="10">
        <v>16.32</v>
      </c>
      <c r="T608" t="s">
        <v>134</v>
      </c>
      <c r="U608" t="s">
        <v>85</v>
      </c>
      <c r="V608" s="8">
        <v>4</v>
      </c>
      <c r="W608" t="s">
        <v>1270</v>
      </c>
      <c r="X608" t="str">
        <f>_xlfn.XLOOKUP(Cleaned_data[[#This Row],[Customer_ID]],Customers[S],Customers[Loyalty_Tier])</f>
        <v>Bronze</v>
      </c>
      <c r="Y608" s="9">
        <f>_xlfn.XLOOKUP(Cleaned_data[[#This Row],[Customer_ID]],Customers[S],Customers[Signup_Date])</f>
        <v>45787</v>
      </c>
      <c r="Z608" s="12">
        <f>_xlfn.XLOOKUP(Cleaned_data[[#This Row],[SKU]],Products[SKU],Products[Standard_Cost])</f>
        <v>36</v>
      </c>
      <c r="AA608" s="10">
        <f>Cleaned_data[[#This Row],[Quantity]]*Cleaned_data[[#This Row],[Unit_Price]]</f>
        <v>548.59</v>
      </c>
      <c r="AB608" s="10">
        <f>Cleaned_data[[#This Row],[Unit_Price]]*Cleaned_data[[#This Row],[Discount_Pct]]</f>
        <v>23.510999999999999</v>
      </c>
      <c r="AC608" s="10">
        <f>Cleaned_data[[#This Row],[Gross Sales]]-Cleaned_data[[#This Row],[Discount amount]]</f>
        <v>525.07900000000006</v>
      </c>
      <c r="AD608" s="10">
        <f>Cleaned_data[[#This Row],[Product Cost]]*Cleaned_data[[#This Row],[Quantity]]</f>
        <v>252</v>
      </c>
      <c r="AE608" s="10">
        <f>Cleaned_data[[#This Row],[Net Sales]]-Cleaned_data[[#This Row],[COGS]]</f>
        <v>273.07900000000006</v>
      </c>
      <c r="AF608" s="11">
        <f>Cleaned_data[[#This Row],[Gross Profit]]/Cleaned_data[[#This Row],[Net Sales]]</f>
        <v>0.52007221770438361</v>
      </c>
      <c r="AG608">
        <f>Cleaned_data[[#This Row],[Ship_Date]]-Cleaned_data[[#This Row],[Order_Date]]</f>
        <v>2</v>
      </c>
      <c r="AH608" t="str">
        <f>IF(Cleaned_data[[#This Row],[Delivery Days]]&gt;10,"late","on time")</f>
        <v>on time</v>
      </c>
      <c r="AI608" t="str">
        <f>TEXT(Cleaned_data[[#This Row],[Order_Date]],"mmmm")</f>
        <v>September</v>
      </c>
      <c r="AJ608" s="9" t="str">
        <f>"Q"&amp;ROUNDUP(MONTH(Cleaned_data[[#This Row],[Order_Date]])/3,0)</f>
        <v>Q3</v>
      </c>
    </row>
    <row r="609" spans="1:36">
      <c r="A609" t="s">
        <v>1102</v>
      </c>
      <c r="B609" s="9">
        <v>45917</v>
      </c>
      <c r="C609" s="9">
        <v>45927</v>
      </c>
      <c r="D609" t="s">
        <v>378</v>
      </c>
      <c r="E609" t="s">
        <v>379</v>
      </c>
      <c r="F609" t="s">
        <v>152</v>
      </c>
      <c r="G609" t="s">
        <v>126</v>
      </c>
      <c r="H609" t="s">
        <v>160</v>
      </c>
      <c r="I609" t="s">
        <v>161</v>
      </c>
      <c r="J609" t="s">
        <v>78</v>
      </c>
      <c r="K609" t="s">
        <v>130</v>
      </c>
      <c r="L609" t="s">
        <v>431</v>
      </c>
      <c r="M609" t="s">
        <v>432</v>
      </c>
      <c r="N609" t="s">
        <v>103</v>
      </c>
      <c r="O609" t="s">
        <v>251</v>
      </c>
      <c r="P609" s="8">
        <v>2</v>
      </c>
      <c r="Q609" s="10">
        <v>39.72</v>
      </c>
      <c r="R609" s="11">
        <v>0.02</v>
      </c>
      <c r="S609" s="10">
        <v>13.59</v>
      </c>
      <c r="T609" t="s">
        <v>105</v>
      </c>
      <c r="U609" t="s">
        <v>85</v>
      </c>
      <c r="V609" s="8">
        <v>3</v>
      </c>
      <c r="W609" t="s">
        <v>1270</v>
      </c>
      <c r="X609" t="str">
        <f>_xlfn.XLOOKUP(Cleaned_data[[#This Row],[Customer_ID]],Customers[S],Customers[Loyalty_Tier])</f>
        <v>Gold</v>
      </c>
      <c r="Y609" s="9">
        <f>_xlfn.XLOOKUP(Cleaned_data[[#This Row],[Customer_ID]],Customers[S],Customers[Signup_Date])</f>
        <v>45713</v>
      </c>
      <c r="Z609" s="12">
        <f>_xlfn.XLOOKUP(Cleaned_data[[#This Row],[SKU]],Products[SKU],Products[Standard_Cost])</f>
        <v>20</v>
      </c>
      <c r="AA609" s="10">
        <f>Cleaned_data[[#This Row],[Quantity]]*Cleaned_data[[#This Row],[Unit_Price]]</f>
        <v>79.44</v>
      </c>
      <c r="AB609" s="10">
        <f>Cleaned_data[[#This Row],[Unit_Price]]*Cleaned_data[[#This Row],[Discount_Pct]]</f>
        <v>0.7944</v>
      </c>
      <c r="AC609" s="10">
        <f>Cleaned_data[[#This Row],[Gross Sales]]-Cleaned_data[[#This Row],[Discount amount]]</f>
        <v>78.645600000000002</v>
      </c>
      <c r="AD609" s="10">
        <f>Cleaned_data[[#This Row],[Product Cost]]*Cleaned_data[[#This Row],[Quantity]]</f>
        <v>40</v>
      </c>
      <c r="AE609" s="10">
        <f>Cleaned_data[[#This Row],[Net Sales]]-Cleaned_data[[#This Row],[COGS]]</f>
        <v>38.645600000000002</v>
      </c>
      <c r="AF609" s="11">
        <f>Cleaned_data[[#This Row],[Gross Profit]]/Cleaned_data[[#This Row],[Net Sales]]</f>
        <v>0.49138921948589626</v>
      </c>
      <c r="AG609">
        <f>Cleaned_data[[#This Row],[Ship_Date]]-Cleaned_data[[#This Row],[Order_Date]]</f>
        <v>10</v>
      </c>
      <c r="AH609" t="str">
        <f>IF(Cleaned_data[[#This Row],[Delivery Days]]&gt;10,"late","on time")</f>
        <v>on time</v>
      </c>
      <c r="AI609" t="str">
        <f>TEXT(Cleaned_data[[#This Row],[Order_Date]],"mmmm")</f>
        <v>September</v>
      </c>
      <c r="AJ609" s="9" t="str">
        <f>"Q"&amp;ROUNDUP(MONTH(Cleaned_data[[#This Row],[Order_Date]])/3,0)</f>
        <v>Q3</v>
      </c>
    </row>
    <row r="610" spans="1:36">
      <c r="A610" t="s">
        <v>1103</v>
      </c>
      <c r="B610" s="9">
        <v>45917</v>
      </c>
      <c r="C610" s="9">
        <v>45918</v>
      </c>
      <c r="D610" t="s">
        <v>353</v>
      </c>
      <c r="E610" t="s">
        <v>354</v>
      </c>
      <c r="F610" t="s">
        <v>74</v>
      </c>
      <c r="G610" t="s">
        <v>126</v>
      </c>
      <c r="H610" t="s">
        <v>160</v>
      </c>
      <c r="I610" t="s">
        <v>182</v>
      </c>
      <c r="J610" t="s">
        <v>109</v>
      </c>
      <c r="K610" t="s">
        <v>79</v>
      </c>
      <c r="L610" t="s">
        <v>249</v>
      </c>
      <c r="M610" t="s">
        <v>250</v>
      </c>
      <c r="N610" t="s">
        <v>103</v>
      </c>
      <c r="O610" t="s">
        <v>251</v>
      </c>
      <c r="P610" s="8">
        <v>8</v>
      </c>
      <c r="Q610" s="10">
        <v>21.41</v>
      </c>
      <c r="R610" s="11">
        <v>0.01</v>
      </c>
      <c r="S610" s="10">
        <v>5.29</v>
      </c>
      <c r="T610" t="s">
        <v>134</v>
      </c>
      <c r="U610" t="s">
        <v>85</v>
      </c>
      <c r="V610" s="8">
        <v>5</v>
      </c>
      <c r="W610" t="s">
        <v>1270</v>
      </c>
      <c r="X610" t="str">
        <f>_xlfn.XLOOKUP(Cleaned_data[[#This Row],[Customer_ID]],Customers[S],Customers[Loyalty_Tier])</f>
        <v>Bronze</v>
      </c>
      <c r="Y610" s="9">
        <f>_xlfn.XLOOKUP(Cleaned_data[[#This Row],[Customer_ID]],Customers[S],Customers[Signup_Date])</f>
        <v>44241</v>
      </c>
      <c r="Z610" s="12">
        <f>_xlfn.XLOOKUP(Cleaned_data[[#This Row],[SKU]],Products[SKU],Products[Standard_Cost])</f>
        <v>10</v>
      </c>
      <c r="AA610" s="10">
        <f>Cleaned_data[[#This Row],[Quantity]]*Cleaned_data[[#This Row],[Unit_Price]]</f>
        <v>171.28</v>
      </c>
      <c r="AB610" s="10">
        <f>Cleaned_data[[#This Row],[Unit_Price]]*Cleaned_data[[#This Row],[Discount_Pct]]</f>
        <v>0.21410000000000001</v>
      </c>
      <c r="AC610" s="10">
        <f>Cleaned_data[[#This Row],[Gross Sales]]-Cleaned_data[[#This Row],[Discount amount]]</f>
        <v>171.0659</v>
      </c>
      <c r="AD610" s="10">
        <f>Cleaned_data[[#This Row],[Product Cost]]*Cleaned_data[[#This Row],[Quantity]]</f>
        <v>80</v>
      </c>
      <c r="AE610" s="10">
        <f>Cleaned_data[[#This Row],[Net Sales]]-Cleaned_data[[#This Row],[COGS]]</f>
        <v>91.065899999999999</v>
      </c>
      <c r="AF610" s="11">
        <f>Cleaned_data[[#This Row],[Gross Profit]]/Cleaned_data[[#This Row],[Net Sales]]</f>
        <v>0.53234396802635708</v>
      </c>
      <c r="AG610">
        <f>Cleaned_data[[#This Row],[Ship_Date]]-Cleaned_data[[#This Row],[Order_Date]]</f>
        <v>1</v>
      </c>
      <c r="AH610" t="str">
        <f>IF(Cleaned_data[[#This Row],[Delivery Days]]&gt;10,"late","on time")</f>
        <v>on time</v>
      </c>
      <c r="AI610" t="str">
        <f>TEXT(Cleaned_data[[#This Row],[Order_Date]],"mmmm")</f>
        <v>September</v>
      </c>
      <c r="AJ610" s="9" t="str">
        <f>"Q"&amp;ROUNDUP(MONTH(Cleaned_data[[#This Row],[Order_Date]])/3,0)</f>
        <v>Q3</v>
      </c>
    </row>
    <row r="611" spans="1:36">
      <c r="A611" t="s">
        <v>1104</v>
      </c>
      <c r="B611" s="9">
        <v>45918</v>
      </c>
      <c r="C611" s="9">
        <v>45922</v>
      </c>
      <c r="D611" t="s">
        <v>392</v>
      </c>
      <c r="E611" t="s">
        <v>393</v>
      </c>
      <c r="F611" t="s">
        <v>74</v>
      </c>
      <c r="G611" t="s">
        <v>126</v>
      </c>
      <c r="H611" t="s">
        <v>160</v>
      </c>
      <c r="I611" t="s">
        <v>161</v>
      </c>
      <c r="J611" t="s">
        <v>109</v>
      </c>
      <c r="K611" t="s">
        <v>168</v>
      </c>
      <c r="L611" t="s">
        <v>254</v>
      </c>
      <c r="M611" t="s">
        <v>255</v>
      </c>
      <c r="N611" t="s">
        <v>82</v>
      </c>
      <c r="O611" t="s">
        <v>83</v>
      </c>
      <c r="P611" s="8">
        <v>3</v>
      </c>
      <c r="Q611" s="10">
        <v>94.57</v>
      </c>
      <c r="R611" s="11">
        <v>0.03</v>
      </c>
      <c r="S611" s="10">
        <v>5.73</v>
      </c>
      <c r="T611" t="s">
        <v>105</v>
      </c>
      <c r="U611" t="s">
        <v>85</v>
      </c>
      <c r="V611" s="8">
        <v>2</v>
      </c>
      <c r="W611" t="s">
        <v>1270</v>
      </c>
      <c r="X611" t="str">
        <f>_xlfn.XLOOKUP(Cleaned_data[[#This Row],[Customer_ID]],Customers[S],Customers[Loyalty_Tier])</f>
        <v>Gold</v>
      </c>
      <c r="Y611" s="9">
        <f>_xlfn.XLOOKUP(Cleaned_data[[#This Row],[Customer_ID]],Customers[S],Customers[Signup_Date])</f>
        <v>44236</v>
      </c>
      <c r="Z611" s="12">
        <f>_xlfn.XLOOKUP(Cleaned_data[[#This Row],[SKU]],Products[SKU],Products[Standard_Cost])</f>
        <v>48</v>
      </c>
      <c r="AA611" s="10">
        <f>Cleaned_data[[#This Row],[Quantity]]*Cleaned_data[[#This Row],[Unit_Price]]</f>
        <v>283.70999999999998</v>
      </c>
      <c r="AB611" s="10">
        <f>Cleaned_data[[#This Row],[Unit_Price]]*Cleaned_data[[#This Row],[Discount_Pct]]</f>
        <v>2.8370999999999995</v>
      </c>
      <c r="AC611" s="10">
        <f>Cleaned_data[[#This Row],[Gross Sales]]-Cleaned_data[[#This Row],[Discount amount]]</f>
        <v>280.87289999999996</v>
      </c>
      <c r="AD611" s="10">
        <f>Cleaned_data[[#This Row],[Product Cost]]*Cleaned_data[[#This Row],[Quantity]]</f>
        <v>144</v>
      </c>
      <c r="AE611" s="10">
        <f>Cleaned_data[[#This Row],[Net Sales]]-Cleaned_data[[#This Row],[COGS]]</f>
        <v>136.87289999999996</v>
      </c>
      <c r="AF611" s="11">
        <f>Cleaned_data[[#This Row],[Gross Profit]]/Cleaned_data[[#This Row],[Net Sales]]</f>
        <v>0.48731258871895428</v>
      </c>
      <c r="AG611">
        <f>Cleaned_data[[#This Row],[Ship_Date]]-Cleaned_data[[#This Row],[Order_Date]]</f>
        <v>4</v>
      </c>
      <c r="AH611" t="str">
        <f>IF(Cleaned_data[[#This Row],[Delivery Days]]&gt;10,"late","on time")</f>
        <v>on time</v>
      </c>
      <c r="AI611" t="str">
        <f>TEXT(Cleaned_data[[#This Row],[Order_Date]],"mmmm")</f>
        <v>September</v>
      </c>
      <c r="AJ611" s="9" t="str">
        <f>"Q"&amp;ROUNDUP(MONTH(Cleaned_data[[#This Row],[Order_Date]])/3,0)</f>
        <v>Q3</v>
      </c>
    </row>
    <row r="612" spans="1:36">
      <c r="A612" t="s">
        <v>1105</v>
      </c>
      <c r="B612" s="9">
        <v>45919</v>
      </c>
      <c r="C612" s="9">
        <v>45923</v>
      </c>
      <c r="D612" t="s">
        <v>184</v>
      </c>
      <c r="E612" t="s">
        <v>185</v>
      </c>
      <c r="F612" t="s">
        <v>74</v>
      </c>
      <c r="G612" t="s">
        <v>138</v>
      </c>
      <c r="H612" t="s">
        <v>186</v>
      </c>
      <c r="I612" t="s">
        <v>187</v>
      </c>
      <c r="J612" t="s">
        <v>129</v>
      </c>
      <c r="K612" t="s">
        <v>90</v>
      </c>
      <c r="L612" t="s">
        <v>207</v>
      </c>
      <c r="M612" t="s">
        <v>208</v>
      </c>
      <c r="N612" t="s">
        <v>120</v>
      </c>
      <c r="O612" t="s">
        <v>164</v>
      </c>
      <c r="P612" s="8">
        <v>2</v>
      </c>
      <c r="Q612" s="10">
        <v>1377.4</v>
      </c>
      <c r="R612" s="11">
        <v>0.1</v>
      </c>
      <c r="S612" s="10">
        <v>18.399999999999999</v>
      </c>
      <c r="T612" t="s">
        <v>105</v>
      </c>
      <c r="U612" t="s">
        <v>148</v>
      </c>
      <c r="W612" t="s">
        <v>1270</v>
      </c>
      <c r="X612" t="str">
        <f>_xlfn.XLOOKUP(Cleaned_data[[#This Row],[Customer_ID]],Customers[S],Customers[Loyalty_Tier])</f>
        <v>Platinum</v>
      </c>
      <c r="Y612" s="9">
        <f>_xlfn.XLOOKUP(Cleaned_data[[#This Row],[Customer_ID]],Customers[S],Customers[Signup_Date])</f>
        <v>46013</v>
      </c>
      <c r="Z612" s="12">
        <f>_xlfn.XLOOKUP(Cleaned_data[[#This Row],[SKU]],Products[SKU],Products[Standard_Cost])</f>
        <v>885</v>
      </c>
      <c r="AA612" s="10">
        <f>Cleaned_data[[#This Row],[Quantity]]*Cleaned_data[[#This Row],[Unit_Price]]</f>
        <v>2754.8</v>
      </c>
      <c r="AB612" s="10">
        <f>Cleaned_data[[#This Row],[Unit_Price]]*Cleaned_data[[#This Row],[Discount_Pct]]</f>
        <v>137.74</v>
      </c>
      <c r="AC612" s="10">
        <f>Cleaned_data[[#This Row],[Gross Sales]]-Cleaned_data[[#This Row],[Discount amount]]</f>
        <v>2617.0600000000004</v>
      </c>
      <c r="AD612" s="10">
        <f>Cleaned_data[[#This Row],[Product Cost]]*Cleaned_data[[#This Row],[Quantity]]</f>
        <v>1770</v>
      </c>
      <c r="AE612" s="10">
        <f>Cleaned_data[[#This Row],[Net Sales]]-Cleaned_data[[#This Row],[COGS]]</f>
        <v>847.0600000000004</v>
      </c>
      <c r="AF612" s="11">
        <f>Cleaned_data[[#This Row],[Gross Profit]]/Cleaned_data[[#This Row],[Net Sales]]</f>
        <v>0.32366854409146151</v>
      </c>
      <c r="AG612">
        <f>Cleaned_data[[#This Row],[Ship_Date]]-Cleaned_data[[#This Row],[Order_Date]]</f>
        <v>4</v>
      </c>
      <c r="AH612" t="str">
        <f>IF(Cleaned_data[[#This Row],[Delivery Days]]&gt;10,"late","on time")</f>
        <v>on time</v>
      </c>
      <c r="AI612" t="str">
        <f>TEXT(Cleaned_data[[#This Row],[Order_Date]],"mmmm")</f>
        <v>September</v>
      </c>
      <c r="AJ612" s="9" t="str">
        <f>"Q"&amp;ROUNDUP(MONTH(Cleaned_data[[#This Row],[Order_Date]])/3,0)</f>
        <v>Q3</v>
      </c>
    </row>
    <row r="613" spans="1:36">
      <c r="A613" t="s">
        <v>1106</v>
      </c>
      <c r="B613" s="9">
        <v>45919</v>
      </c>
      <c r="C613" s="9">
        <v>45937</v>
      </c>
      <c r="D613" t="s">
        <v>456</v>
      </c>
      <c r="E613" t="s">
        <v>369</v>
      </c>
      <c r="F613" t="s">
        <v>89</v>
      </c>
      <c r="G613" t="s">
        <v>138</v>
      </c>
      <c r="H613" t="s">
        <v>457</v>
      </c>
      <c r="I613" t="s">
        <v>458</v>
      </c>
      <c r="J613" t="s">
        <v>219</v>
      </c>
      <c r="K613" t="s">
        <v>168</v>
      </c>
      <c r="L613" t="s">
        <v>242</v>
      </c>
      <c r="M613" t="s">
        <v>243</v>
      </c>
      <c r="N613" t="s">
        <v>120</v>
      </c>
      <c r="O613" t="s">
        <v>133</v>
      </c>
      <c r="P613" s="8">
        <v>3</v>
      </c>
      <c r="Q613" s="10">
        <v>197.95</v>
      </c>
      <c r="R613" s="11">
        <v>0.03</v>
      </c>
      <c r="S613" s="10">
        <v>21.75</v>
      </c>
      <c r="T613" t="s">
        <v>122</v>
      </c>
      <c r="U613" t="s">
        <v>85</v>
      </c>
      <c r="V613" s="8">
        <v>1</v>
      </c>
      <c r="W613" t="s">
        <v>1270</v>
      </c>
      <c r="X613" t="str">
        <f>_xlfn.XLOOKUP(Cleaned_data[[#This Row],[Customer_ID]],Customers[S],Customers[Loyalty_Tier])</f>
        <v>Bronze</v>
      </c>
      <c r="Y613" s="9">
        <f>_xlfn.XLOOKUP(Cleaned_data[[#This Row],[Customer_ID]],Customers[S],Customers[Signup_Date])</f>
        <v>44735</v>
      </c>
      <c r="Z613" s="12">
        <f>_xlfn.XLOOKUP(Cleaned_data[[#This Row],[SKU]],Products[SKU],Products[Standard_Cost])</f>
        <v>96</v>
      </c>
      <c r="AA613" s="10">
        <f>Cleaned_data[[#This Row],[Quantity]]*Cleaned_data[[#This Row],[Unit_Price]]</f>
        <v>593.84999999999991</v>
      </c>
      <c r="AB613" s="10">
        <f>Cleaned_data[[#This Row],[Unit_Price]]*Cleaned_data[[#This Row],[Discount_Pct]]</f>
        <v>5.9384999999999994</v>
      </c>
      <c r="AC613" s="10">
        <f>Cleaned_data[[#This Row],[Gross Sales]]-Cleaned_data[[#This Row],[Discount amount]]</f>
        <v>587.91149999999993</v>
      </c>
      <c r="AD613" s="10">
        <f>Cleaned_data[[#This Row],[Product Cost]]*Cleaned_data[[#This Row],[Quantity]]</f>
        <v>288</v>
      </c>
      <c r="AE613" s="10">
        <f>Cleaned_data[[#This Row],[Net Sales]]-Cleaned_data[[#This Row],[COGS]]</f>
        <v>299.91149999999993</v>
      </c>
      <c r="AF613" s="11">
        <f>Cleaned_data[[#This Row],[Gross Profit]]/Cleaned_data[[#This Row],[Net Sales]]</f>
        <v>0.51013035125184647</v>
      </c>
      <c r="AG613">
        <f>Cleaned_data[[#This Row],[Ship_Date]]-Cleaned_data[[#This Row],[Order_Date]]</f>
        <v>18</v>
      </c>
      <c r="AH613" t="str">
        <f>IF(Cleaned_data[[#This Row],[Delivery Days]]&gt;10,"late","on time")</f>
        <v>late</v>
      </c>
      <c r="AI613" t="str">
        <f>TEXT(Cleaned_data[[#This Row],[Order_Date]],"mmmm")</f>
        <v>September</v>
      </c>
      <c r="AJ613" s="9" t="str">
        <f>"Q"&amp;ROUNDUP(MONTH(Cleaned_data[[#This Row],[Order_Date]])/3,0)</f>
        <v>Q3</v>
      </c>
    </row>
    <row r="614" spans="1:36">
      <c r="A614" t="s">
        <v>1107</v>
      </c>
      <c r="B614" s="9">
        <v>45919</v>
      </c>
      <c r="C614" s="9">
        <v>45924</v>
      </c>
      <c r="D614" t="s">
        <v>728</v>
      </c>
      <c r="E614" t="s">
        <v>333</v>
      </c>
      <c r="F614" t="s">
        <v>89</v>
      </c>
      <c r="G614" t="s">
        <v>194</v>
      </c>
      <c r="H614" t="s">
        <v>195</v>
      </c>
      <c r="I614" t="s">
        <v>196</v>
      </c>
      <c r="J614" t="s">
        <v>219</v>
      </c>
      <c r="K614" t="s">
        <v>147</v>
      </c>
      <c r="L614" t="s">
        <v>91</v>
      </c>
      <c r="M614" t="s">
        <v>92</v>
      </c>
      <c r="N614" t="s">
        <v>93</v>
      </c>
      <c r="O614" t="s">
        <v>94</v>
      </c>
      <c r="P614" s="8">
        <v>3</v>
      </c>
      <c r="Q614" s="10">
        <v>341.61</v>
      </c>
      <c r="R614" s="11">
        <v>7.0000000000000007E-2</v>
      </c>
      <c r="S614" s="10">
        <v>24.27</v>
      </c>
      <c r="T614" t="s">
        <v>122</v>
      </c>
      <c r="U614" t="s">
        <v>85</v>
      </c>
      <c r="W614" t="s">
        <v>1270</v>
      </c>
      <c r="X614" t="str">
        <f>_xlfn.XLOOKUP(Cleaned_data[[#This Row],[Customer_ID]],Customers[S],Customers[Loyalty_Tier])</f>
        <v>Platinum</v>
      </c>
      <c r="Y614" s="9">
        <f>_xlfn.XLOOKUP(Cleaned_data[[#This Row],[Customer_ID]],Customers[S],Customers[Signup_Date])</f>
        <v>45616</v>
      </c>
      <c r="Z614" s="12">
        <f>_xlfn.XLOOKUP(Cleaned_data[[#This Row],[SKU]],Products[SKU],Products[Standard_Cost])</f>
        <v>184</v>
      </c>
      <c r="AA614" s="10">
        <f>Cleaned_data[[#This Row],[Quantity]]*Cleaned_data[[#This Row],[Unit_Price]]</f>
        <v>1024.83</v>
      </c>
      <c r="AB614" s="10">
        <f>Cleaned_data[[#This Row],[Unit_Price]]*Cleaned_data[[#This Row],[Discount_Pct]]</f>
        <v>23.912700000000005</v>
      </c>
      <c r="AC614" s="10">
        <f>Cleaned_data[[#This Row],[Gross Sales]]-Cleaned_data[[#This Row],[Discount amount]]</f>
        <v>1000.9173</v>
      </c>
      <c r="AD614" s="10">
        <f>Cleaned_data[[#This Row],[Product Cost]]*Cleaned_data[[#This Row],[Quantity]]</f>
        <v>552</v>
      </c>
      <c r="AE614" s="10">
        <f>Cleaned_data[[#This Row],[Net Sales]]-Cleaned_data[[#This Row],[COGS]]</f>
        <v>448.91729999999995</v>
      </c>
      <c r="AF614" s="11">
        <f>Cleaned_data[[#This Row],[Gross Profit]]/Cleaned_data[[#This Row],[Net Sales]]</f>
        <v>0.44850588555118387</v>
      </c>
      <c r="AG614">
        <f>Cleaned_data[[#This Row],[Ship_Date]]-Cleaned_data[[#This Row],[Order_Date]]</f>
        <v>5</v>
      </c>
      <c r="AH614" t="str">
        <f>IF(Cleaned_data[[#This Row],[Delivery Days]]&gt;10,"late","on time")</f>
        <v>on time</v>
      </c>
      <c r="AI614" t="str">
        <f>TEXT(Cleaned_data[[#This Row],[Order_Date]],"mmmm")</f>
        <v>September</v>
      </c>
      <c r="AJ614" s="9" t="str">
        <f>"Q"&amp;ROUNDUP(MONTH(Cleaned_data[[#This Row],[Order_Date]])/3,0)</f>
        <v>Q3</v>
      </c>
    </row>
    <row r="615" spans="1:36">
      <c r="A615" t="s">
        <v>1108</v>
      </c>
      <c r="B615" s="9">
        <v>45920</v>
      </c>
      <c r="C615" s="9">
        <v>45929</v>
      </c>
      <c r="D615" t="s">
        <v>1109</v>
      </c>
      <c r="E615" t="s">
        <v>1110</v>
      </c>
      <c r="F615" t="s">
        <v>74</v>
      </c>
      <c r="G615" t="s">
        <v>75</v>
      </c>
      <c r="H615" t="s">
        <v>212</v>
      </c>
      <c r="I615" t="s">
        <v>213</v>
      </c>
      <c r="J615" t="s">
        <v>109</v>
      </c>
      <c r="K615" t="s">
        <v>147</v>
      </c>
      <c r="L615" t="s">
        <v>261</v>
      </c>
      <c r="M615" t="s">
        <v>262</v>
      </c>
      <c r="N615" t="s">
        <v>103</v>
      </c>
      <c r="O615" t="s">
        <v>104</v>
      </c>
      <c r="P615" s="8">
        <v>7</v>
      </c>
      <c r="Q615" s="10">
        <v>26.46</v>
      </c>
      <c r="R615" s="11">
        <v>0.25</v>
      </c>
      <c r="S615" s="10">
        <v>8.27</v>
      </c>
      <c r="T615" t="s">
        <v>122</v>
      </c>
      <c r="U615" t="s">
        <v>85</v>
      </c>
      <c r="V615" s="8">
        <v>1</v>
      </c>
      <c r="W615" t="s">
        <v>1270</v>
      </c>
      <c r="X615" t="str">
        <f>_xlfn.XLOOKUP(Cleaned_data[[#This Row],[Customer_ID]],Customers[S],Customers[Loyalty_Tier])</f>
        <v>Silver</v>
      </c>
      <c r="Y615" s="9">
        <f>_xlfn.XLOOKUP(Cleaned_data[[#This Row],[Customer_ID]],Customers[S],Customers[Signup_Date])</f>
        <v>45811</v>
      </c>
      <c r="Z615" s="12">
        <f>_xlfn.XLOOKUP(Cleaned_data[[#This Row],[SKU]],Products[SKU],Products[Standard_Cost])</f>
        <v>12</v>
      </c>
      <c r="AA615" s="10">
        <f>Cleaned_data[[#This Row],[Quantity]]*Cleaned_data[[#This Row],[Unit_Price]]</f>
        <v>185.22</v>
      </c>
      <c r="AB615" s="10">
        <f>Cleaned_data[[#This Row],[Unit_Price]]*Cleaned_data[[#This Row],[Discount_Pct]]</f>
        <v>6.6150000000000002</v>
      </c>
      <c r="AC615" s="10">
        <f>Cleaned_data[[#This Row],[Gross Sales]]-Cleaned_data[[#This Row],[Discount amount]]</f>
        <v>178.60499999999999</v>
      </c>
      <c r="AD615" s="10">
        <f>Cleaned_data[[#This Row],[Product Cost]]*Cleaned_data[[#This Row],[Quantity]]</f>
        <v>84</v>
      </c>
      <c r="AE615" s="10">
        <f>Cleaned_data[[#This Row],[Net Sales]]-Cleaned_data[[#This Row],[COGS]]</f>
        <v>94.60499999999999</v>
      </c>
      <c r="AF615" s="11">
        <f>Cleaned_data[[#This Row],[Gross Profit]]/Cleaned_data[[#This Row],[Net Sales]]</f>
        <v>0.52968841857730742</v>
      </c>
      <c r="AG615">
        <f>Cleaned_data[[#This Row],[Ship_Date]]-Cleaned_data[[#This Row],[Order_Date]]</f>
        <v>9</v>
      </c>
      <c r="AH615" t="str">
        <f>IF(Cleaned_data[[#This Row],[Delivery Days]]&gt;10,"late","on time")</f>
        <v>on time</v>
      </c>
      <c r="AI615" t="str">
        <f>TEXT(Cleaned_data[[#This Row],[Order_Date]],"mmmm")</f>
        <v>September</v>
      </c>
      <c r="AJ615" s="9" t="str">
        <f>"Q"&amp;ROUNDUP(MONTH(Cleaned_data[[#This Row],[Order_Date]])/3,0)</f>
        <v>Q3</v>
      </c>
    </row>
    <row r="616" spans="1:36">
      <c r="A616" t="s">
        <v>1111</v>
      </c>
      <c r="B616" s="9">
        <v>45921</v>
      </c>
      <c r="C616" s="9">
        <v>45931</v>
      </c>
      <c r="D616" t="s">
        <v>173</v>
      </c>
      <c r="E616" t="s">
        <v>174</v>
      </c>
      <c r="F616" t="s">
        <v>89</v>
      </c>
      <c r="G616" t="s">
        <v>126</v>
      </c>
      <c r="H616" t="s">
        <v>127</v>
      </c>
      <c r="I616" t="s">
        <v>128</v>
      </c>
      <c r="J616" t="s">
        <v>219</v>
      </c>
      <c r="K616" t="s">
        <v>130</v>
      </c>
      <c r="L616" t="s">
        <v>254</v>
      </c>
      <c r="M616" t="s">
        <v>255</v>
      </c>
      <c r="N616" t="s">
        <v>82</v>
      </c>
      <c r="O616" t="s">
        <v>83</v>
      </c>
      <c r="P616" s="8">
        <v>7</v>
      </c>
      <c r="Q616" s="10">
        <v>95.38</v>
      </c>
      <c r="R616" s="11">
        <v>0.11</v>
      </c>
      <c r="S616" s="10">
        <v>11.47</v>
      </c>
      <c r="T616" t="s">
        <v>105</v>
      </c>
      <c r="U616" t="s">
        <v>85</v>
      </c>
      <c r="V616" s="8">
        <v>2</v>
      </c>
      <c r="W616" t="s">
        <v>1270</v>
      </c>
      <c r="X616" t="str">
        <f>_xlfn.XLOOKUP(Cleaned_data[[#This Row],[Customer_ID]],Customers[S],Customers[Loyalty_Tier])</f>
        <v>Gold</v>
      </c>
      <c r="Y616" s="9">
        <f>_xlfn.XLOOKUP(Cleaned_data[[#This Row],[Customer_ID]],Customers[S],Customers[Signup_Date])</f>
        <v>44543</v>
      </c>
      <c r="Z616" s="12">
        <f>_xlfn.XLOOKUP(Cleaned_data[[#This Row],[SKU]],Products[SKU],Products[Standard_Cost])</f>
        <v>48</v>
      </c>
      <c r="AA616" s="10">
        <f>Cleaned_data[[#This Row],[Quantity]]*Cleaned_data[[#This Row],[Unit_Price]]</f>
        <v>667.66</v>
      </c>
      <c r="AB616" s="10">
        <f>Cleaned_data[[#This Row],[Unit_Price]]*Cleaned_data[[#This Row],[Discount_Pct]]</f>
        <v>10.4918</v>
      </c>
      <c r="AC616" s="10">
        <f>Cleaned_data[[#This Row],[Gross Sales]]-Cleaned_data[[#This Row],[Discount amount]]</f>
        <v>657.16819999999996</v>
      </c>
      <c r="AD616" s="10">
        <f>Cleaned_data[[#This Row],[Product Cost]]*Cleaned_data[[#This Row],[Quantity]]</f>
        <v>336</v>
      </c>
      <c r="AE616" s="10">
        <f>Cleaned_data[[#This Row],[Net Sales]]-Cleaned_data[[#This Row],[COGS]]</f>
        <v>321.16819999999996</v>
      </c>
      <c r="AF616" s="11">
        <f>Cleaned_data[[#This Row],[Gross Profit]]/Cleaned_data[[#This Row],[Net Sales]]</f>
        <v>0.48871536997681869</v>
      </c>
      <c r="AG616">
        <f>Cleaned_data[[#This Row],[Ship_Date]]-Cleaned_data[[#This Row],[Order_Date]]</f>
        <v>10</v>
      </c>
      <c r="AH616" t="str">
        <f>IF(Cleaned_data[[#This Row],[Delivery Days]]&gt;10,"late","on time")</f>
        <v>on time</v>
      </c>
      <c r="AI616" t="str">
        <f>TEXT(Cleaned_data[[#This Row],[Order_Date]],"mmmm")</f>
        <v>September</v>
      </c>
      <c r="AJ616" s="9" t="str">
        <f>"Q"&amp;ROUNDUP(MONTH(Cleaned_data[[#This Row],[Order_Date]])/3,0)</f>
        <v>Q3</v>
      </c>
    </row>
    <row r="617" spans="1:36">
      <c r="A617" t="s">
        <v>1112</v>
      </c>
      <c r="B617" s="9">
        <v>45921</v>
      </c>
      <c r="C617" s="9">
        <v>45923</v>
      </c>
      <c r="D617" t="s">
        <v>529</v>
      </c>
      <c r="E617" t="s">
        <v>397</v>
      </c>
      <c r="F617" t="s">
        <v>89</v>
      </c>
      <c r="G617" t="s">
        <v>194</v>
      </c>
      <c r="H617" t="s">
        <v>240</v>
      </c>
      <c r="I617" t="s">
        <v>241</v>
      </c>
      <c r="J617" t="s">
        <v>78</v>
      </c>
      <c r="K617" t="s">
        <v>168</v>
      </c>
      <c r="L617" t="s">
        <v>284</v>
      </c>
      <c r="M617" t="s">
        <v>285</v>
      </c>
      <c r="N617" t="s">
        <v>103</v>
      </c>
      <c r="O617" t="s">
        <v>143</v>
      </c>
      <c r="P617" s="8">
        <v>3</v>
      </c>
      <c r="Q617" s="10">
        <v>27.3</v>
      </c>
      <c r="R617" s="11">
        <v>0.1</v>
      </c>
      <c r="S617" s="10">
        <v>13.07</v>
      </c>
      <c r="T617" t="s">
        <v>84</v>
      </c>
      <c r="U617" t="s">
        <v>85</v>
      </c>
      <c r="V617" s="8">
        <v>3</v>
      </c>
      <c r="W617" t="s">
        <v>1270</v>
      </c>
      <c r="X617" t="str">
        <f>_xlfn.XLOOKUP(Cleaned_data[[#This Row],[Customer_ID]],Customers[S],Customers[Loyalty_Tier])</f>
        <v>Bronze</v>
      </c>
      <c r="Y617" s="9">
        <f>_xlfn.XLOOKUP(Cleaned_data[[#This Row],[Customer_ID]],Customers[S],Customers[Signup_Date])</f>
        <v>45274</v>
      </c>
      <c r="Z617" s="12">
        <f>_xlfn.XLOOKUP(Cleaned_data[[#This Row],[SKU]],Products[SKU],Products[Standard_Cost])</f>
        <v>14</v>
      </c>
      <c r="AA617" s="10">
        <f>Cleaned_data[[#This Row],[Quantity]]*Cleaned_data[[#This Row],[Unit_Price]]</f>
        <v>81.900000000000006</v>
      </c>
      <c r="AB617" s="10">
        <f>Cleaned_data[[#This Row],[Unit_Price]]*Cleaned_data[[#This Row],[Discount_Pct]]</f>
        <v>2.7300000000000004</v>
      </c>
      <c r="AC617" s="10">
        <f>Cleaned_data[[#This Row],[Gross Sales]]-Cleaned_data[[#This Row],[Discount amount]]</f>
        <v>79.17</v>
      </c>
      <c r="AD617" s="10">
        <f>Cleaned_data[[#This Row],[Product Cost]]*Cleaned_data[[#This Row],[Quantity]]</f>
        <v>42</v>
      </c>
      <c r="AE617" s="10">
        <f>Cleaned_data[[#This Row],[Net Sales]]-Cleaned_data[[#This Row],[COGS]]</f>
        <v>37.17</v>
      </c>
      <c r="AF617" s="11">
        <f>Cleaned_data[[#This Row],[Gross Profit]]/Cleaned_data[[#This Row],[Net Sales]]</f>
        <v>0.46949602122015915</v>
      </c>
      <c r="AG617">
        <f>Cleaned_data[[#This Row],[Ship_Date]]-Cleaned_data[[#This Row],[Order_Date]]</f>
        <v>2</v>
      </c>
      <c r="AH617" t="str">
        <f>IF(Cleaned_data[[#This Row],[Delivery Days]]&gt;10,"late","on time")</f>
        <v>on time</v>
      </c>
      <c r="AI617" t="str">
        <f>TEXT(Cleaned_data[[#This Row],[Order_Date]],"mmmm")</f>
        <v>September</v>
      </c>
      <c r="AJ617" s="9" t="str">
        <f>"Q"&amp;ROUNDUP(MONTH(Cleaned_data[[#This Row],[Order_Date]])/3,0)</f>
        <v>Q3</v>
      </c>
    </row>
    <row r="618" spans="1:36">
      <c r="A618" t="s">
        <v>1113</v>
      </c>
      <c r="B618" s="9">
        <v>45922</v>
      </c>
      <c r="C618" s="9">
        <v>45927</v>
      </c>
      <c r="D618" t="s">
        <v>406</v>
      </c>
      <c r="E618" t="s">
        <v>407</v>
      </c>
      <c r="F618" t="s">
        <v>89</v>
      </c>
      <c r="G618" t="s">
        <v>75</v>
      </c>
      <c r="H618" t="s">
        <v>116</v>
      </c>
      <c r="I618" t="s">
        <v>117</v>
      </c>
      <c r="J618" t="s">
        <v>78</v>
      </c>
      <c r="K618" t="s">
        <v>130</v>
      </c>
      <c r="L618" t="s">
        <v>261</v>
      </c>
      <c r="M618" t="s">
        <v>262</v>
      </c>
      <c r="N618" t="s">
        <v>103</v>
      </c>
      <c r="O618" t="s">
        <v>104</v>
      </c>
      <c r="P618" s="8">
        <v>9</v>
      </c>
      <c r="Q618" s="10">
        <v>26.17</v>
      </c>
      <c r="R618" s="11">
        <v>0.08</v>
      </c>
      <c r="S618" s="10">
        <v>16.3</v>
      </c>
      <c r="T618" t="s">
        <v>122</v>
      </c>
      <c r="U618" t="s">
        <v>85</v>
      </c>
      <c r="V618" s="8">
        <v>5</v>
      </c>
      <c r="W618" t="s">
        <v>1270</v>
      </c>
      <c r="X618" t="str">
        <f>_xlfn.XLOOKUP(Cleaned_data[[#This Row],[Customer_ID]],Customers[S],Customers[Loyalty_Tier])</f>
        <v>Bronze</v>
      </c>
      <c r="Y618" s="9">
        <f>_xlfn.XLOOKUP(Cleaned_data[[#This Row],[Customer_ID]],Customers[S],Customers[Signup_Date])</f>
        <v>45879</v>
      </c>
      <c r="Z618" s="12">
        <f>_xlfn.XLOOKUP(Cleaned_data[[#This Row],[SKU]],Products[SKU],Products[Standard_Cost])</f>
        <v>12</v>
      </c>
      <c r="AA618" s="10">
        <f>Cleaned_data[[#This Row],[Quantity]]*Cleaned_data[[#This Row],[Unit_Price]]</f>
        <v>235.53000000000003</v>
      </c>
      <c r="AB618" s="10">
        <f>Cleaned_data[[#This Row],[Unit_Price]]*Cleaned_data[[#This Row],[Discount_Pct]]</f>
        <v>2.0936000000000003</v>
      </c>
      <c r="AC618" s="10">
        <f>Cleaned_data[[#This Row],[Gross Sales]]-Cleaned_data[[#This Row],[Discount amount]]</f>
        <v>233.43640000000002</v>
      </c>
      <c r="AD618" s="10">
        <f>Cleaned_data[[#This Row],[Product Cost]]*Cleaned_data[[#This Row],[Quantity]]</f>
        <v>108</v>
      </c>
      <c r="AE618" s="10">
        <f>Cleaned_data[[#This Row],[Net Sales]]-Cleaned_data[[#This Row],[COGS]]</f>
        <v>125.43640000000002</v>
      </c>
      <c r="AF618" s="11">
        <f>Cleaned_data[[#This Row],[Gross Profit]]/Cleaned_data[[#This Row],[Net Sales]]</f>
        <v>0.53734721748621894</v>
      </c>
      <c r="AG618">
        <f>Cleaned_data[[#This Row],[Ship_Date]]-Cleaned_data[[#This Row],[Order_Date]]</f>
        <v>5</v>
      </c>
      <c r="AH618" t="str">
        <f>IF(Cleaned_data[[#This Row],[Delivery Days]]&gt;10,"late","on time")</f>
        <v>on time</v>
      </c>
      <c r="AI618" t="str">
        <f>TEXT(Cleaned_data[[#This Row],[Order_Date]],"mmmm")</f>
        <v>September</v>
      </c>
      <c r="AJ618" s="9" t="str">
        <f>"Q"&amp;ROUNDUP(MONTH(Cleaned_data[[#This Row],[Order_Date]])/3,0)</f>
        <v>Q3</v>
      </c>
    </row>
    <row r="619" spans="1:36">
      <c r="A619" t="s">
        <v>1114</v>
      </c>
      <c r="B619" s="9">
        <v>45923</v>
      </c>
      <c r="C619" s="9">
        <v>45924</v>
      </c>
      <c r="D619" t="s">
        <v>751</v>
      </c>
      <c r="E619" t="s">
        <v>752</v>
      </c>
      <c r="F619" t="s">
        <v>152</v>
      </c>
      <c r="G619" t="s">
        <v>138</v>
      </c>
      <c r="H619" t="s">
        <v>139</v>
      </c>
      <c r="I619" t="s">
        <v>140</v>
      </c>
      <c r="J619" t="s">
        <v>219</v>
      </c>
      <c r="K619" t="s">
        <v>100</v>
      </c>
      <c r="L619" t="s">
        <v>214</v>
      </c>
      <c r="M619" t="s">
        <v>215</v>
      </c>
      <c r="N619" t="s">
        <v>103</v>
      </c>
      <c r="O619" t="s">
        <v>171</v>
      </c>
      <c r="P619" s="8">
        <v>1</v>
      </c>
      <c r="Q619" s="10">
        <v>11.75</v>
      </c>
      <c r="R619" s="11">
        <v>0.04</v>
      </c>
      <c r="S619" s="10">
        <v>8.26</v>
      </c>
      <c r="T619" t="s">
        <v>134</v>
      </c>
      <c r="U619" t="s">
        <v>85</v>
      </c>
      <c r="V619" s="8">
        <v>1</v>
      </c>
      <c r="W619" t="s">
        <v>1270</v>
      </c>
      <c r="X619" t="str">
        <f>_xlfn.XLOOKUP(Cleaned_data[[#This Row],[Customer_ID]],Customers[S],Customers[Loyalty_Tier])</f>
        <v>Silver</v>
      </c>
      <c r="Y619" s="9">
        <f>_xlfn.XLOOKUP(Cleaned_data[[#This Row],[Customer_ID]],Customers[S],Customers[Signup_Date])</f>
        <v>44640</v>
      </c>
      <c r="Z619" s="12">
        <f>_xlfn.XLOOKUP(Cleaned_data[[#This Row],[SKU]],Products[SKU],Products[Standard_Cost])</f>
        <v>5</v>
      </c>
      <c r="AA619" s="10">
        <f>Cleaned_data[[#This Row],[Quantity]]*Cleaned_data[[#This Row],[Unit_Price]]</f>
        <v>11.75</v>
      </c>
      <c r="AB619" s="10">
        <f>Cleaned_data[[#This Row],[Unit_Price]]*Cleaned_data[[#This Row],[Discount_Pct]]</f>
        <v>0.47000000000000003</v>
      </c>
      <c r="AC619" s="10">
        <f>Cleaned_data[[#This Row],[Gross Sales]]-Cleaned_data[[#This Row],[Discount amount]]</f>
        <v>11.28</v>
      </c>
      <c r="AD619" s="10">
        <f>Cleaned_data[[#This Row],[Product Cost]]*Cleaned_data[[#This Row],[Quantity]]</f>
        <v>5</v>
      </c>
      <c r="AE619" s="10">
        <f>Cleaned_data[[#This Row],[Net Sales]]-Cleaned_data[[#This Row],[COGS]]</f>
        <v>6.2799999999999994</v>
      </c>
      <c r="AF619" s="11">
        <f>Cleaned_data[[#This Row],[Gross Profit]]/Cleaned_data[[#This Row],[Net Sales]]</f>
        <v>0.55673758865248224</v>
      </c>
      <c r="AG619">
        <f>Cleaned_data[[#This Row],[Ship_Date]]-Cleaned_data[[#This Row],[Order_Date]]</f>
        <v>1</v>
      </c>
      <c r="AH619" t="str">
        <f>IF(Cleaned_data[[#This Row],[Delivery Days]]&gt;10,"late","on time")</f>
        <v>on time</v>
      </c>
      <c r="AI619" t="str">
        <f>TEXT(Cleaned_data[[#This Row],[Order_Date]],"mmmm")</f>
        <v>September</v>
      </c>
      <c r="AJ619" s="9" t="str">
        <f>"Q"&amp;ROUNDUP(MONTH(Cleaned_data[[#This Row],[Order_Date]])/3,0)</f>
        <v>Q3</v>
      </c>
    </row>
    <row r="620" spans="1:36">
      <c r="A620" t="s">
        <v>1115</v>
      </c>
      <c r="B620" s="9">
        <v>45923</v>
      </c>
      <c r="C620" s="9">
        <v>45924</v>
      </c>
      <c r="D620" t="s">
        <v>641</v>
      </c>
      <c r="E620" t="s">
        <v>642</v>
      </c>
      <c r="F620" t="s">
        <v>89</v>
      </c>
      <c r="G620" t="s">
        <v>194</v>
      </c>
      <c r="H620" t="s">
        <v>195</v>
      </c>
      <c r="I620" t="s">
        <v>196</v>
      </c>
      <c r="J620" t="s">
        <v>129</v>
      </c>
      <c r="K620" t="s">
        <v>100</v>
      </c>
      <c r="L620" t="s">
        <v>301</v>
      </c>
      <c r="M620" t="s">
        <v>302</v>
      </c>
      <c r="N620" t="s">
        <v>120</v>
      </c>
      <c r="O620" t="s">
        <v>190</v>
      </c>
      <c r="P620" s="8">
        <v>2</v>
      </c>
      <c r="Q620" s="10">
        <v>134.88999999999999</v>
      </c>
      <c r="R620" s="11">
        <v>0.1</v>
      </c>
      <c r="S620" s="10">
        <v>22.66</v>
      </c>
      <c r="T620" t="s">
        <v>105</v>
      </c>
      <c r="U620" t="s">
        <v>85</v>
      </c>
      <c r="V620" s="8">
        <v>3</v>
      </c>
      <c r="W620" t="s">
        <v>1270</v>
      </c>
      <c r="X620" t="str">
        <f>_xlfn.XLOOKUP(Cleaned_data[[#This Row],[Customer_ID]],Customers[S],Customers[Loyalty_Tier])</f>
        <v>Silver</v>
      </c>
      <c r="Y620" s="9">
        <f>_xlfn.XLOOKUP(Cleaned_data[[#This Row],[Customer_ID]],Customers[S],Customers[Signup_Date])</f>
        <v>44881</v>
      </c>
      <c r="Z620" s="12">
        <f>_xlfn.XLOOKUP(Cleaned_data[[#This Row],[SKU]],Products[SKU],Products[Standard_Cost])</f>
        <v>72</v>
      </c>
      <c r="AA620" s="10">
        <f>Cleaned_data[[#This Row],[Quantity]]*Cleaned_data[[#This Row],[Unit_Price]]</f>
        <v>269.77999999999997</v>
      </c>
      <c r="AB620" s="10">
        <f>Cleaned_data[[#This Row],[Unit_Price]]*Cleaned_data[[#This Row],[Discount_Pct]]</f>
        <v>13.488999999999999</v>
      </c>
      <c r="AC620" s="10">
        <f>Cleaned_data[[#This Row],[Gross Sales]]-Cleaned_data[[#This Row],[Discount amount]]</f>
        <v>256.291</v>
      </c>
      <c r="AD620" s="10">
        <f>Cleaned_data[[#This Row],[Product Cost]]*Cleaned_data[[#This Row],[Quantity]]</f>
        <v>144</v>
      </c>
      <c r="AE620" s="10">
        <f>Cleaned_data[[#This Row],[Net Sales]]-Cleaned_data[[#This Row],[COGS]]</f>
        <v>112.291</v>
      </c>
      <c r="AF620" s="11">
        <f>Cleaned_data[[#This Row],[Gross Profit]]/Cleaned_data[[#This Row],[Net Sales]]</f>
        <v>0.438138678299277</v>
      </c>
      <c r="AG620">
        <f>Cleaned_data[[#This Row],[Ship_Date]]-Cleaned_data[[#This Row],[Order_Date]]</f>
        <v>1</v>
      </c>
      <c r="AH620" t="str">
        <f>IF(Cleaned_data[[#This Row],[Delivery Days]]&gt;10,"late","on time")</f>
        <v>on time</v>
      </c>
      <c r="AI620" t="str">
        <f>TEXT(Cleaned_data[[#This Row],[Order_Date]],"mmmm")</f>
        <v>September</v>
      </c>
      <c r="AJ620" s="9" t="str">
        <f>"Q"&amp;ROUNDUP(MONTH(Cleaned_data[[#This Row],[Order_Date]])/3,0)</f>
        <v>Q3</v>
      </c>
    </row>
    <row r="621" spans="1:36">
      <c r="A621" t="s">
        <v>1116</v>
      </c>
      <c r="B621" s="9">
        <v>45924</v>
      </c>
      <c r="C621" s="9">
        <v>45928</v>
      </c>
      <c r="D621" t="s">
        <v>663</v>
      </c>
      <c r="E621" t="s">
        <v>664</v>
      </c>
      <c r="F621" t="s">
        <v>89</v>
      </c>
      <c r="G621" t="s">
        <v>194</v>
      </c>
      <c r="H621" t="s">
        <v>230</v>
      </c>
      <c r="I621" t="s">
        <v>231</v>
      </c>
      <c r="J621" t="s">
        <v>109</v>
      </c>
      <c r="K621" t="s">
        <v>100</v>
      </c>
      <c r="L621" t="s">
        <v>131</v>
      </c>
      <c r="M621" t="s">
        <v>132</v>
      </c>
      <c r="N621" t="s">
        <v>120</v>
      </c>
      <c r="O621" t="s">
        <v>133</v>
      </c>
      <c r="P621" s="8">
        <v>1</v>
      </c>
      <c r="Q621" s="10">
        <v>91.73</v>
      </c>
      <c r="R621" s="11">
        <v>0.03</v>
      </c>
      <c r="S621" s="10">
        <v>5.43</v>
      </c>
      <c r="T621" t="s">
        <v>84</v>
      </c>
      <c r="U621" t="s">
        <v>85</v>
      </c>
      <c r="V621" s="8">
        <v>1</v>
      </c>
      <c r="W621" t="s">
        <v>1270</v>
      </c>
      <c r="X621" t="str">
        <f>_xlfn.XLOOKUP(Cleaned_data[[#This Row],[Customer_ID]],Customers[S],Customers[Loyalty_Tier])</f>
        <v>Bronze</v>
      </c>
      <c r="Y621" s="9">
        <f>_xlfn.XLOOKUP(Cleaned_data[[#This Row],[Customer_ID]],Customers[S],Customers[Signup_Date])</f>
        <v>44975</v>
      </c>
      <c r="Z621" s="12">
        <f>_xlfn.XLOOKUP(Cleaned_data[[#This Row],[SKU]],Products[SKU],Products[Standard_Cost])</f>
        <v>44</v>
      </c>
      <c r="AA621" s="10">
        <f>Cleaned_data[[#This Row],[Quantity]]*Cleaned_data[[#This Row],[Unit_Price]]</f>
        <v>91.73</v>
      </c>
      <c r="AB621" s="10">
        <f>Cleaned_data[[#This Row],[Unit_Price]]*Cleaned_data[[#This Row],[Discount_Pct]]</f>
        <v>2.7519</v>
      </c>
      <c r="AC621" s="10">
        <f>Cleaned_data[[#This Row],[Gross Sales]]-Cleaned_data[[#This Row],[Discount amount]]</f>
        <v>88.978099999999998</v>
      </c>
      <c r="AD621" s="10">
        <f>Cleaned_data[[#This Row],[Product Cost]]*Cleaned_data[[#This Row],[Quantity]]</f>
        <v>44</v>
      </c>
      <c r="AE621" s="10">
        <f>Cleaned_data[[#This Row],[Net Sales]]-Cleaned_data[[#This Row],[COGS]]</f>
        <v>44.978099999999998</v>
      </c>
      <c r="AF621" s="11">
        <f>Cleaned_data[[#This Row],[Gross Profit]]/Cleaned_data[[#This Row],[Net Sales]]</f>
        <v>0.50549629627964632</v>
      </c>
      <c r="AG621">
        <f>Cleaned_data[[#This Row],[Ship_Date]]-Cleaned_data[[#This Row],[Order_Date]]</f>
        <v>4</v>
      </c>
      <c r="AH621" t="str">
        <f>IF(Cleaned_data[[#This Row],[Delivery Days]]&gt;10,"late","on time")</f>
        <v>on time</v>
      </c>
      <c r="AI621" t="str">
        <f>TEXT(Cleaned_data[[#This Row],[Order_Date]],"mmmm")</f>
        <v>September</v>
      </c>
      <c r="AJ621" s="9" t="str">
        <f>"Q"&amp;ROUNDUP(MONTH(Cleaned_data[[#This Row],[Order_Date]])/3,0)</f>
        <v>Q3</v>
      </c>
    </row>
    <row r="622" spans="1:36">
      <c r="A622" t="s">
        <v>1117</v>
      </c>
      <c r="B622" s="9">
        <v>45926</v>
      </c>
      <c r="C622" s="9">
        <v>45930</v>
      </c>
      <c r="D622" t="s">
        <v>392</v>
      </c>
      <c r="E622" t="s">
        <v>393</v>
      </c>
      <c r="F622" t="s">
        <v>74</v>
      </c>
      <c r="G622" t="s">
        <v>126</v>
      </c>
      <c r="H622" t="s">
        <v>160</v>
      </c>
      <c r="I622" t="s">
        <v>161</v>
      </c>
      <c r="J622" t="s">
        <v>219</v>
      </c>
      <c r="K622" t="s">
        <v>130</v>
      </c>
      <c r="L622" t="s">
        <v>197</v>
      </c>
      <c r="M622" t="s">
        <v>198</v>
      </c>
      <c r="N622" t="s">
        <v>120</v>
      </c>
      <c r="O622" t="s">
        <v>121</v>
      </c>
      <c r="P622" s="8">
        <v>1</v>
      </c>
      <c r="Q622" s="10">
        <v>512.12</v>
      </c>
      <c r="R622" s="11">
        <v>0.04</v>
      </c>
      <c r="S622" s="10">
        <v>20.95</v>
      </c>
      <c r="T622" t="s">
        <v>134</v>
      </c>
      <c r="U622" t="s">
        <v>148</v>
      </c>
      <c r="V622" s="8">
        <v>4</v>
      </c>
      <c r="W622" t="s">
        <v>1270</v>
      </c>
      <c r="X622" t="str">
        <f>_xlfn.XLOOKUP(Cleaned_data[[#This Row],[Customer_ID]],Customers[S],Customers[Loyalty_Tier])</f>
        <v>Gold</v>
      </c>
      <c r="Y622" s="9">
        <f>_xlfn.XLOOKUP(Cleaned_data[[#This Row],[Customer_ID]],Customers[S],Customers[Signup_Date])</f>
        <v>44236</v>
      </c>
      <c r="Z622" s="12">
        <f>_xlfn.XLOOKUP(Cleaned_data[[#This Row],[SKU]],Products[SKU],Products[Standard_Cost])</f>
        <v>310</v>
      </c>
      <c r="AA622" s="10">
        <f>Cleaned_data[[#This Row],[Quantity]]*Cleaned_data[[#This Row],[Unit_Price]]</f>
        <v>512.12</v>
      </c>
      <c r="AB622" s="10">
        <f>Cleaned_data[[#This Row],[Unit_Price]]*Cleaned_data[[#This Row],[Discount_Pct]]</f>
        <v>20.4848</v>
      </c>
      <c r="AC622" s="10">
        <f>Cleaned_data[[#This Row],[Gross Sales]]-Cleaned_data[[#This Row],[Discount amount]]</f>
        <v>491.6352</v>
      </c>
      <c r="AD622" s="10">
        <f>Cleaned_data[[#This Row],[Product Cost]]*Cleaned_data[[#This Row],[Quantity]]</f>
        <v>310</v>
      </c>
      <c r="AE622" s="10">
        <f>Cleaned_data[[#This Row],[Net Sales]]-Cleaned_data[[#This Row],[COGS]]</f>
        <v>181.6352</v>
      </c>
      <c r="AF622" s="11">
        <f>Cleaned_data[[#This Row],[Gross Profit]]/Cleaned_data[[#This Row],[Net Sales]]</f>
        <v>0.3694511702986279</v>
      </c>
      <c r="AG622">
        <f>Cleaned_data[[#This Row],[Ship_Date]]-Cleaned_data[[#This Row],[Order_Date]]</f>
        <v>4</v>
      </c>
      <c r="AH622" t="str">
        <f>IF(Cleaned_data[[#This Row],[Delivery Days]]&gt;10,"late","on time")</f>
        <v>on time</v>
      </c>
      <c r="AI622" t="str">
        <f>TEXT(Cleaned_data[[#This Row],[Order_Date]],"mmmm")</f>
        <v>September</v>
      </c>
      <c r="AJ622" s="9" t="str">
        <f>"Q"&amp;ROUNDUP(MONTH(Cleaned_data[[#This Row],[Order_Date]])/3,0)</f>
        <v>Q3</v>
      </c>
    </row>
    <row r="623" spans="1:36">
      <c r="A623" t="s">
        <v>1118</v>
      </c>
      <c r="B623" s="9">
        <v>45927</v>
      </c>
      <c r="C623" s="9">
        <v>45936</v>
      </c>
      <c r="D623" t="s">
        <v>712</v>
      </c>
      <c r="E623" t="s">
        <v>515</v>
      </c>
      <c r="F623" t="s">
        <v>152</v>
      </c>
      <c r="G623" t="s">
        <v>138</v>
      </c>
      <c r="H623" t="s">
        <v>153</v>
      </c>
      <c r="I623" t="s">
        <v>154</v>
      </c>
      <c r="J623" t="s">
        <v>129</v>
      </c>
      <c r="K623" t="s">
        <v>130</v>
      </c>
      <c r="L623" t="s">
        <v>91</v>
      </c>
      <c r="M623" t="s">
        <v>92</v>
      </c>
      <c r="N623" t="s">
        <v>93</v>
      </c>
      <c r="O623" t="s">
        <v>94</v>
      </c>
      <c r="P623" s="8">
        <v>3</v>
      </c>
      <c r="Q623" s="10">
        <v>338.01</v>
      </c>
      <c r="R623" s="11">
        <v>0.06</v>
      </c>
      <c r="S623" s="10">
        <v>23.11</v>
      </c>
      <c r="T623" t="s">
        <v>122</v>
      </c>
      <c r="U623" t="s">
        <v>85</v>
      </c>
      <c r="V623" s="8">
        <v>1</v>
      </c>
      <c r="W623" t="s">
        <v>1270</v>
      </c>
      <c r="X623" t="str">
        <f>_xlfn.XLOOKUP(Cleaned_data[[#This Row],[Customer_ID]],Customers[S],Customers[Loyalty_Tier])</f>
        <v>Gold</v>
      </c>
      <c r="Y623" s="9">
        <f>_xlfn.XLOOKUP(Cleaned_data[[#This Row],[Customer_ID]],Customers[S],Customers[Signup_Date])</f>
        <v>45527</v>
      </c>
      <c r="Z623" s="12">
        <f>_xlfn.XLOOKUP(Cleaned_data[[#This Row],[SKU]],Products[SKU],Products[Standard_Cost])</f>
        <v>184</v>
      </c>
      <c r="AA623" s="10">
        <f>Cleaned_data[[#This Row],[Quantity]]*Cleaned_data[[#This Row],[Unit_Price]]</f>
        <v>1014.03</v>
      </c>
      <c r="AB623" s="10">
        <f>Cleaned_data[[#This Row],[Unit_Price]]*Cleaned_data[[#This Row],[Discount_Pct]]</f>
        <v>20.2806</v>
      </c>
      <c r="AC623" s="10">
        <f>Cleaned_data[[#This Row],[Gross Sales]]-Cleaned_data[[#This Row],[Discount amount]]</f>
        <v>993.74939999999992</v>
      </c>
      <c r="AD623" s="10">
        <f>Cleaned_data[[#This Row],[Product Cost]]*Cleaned_data[[#This Row],[Quantity]]</f>
        <v>552</v>
      </c>
      <c r="AE623" s="10">
        <f>Cleaned_data[[#This Row],[Net Sales]]-Cleaned_data[[#This Row],[COGS]]</f>
        <v>441.74939999999992</v>
      </c>
      <c r="AF623" s="11">
        <f>Cleaned_data[[#This Row],[Gross Profit]]/Cleaned_data[[#This Row],[Net Sales]]</f>
        <v>0.44452796650745141</v>
      </c>
      <c r="AG623">
        <f>Cleaned_data[[#This Row],[Ship_Date]]-Cleaned_data[[#This Row],[Order_Date]]</f>
        <v>9</v>
      </c>
      <c r="AH623" t="str">
        <f>IF(Cleaned_data[[#This Row],[Delivery Days]]&gt;10,"late","on time")</f>
        <v>on time</v>
      </c>
      <c r="AI623" t="str">
        <f>TEXT(Cleaned_data[[#This Row],[Order_Date]],"mmmm")</f>
        <v>September</v>
      </c>
      <c r="AJ623" s="9" t="str">
        <f>"Q"&amp;ROUNDUP(MONTH(Cleaned_data[[#This Row],[Order_Date]])/3,0)</f>
        <v>Q3</v>
      </c>
    </row>
    <row r="624" spans="1:36">
      <c r="A624" t="s">
        <v>1119</v>
      </c>
      <c r="B624" s="9">
        <v>45927</v>
      </c>
      <c r="C624" s="9">
        <v>45931</v>
      </c>
      <c r="D624" t="s">
        <v>720</v>
      </c>
      <c r="E624" t="s">
        <v>721</v>
      </c>
      <c r="F624" t="s">
        <v>89</v>
      </c>
      <c r="G624" t="s">
        <v>75</v>
      </c>
      <c r="H624" t="s">
        <v>212</v>
      </c>
      <c r="I624" t="s">
        <v>213</v>
      </c>
      <c r="J624" t="s">
        <v>109</v>
      </c>
      <c r="K624" t="s">
        <v>90</v>
      </c>
      <c r="L624" t="s">
        <v>261</v>
      </c>
      <c r="M624" t="s">
        <v>262</v>
      </c>
      <c r="N624" t="s">
        <v>103</v>
      </c>
      <c r="O624" t="s">
        <v>104</v>
      </c>
      <c r="P624" s="8">
        <v>10</v>
      </c>
      <c r="Q624" s="10">
        <v>27.36</v>
      </c>
      <c r="R624" s="11">
        <v>7.0000000000000007E-2</v>
      </c>
      <c r="S624" s="10">
        <v>7.84</v>
      </c>
      <c r="T624" t="s">
        <v>122</v>
      </c>
      <c r="U624" t="s">
        <v>85</v>
      </c>
      <c r="V624" s="8">
        <v>2</v>
      </c>
      <c r="W624" t="s">
        <v>1270</v>
      </c>
      <c r="X624" t="str">
        <f>_xlfn.XLOOKUP(Cleaned_data[[#This Row],[Customer_ID]],Customers[S],Customers[Loyalty_Tier])</f>
        <v>Gold</v>
      </c>
      <c r="Y624" s="9">
        <f>_xlfn.XLOOKUP(Cleaned_data[[#This Row],[Customer_ID]],Customers[S],Customers[Signup_Date])</f>
        <v>44538</v>
      </c>
      <c r="Z624" s="12">
        <f>_xlfn.XLOOKUP(Cleaned_data[[#This Row],[SKU]],Products[SKU],Products[Standard_Cost])</f>
        <v>12</v>
      </c>
      <c r="AA624" s="10">
        <f>Cleaned_data[[#This Row],[Quantity]]*Cleaned_data[[#This Row],[Unit_Price]]</f>
        <v>273.60000000000002</v>
      </c>
      <c r="AB624" s="10">
        <f>Cleaned_data[[#This Row],[Unit_Price]]*Cleaned_data[[#This Row],[Discount_Pct]]</f>
        <v>1.9152000000000002</v>
      </c>
      <c r="AC624" s="10">
        <f>Cleaned_data[[#This Row],[Gross Sales]]-Cleaned_data[[#This Row],[Discount amount]]</f>
        <v>271.6848</v>
      </c>
      <c r="AD624" s="10">
        <f>Cleaned_data[[#This Row],[Product Cost]]*Cleaned_data[[#This Row],[Quantity]]</f>
        <v>120</v>
      </c>
      <c r="AE624" s="10">
        <f>Cleaned_data[[#This Row],[Net Sales]]-Cleaned_data[[#This Row],[COGS]]</f>
        <v>151.6848</v>
      </c>
      <c r="AF624" s="11">
        <f>Cleaned_data[[#This Row],[Gross Profit]]/Cleaned_data[[#This Row],[Net Sales]]</f>
        <v>0.55831169060617303</v>
      </c>
      <c r="AG624">
        <f>Cleaned_data[[#This Row],[Ship_Date]]-Cleaned_data[[#This Row],[Order_Date]]</f>
        <v>4</v>
      </c>
      <c r="AH624" t="str">
        <f>IF(Cleaned_data[[#This Row],[Delivery Days]]&gt;10,"late","on time")</f>
        <v>on time</v>
      </c>
      <c r="AI624" t="str">
        <f>TEXT(Cleaned_data[[#This Row],[Order_Date]],"mmmm")</f>
        <v>September</v>
      </c>
      <c r="AJ624" s="9" t="str">
        <f>"Q"&amp;ROUNDUP(MONTH(Cleaned_data[[#This Row],[Order_Date]])/3,0)</f>
        <v>Q3</v>
      </c>
    </row>
    <row r="625" spans="1:36">
      <c r="A625" t="s">
        <v>1120</v>
      </c>
      <c r="B625" s="9">
        <v>45928</v>
      </c>
      <c r="C625" s="9">
        <v>45936</v>
      </c>
      <c r="D625" t="s">
        <v>276</v>
      </c>
      <c r="E625" t="s">
        <v>277</v>
      </c>
      <c r="F625" t="s">
        <v>152</v>
      </c>
      <c r="G625" t="s">
        <v>75</v>
      </c>
      <c r="H625" t="s">
        <v>212</v>
      </c>
      <c r="I625" t="s">
        <v>213</v>
      </c>
      <c r="J625" t="s">
        <v>219</v>
      </c>
      <c r="K625" t="s">
        <v>130</v>
      </c>
      <c r="L625" t="s">
        <v>431</v>
      </c>
      <c r="M625" t="s">
        <v>432</v>
      </c>
      <c r="N625" t="s">
        <v>103</v>
      </c>
      <c r="O625" t="s">
        <v>251</v>
      </c>
      <c r="P625" s="8">
        <v>2</v>
      </c>
      <c r="Q625" s="10">
        <v>39.4</v>
      </c>
      <c r="R625" s="11">
        <v>0.11</v>
      </c>
      <c r="S625" s="10">
        <v>9.42</v>
      </c>
      <c r="T625" t="s">
        <v>122</v>
      </c>
      <c r="U625" t="s">
        <v>85</v>
      </c>
      <c r="V625" s="8">
        <v>3</v>
      </c>
      <c r="W625" t="s">
        <v>1270</v>
      </c>
      <c r="X625" t="str">
        <f>_xlfn.XLOOKUP(Cleaned_data[[#This Row],[Customer_ID]],Customers[S],Customers[Loyalty_Tier])</f>
        <v>Silver</v>
      </c>
      <c r="Y625" s="9">
        <f>_xlfn.XLOOKUP(Cleaned_data[[#This Row],[Customer_ID]],Customers[S],Customers[Signup_Date])</f>
        <v>44291</v>
      </c>
      <c r="Z625" s="12">
        <f>_xlfn.XLOOKUP(Cleaned_data[[#This Row],[SKU]],Products[SKU],Products[Standard_Cost])</f>
        <v>20</v>
      </c>
      <c r="AA625" s="10">
        <f>Cleaned_data[[#This Row],[Quantity]]*Cleaned_data[[#This Row],[Unit_Price]]</f>
        <v>78.8</v>
      </c>
      <c r="AB625" s="10">
        <f>Cleaned_data[[#This Row],[Unit_Price]]*Cleaned_data[[#This Row],[Discount_Pct]]</f>
        <v>4.3339999999999996</v>
      </c>
      <c r="AC625" s="10">
        <f>Cleaned_data[[#This Row],[Gross Sales]]-Cleaned_data[[#This Row],[Discount amount]]</f>
        <v>74.465999999999994</v>
      </c>
      <c r="AD625" s="10">
        <f>Cleaned_data[[#This Row],[Product Cost]]*Cleaned_data[[#This Row],[Quantity]]</f>
        <v>40</v>
      </c>
      <c r="AE625" s="10">
        <f>Cleaned_data[[#This Row],[Net Sales]]-Cleaned_data[[#This Row],[COGS]]</f>
        <v>34.465999999999994</v>
      </c>
      <c r="AF625" s="11">
        <f>Cleaned_data[[#This Row],[Gross Profit]]/Cleaned_data[[#This Row],[Net Sales]]</f>
        <v>0.46284210243601104</v>
      </c>
      <c r="AG625">
        <f>Cleaned_data[[#This Row],[Ship_Date]]-Cleaned_data[[#This Row],[Order_Date]]</f>
        <v>8</v>
      </c>
      <c r="AH625" t="str">
        <f>IF(Cleaned_data[[#This Row],[Delivery Days]]&gt;10,"late","on time")</f>
        <v>on time</v>
      </c>
      <c r="AI625" t="str">
        <f>TEXT(Cleaned_data[[#This Row],[Order_Date]],"mmmm")</f>
        <v>September</v>
      </c>
      <c r="AJ625" s="9" t="str">
        <f>"Q"&amp;ROUNDUP(MONTH(Cleaned_data[[#This Row],[Order_Date]])/3,0)</f>
        <v>Q3</v>
      </c>
    </row>
    <row r="626" spans="1:36">
      <c r="A626" t="s">
        <v>1121</v>
      </c>
      <c r="B626" s="9">
        <v>45928</v>
      </c>
      <c r="C626" s="9">
        <v>45934</v>
      </c>
      <c r="D626" t="s">
        <v>435</v>
      </c>
      <c r="E626" t="s">
        <v>436</v>
      </c>
      <c r="F626" t="s">
        <v>89</v>
      </c>
      <c r="G626" t="s">
        <v>138</v>
      </c>
      <c r="H626" t="s">
        <v>153</v>
      </c>
      <c r="I626" t="s">
        <v>154</v>
      </c>
      <c r="J626" t="s">
        <v>219</v>
      </c>
      <c r="K626" t="s">
        <v>130</v>
      </c>
      <c r="L626" t="s">
        <v>80</v>
      </c>
      <c r="M626" t="s">
        <v>81</v>
      </c>
      <c r="N626" t="s">
        <v>82</v>
      </c>
      <c r="O626" t="s">
        <v>83</v>
      </c>
      <c r="P626" s="8">
        <v>5</v>
      </c>
      <c r="Q626" s="10">
        <v>233</v>
      </c>
      <c r="R626" s="11">
        <v>0.06</v>
      </c>
      <c r="S626" s="10">
        <v>8.64</v>
      </c>
      <c r="T626" t="s">
        <v>105</v>
      </c>
      <c r="U626" t="s">
        <v>85</v>
      </c>
      <c r="V626" s="8">
        <v>5</v>
      </c>
      <c r="W626" t="s">
        <v>1270</v>
      </c>
      <c r="X626" t="str">
        <f>_xlfn.XLOOKUP(Cleaned_data[[#This Row],[Customer_ID]],Customers[S],Customers[Loyalty_Tier])</f>
        <v>Silver</v>
      </c>
      <c r="Y626" s="9">
        <f>_xlfn.XLOOKUP(Cleaned_data[[#This Row],[Customer_ID]],Customers[S],Customers[Signup_Date])</f>
        <v>45394</v>
      </c>
      <c r="Z626" s="12">
        <f>_xlfn.XLOOKUP(Cleaned_data[[#This Row],[SKU]],Products[SKU],Products[Standard_Cost])</f>
        <v>125</v>
      </c>
      <c r="AA626" s="10">
        <f>Cleaned_data[[#This Row],[Quantity]]*Cleaned_data[[#This Row],[Unit_Price]]</f>
        <v>1165</v>
      </c>
      <c r="AB626" s="10">
        <f>Cleaned_data[[#This Row],[Unit_Price]]*Cleaned_data[[#This Row],[Discount_Pct]]</f>
        <v>13.979999999999999</v>
      </c>
      <c r="AC626" s="10">
        <f>Cleaned_data[[#This Row],[Gross Sales]]-Cleaned_data[[#This Row],[Discount amount]]</f>
        <v>1151.02</v>
      </c>
      <c r="AD626" s="10">
        <f>Cleaned_data[[#This Row],[Product Cost]]*Cleaned_data[[#This Row],[Quantity]]</f>
        <v>625</v>
      </c>
      <c r="AE626" s="10">
        <f>Cleaned_data[[#This Row],[Net Sales]]-Cleaned_data[[#This Row],[COGS]]</f>
        <v>526.02</v>
      </c>
      <c r="AF626" s="11">
        <f>Cleaned_data[[#This Row],[Gross Profit]]/Cleaned_data[[#This Row],[Net Sales]]</f>
        <v>0.45700335354728849</v>
      </c>
      <c r="AG626">
        <f>Cleaned_data[[#This Row],[Ship_Date]]-Cleaned_data[[#This Row],[Order_Date]]</f>
        <v>6</v>
      </c>
      <c r="AH626" t="str">
        <f>IF(Cleaned_data[[#This Row],[Delivery Days]]&gt;10,"late","on time")</f>
        <v>on time</v>
      </c>
      <c r="AI626" t="str">
        <f>TEXT(Cleaned_data[[#This Row],[Order_Date]],"mmmm")</f>
        <v>September</v>
      </c>
      <c r="AJ626" s="9" t="str">
        <f>"Q"&amp;ROUNDUP(MONTH(Cleaned_data[[#This Row],[Order_Date]])/3,0)</f>
        <v>Q3</v>
      </c>
    </row>
    <row r="627" spans="1:36">
      <c r="A627" t="s">
        <v>1122</v>
      </c>
      <c r="B627" s="9">
        <v>45929</v>
      </c>
      <c r="C627" s="9">
        <v>45938</v>
      </c>
      <c r="D627" t="s">
        <v>876</v>
      </c>
      <c r="E627" t="s">
        <v>877</v>
      </c>
      <c r="F627" t="s">
        <v>74</v>
      </c>
      <c r="G627" t="s">
        <v>138</v>
      </c>
      <c r="H627" t="s">
        <v>153</v>
      </c>
      <c r="I627" t="s">
        <v>154</v>
      </c>
      <c r="J627" t="s">
        <v>129</v>
      </c>
      <c r="K627" t="s">
        <v>90</v>
      </c>
      <c r="L627" t="s">
        <v>284</v>
      </c>
      <c r="M627" t="s">
        <v>285</v>
      </c>
      <c r="N627" t="s">
        <v>103</v>
      </c>
      <c r="O627" t="s">
        <v>143</v>
      </c>
      <c r="P627" s="8">
        <v>1</v>
      </c>
      <c r="Q627" s="10">
        <v>29.59</v>
      </c>
      <c r="R627" s="11">
        <v>0</v>
      </c>
      <c r="S627" s="10">
        <v>11.6</v>
      </c>
      <c r="T627" t="s">
        <v>105</v>
      </c>
      <c r="U627" t="s">
        <v>85</v>
      </c>
      <c r="V627" s="8">
        <v>5</v>
      </c>
      <c r="W627" t="s">
        <v>1270</v>
      </c>
      <c r="X627" t="str">
        <f>_xlfn.XLOOKUP(Cleaned_data[[#This Row],[Customer_ID]],Customers[S],Customers[Loyalty_Tier])</f>
        <v>Silver</v>
      </c>
      <c r="Y627" s="9">
        <f>_xlfn.XLOOKUP(Cleaned_data[[#This Row],[Customer_ID]],Customers[S],Customers[Signup_Date])</f>
        <v>45704</v>
      </c>
      <c r="Z627" s="12">
        <f>_xlfn.XLOOKUP(Cleaned_data[[#This Row],[SKU]],Products[SKU],Products[Standard_Cost])</f>
        <v>14</v>
      </c>
      <c r="AA627" s="10">
        <f>Cleaned_data[[#This Row],[Quantity]]*Cleaned_data[[#This Row],[Unit_Price]]</f>
        <v>29.59</v>
      </c>
      <c r="AB627" s="10">
        <f>Cleaned_data[[#This Row],[Unit_Price]]*Cleaned_data[[#This Row],[Discount_Pct]]</f>
        <v>0</v>
      </c>
      <c r="AC627" s="10">
        <f>Cleaned_data[[#This Row],[Gross Sales]]-Cleaned_data[[#This Row],[Discount amount]]</f>
        <v>29.59</v>
      </c>
      <c r="AD627" s="10">
        <f>Cleaned_data[[#This Row],[Product Cost]]*Cleaned_data[[#This Row],[Quantity]]</f>
        <v>14</v>
      </c>
      <c r="AE627" s="10">
        <f>Cleaned_data[[#This Row],[Net Sales]]-Cleaned_data[[#This Row],[COGS]]</f>
        <v>15.59</v>
      </c>
      <c r="AF627" s="11">
        <f>Cleaned_data[[#This Row],[Gross Profit]]/Cleaned_data[[#This Row],[Net Sales]]</f>
        <v>0.52686718485974993</v>
      </c>
      <c r="AG627">
        <f>Cleaned_data[[#This Row],[Ship_Date]]-Cleaned_data[[#This Row],[Order_Date]]</f>
        <v>9</v>
      </c>
      <c r="AH627" t="str">
        <f>IF(Cleaned_data[[#This Row],[Delivery Days]]&gt;10,"late","on time")</f>
        <v>on time</v>
      </c>
      <c r="AI627" t="str">
        <f>TEXT(Cleaned_data[[#This Row],[Order_Date]],"mmmm")</f>
        <v>September</v>
      </c>
      <c r="AJ627" s="9" t="str">
        <f>"Q"&amp;ROUNDUP(MONTH(Cleaned_data[[#This Row],[Order_Date]])/3,0)</f>
        <v>Q3</v>
      </c>
    </row>
    <row r="628" spans="1:36">
      <c r="A628" t="s">
        <v>1123</v>
      </c>
      <c r="B628" s="9">
        <v>45930</v>
      </c>
      <c r="C628" s="9">
        <v>45936</v>
      </c>
      <c r="D628" t="s">
        <v>136</v>
      </c>
      <c r="E628" t="s">
        <v>137</v>
      </c>
      <c r="F628" t="s">
        <v>74</v>
      </c>
      <c r="G628" t="s">
        <v>138</v>
      </c>
      <c r="H628" t="s">
        <v>139</v>
      </c>
      <c r="I628" t="s">
        <v>140</v>
      </c>
      <c r="J628" t="s">
        <v>78</v>
      </c>
      <c r="K628" t="s">
        <v>90</v>
      </c>
      <c r="L628" t="s">
        <v>91</v>
      </c>
      <c r="M628" t="s">
        <v>92</v>
      </c>
      <c r="N628" t="s">
        <v>93</v>
      </c>
      <c r="O628" t="s">
        <v>94</v>
      </c>
      <c r="P628" s="8">
        <v>2</v>
      </c>
      <c r="Q628" s="10">
        <v>334.84</v>
      </c>
      <c r="R628" s="11">
        <v>0.1</v>
      </c>
      <c r="S628" s="10">
        <v>18.8</v>
      </c>
      <c r="T628" t="s">
        <v>105</v>
      </c>
      <c r="U628" t="s">
        <v>85</v>
      </c>
      <c r="V628" s="8">
        <v>2</v>
      </c>
      <c r="W628" t="s">
        <v>1270</v>
      </c>
      <c r="X628" t="str">
        <f>_xlfn.XLOOKUP(Cleaned_data[[#This Row],[Customer_ID]],Customers[S],Customers[Loyalty_Tier])</f>
        <v>Silver</v>
      </c>
      <c r="Y628" s="9">
        <f>_xlfn.XLOOKUP(Cleaned_data[[#This Row],[Customer_ID]],Customers[S],Customers[Signup_Date])</f>
        <v>45236</v>
      </c>
      <c r="Z628" s="12">
        <f>_xlfn.XLOOKUP(Cleaned_data[[#This Row],[SKU]],Products[SKU],Products[Standard_Cost])</f>
        <v>184</v>
      </c>
      <c r="AA628" s="10">
        <f>Cleaned_data[[#This Row],[Quantity]]*Cleaned_data[[#This Row],[Unit_Price]]</f>
        <v>669.68</v>
      </c>
      <c r="AB628" s="10">
        <f>Cleaned_data[[#This Row],[Unit_Price]]*Cleaned_data[[#This Row],[Discount_Pct]]</f>
        <v>33.484000000000002</v>
      </c>
      <c r="AC628" s="10">
        <f>Cleaned_data[[#This Row],[Gross Sales]]-Cleaned_data[[#This Row],[Discount amount]]</f>
        <v>636.19599999999991</v>
      </c>
      <c r="AD628" s="10">
        <f>Cleaned_data[[#This Row],[Product Cost]]*Cleaned_data[[#This Row],[Quantity]]</f>
        <v>368</v>
      </c>
      <c r="AE628" s="10">
        <f>Cleaned_data[[#This Row],[Net Sales]]-Cleaned_data[[#This Row],[COGS]]</f>
        <v>268.19599999999991</v>
      </c>
      <c r="AF628" s="11">
        <f>Cleaned_data[[#This Row],[Gross Profit]]/Cleaned_data[[#This Row],[Net Sales]]</f>
        <v>0.42156190859420672</v>
      </c>
      <c r="AG628">
        <f>Cleaned_data[[#This Row],[Ship_Date]]-Cleaned_data[[#This Row],[Order_Date]]</f>
        <v>6</v>
      </c>
      <c r="AH628" t="str">
        <f>IF(Cleaned_data[[#This Row],[Delivery Days]]&gt;10,"late","on time")</f>
        <v>on time</v>
      </c>
      <c r="AI628" t="str">
        <f>TEXT(Cleaned_data[[#This Row],[Order_Date]],"mmmm")</f>
        <v>September</v>
      </c>
      <c r="AJ628" s="9" t="str">
        <f>"Q"&amp;ROUNDUP(MONTH(Cleaned_data[[#This Row],[Order_Date]])/3,0)</f>
        <v>Q3</v>
      </c>
    </row>
    <row r="629" spans="1:36">
      <c r="A629" t="s">
        <v>1124</v>
      </c>
      <c r="B629" s="9">
        <v>45931</v>
      </c>
      <c r="C629" s="9">
        <v>45934</v>
      </c>
      <c r="D629" t="s">
        <v>1109</v>
      </c>
      <c r="E629" t="s">
        <v>1110</v>
      </c>
      <c r="F629" t="s">
        <v>74</v>
      </c>
      <c r="G629" t="s">
        <v>75</v>
      </c>
      <c r="H629" t="s">
        <v>212</v>
      </c>
      <c r="I629" t="s">
        <v>213</v>
      </c>
      <c r="J629" t="s">
        <v>219</v>
      </c>
      <c r="K629" t="s">
        <v>130</v>
      </c>
      <c r="L629" t="s">
        <v>169</v>
      </c>
      <c r="M629" t="s">
        <v>170</v>
      </c>
      <c r="N629" t="s">
        <v>103</v>
      </c>
      <c r="O629" t="s">
        <v>171</v>
      </c>
      <c r="P629" s="8">
        <v>3</v>
      </c>
      <c r="Q629" s="10">
        <v>15.31</v>
      </c>
      <c r="R629" s="11">
        <v>0.1</v>
      </c>
      <c r="S629" s="10">
        <v>16.28</v>
      </c>
      <c r="T629" t="s">
        <v>122</v>
      </c>
      <c r="U629" t="s">
        <v>85</v>
      </c>
      <c r="V629" s="8">
        <v>4</v>
      </c>
      <c r="W629" t="s">
        <v>1270</v>
      </c>
      <c r="X629" t="str">
        <f>_xlfn.XLOOKUP(Cleaned_data[[#This Row],[Customer_ID]],Customers[S],Customers[Loyalty_Tier])</f>
        <v>Silver</v>
      </c>
      <c r="Y629" s="9">
        <f>_xlfn.XLOOKUP(Cleaned_data[[#This Row],[Customer_ID]],Customers[S],Customers[Signup_Date])</f>
        <v>45811</v>
      </c>
      <c r="Z629" s="12">
        <f>_xlfn.XLOOKUP(Cleaned_data[[#This Row],[SKU]],Products[SKU],Products[Standard_Cost])</f>
        <v>6</v>
      </c>
      <c r="AA629" s="10">
        <f>Cleaned_data[[#This Row],[Quantity]]*Cleaned_data[[#This Row],[Unit_Price]]</f>
        <v>45.93</v>
      </c>
      <c r="AB629" s="10">
        <f>Cleaned_data[[#This Row],[Unit_Price]]*Cleaned_data[[#This Row],[Discount_Pct]]</f>
        <v>1.5310000000000001</v>
      </c>
      <c r="AC629" s="10">
        <f>Cleaned_data[[#This Row],[Gross Sales]]-Cleaned_data[[#This Row],[Discount amount]]</f>
        <v>44.399000000000001</v>
      </c>
      <c r="AD629" s="10">
        <f>Cleaned_data[[#This Row],[Product Cost]]*Cleaned_data[[#This Row],[Quantity]]</f>
        <v>18</v>
      </c>
      <c r="AE629" s="10">
        <f>Cleaned_data[[#This Row],[Net Sales]]-Cleaned_data[[#This Row],[COGS]]</f>
        <v>26.399000000000001</v>
      </c>
      <c r="AF629" s="11">
        <f>Cleaned_data[[#This Row],[Gross Profit]]/Cleaned_data[[#This Row],[Net Sales]]</f>
        <v>0.59458546363656839</v>
      </c>
      <c r="AG629">
        <f>Cleaned_data[[#This Row],[Ship_Date]]-Cleaned_data[[#This Row],[Order_Date]]</f>
        <v>3</v>
      </c>
      <c r="AH629" t="str">
        <f>IF(Cleaned_data[[#This Row],[Delivery Days]]&gt;10,"late","on time")</f>
        <v>on time</v>
      </c>
      <c r="AI629" t="str">
        <f>TEXT(Cleaned_data[[#This Row],[Order_Date]],"mmmm")</f>
        <v>October</v>
      </c>
      <c r="AJ629" s="9" t="str">
        <f>"Q"&amp;ROUNDUP(MONTH(Cleaned_data[[#This Row],[Order_Date]])/3,0)</f>
        <v>Q4</v>
      </c>
    </row>
    <row r="630" spans="1:36">
      <c r="A630" t="s">
        <v>1125</v>
      </c>
      <c r="B630" s="9">
        <v>45932</v>
      </c>
      <c r="C630" s="9">
        <v>45939</v>
      </c>
      <c r="D630" t="s">
        <v>594</v>
      </c>
      <c r="E630" t="s">
        <v>595</v>
      </c>
      <c r="F630" t="s">
        <v>74</v>
      </c>
      <c r="G630" t="s">
        <v>75</v>
      </c>
      <c r="H630" t="s">
        <v>76</v>
      </c>
      <c r="I630" t="s">
        <v>77</v>
      </c>
      <c r="J630" t="s">
        <v>78</v>
      </c>
      <c r="K630" t="s">
        <v>100</v>
      </c>
      <c r="L630" t="s">
        <v>431</v>
      </c>
      <c r="M630" t="s">
        <v>432</v>
      </c>
      <c r="N630" t="s">
        <v>103</v>
      </c>
      <c r="O630" t="s">
        <v>251</v>
      </c>
      <c r="P630" s="8">
        <v>8</v>
      </c>
      <c r="Q630" s="10">
        <v>37.35</v>
      </c>
      <c r="R630" s="11">
        <v>0.87</v>
      </c>
      <c r="S630" s="10">
        <v>16.32</v>
      </c>
      <c r="T630" t="s">
        <v>134</v>
      </c>
      <c r="U630" t="s">
        <v>85</v>
      </c>
      <c r="V630" s="8">
        <v>2</v>
      </c>
      <c r="W630" t="s">
        <v>1270</v>
      </c>
      <c r="X630" t="str">
        <f>_xlfn.XLOOKUP(Cleaned_data[[#This Row],[Customer_ID]],Customers[S],Customers[Loyalty_Tier])</f>
        <v>Gold</v>
      </c>
      <c r="Y630" s="9">
        <f>_xlfn.XLOOKUP(Cleaned_data[[#This Row],[Customer_ID]],Customers[S],Customers[Signup_Date])</f>
        <v>44818</v>
      </c>
      <c r="Z630" s="12">
        <f>_xlfn.XLOOKUP(Cleaned_data[[#This Row],[SKU]],Products[SKU],Products[Standard_Cost])</f>
        <v>20</v>
      </c>
      <c r="AA630" s="10">
        <f>Cleaned_data[[#This Row],[Quantity]]*Cleaned_data[[#This Row],[Unit_Price]]</f>
        <v>298.8</v>
      </c>
      <c r="AB630" s="10">
        <f>Cleaned_data[[#This Row],[Unit_Price]]*Cleaned_data[[#This Row],[Discount_Pct]]</f>
        <v>32.494500000000002</v>
      </c>
      <c r="AC630" s="10">
        <f>Cleaned_data[[#This Row],[Gross Sales]]-Cleaned_data[[#This Row],[Discount amount]]</f>
        <v>266.30549999999999</v>
      </c>
      <c r="AD630" s="10">
        <f>Cleaned_data[[#This Row],[Product Cost]]*Cleaned_data[[#This Row],[Quantity]]</f>
        <v>160</v>
      </c>
      <c r="AE630" s="10">
        <f>Cleaned_data[[#This Row],[Net Sales]]-Cleaned_data[[#This Row],[COGS]]</f>
        <v>106.30549999999999</v>
      </c>
      <c r="AF630" s="11">
        <f>Cleaned_data[[#This Row],[Gross Profit]]/Cleaned_data[[#This Row],[Net Sales]]</f>
        <v>0.39918627290837028</v>
      </c>
      <c r="AG630">
        <f>Cleaned_data[[#This Row],[Ship_Date]]-Cleaned_data[[#This Row],[Order_Date]]</f>
        <v>7</v>
      </c>
      <c r="AH630" t="str">
        <f>IF(Cleaned_data[[#This Row],[Delivery Days]]&gt;10,"late","on time")</f>
        <v>on time</v>
      </c>
      <c r="AI630" t="str">
        <f>TEXT(Cleaned_data[[#This Row],[Order_Date]],"mmmm")</f>
        <v>October</v>
      </c>
      <c r="AJ630" s="9" t="str">
        <f>"Q"&amp;ROUNDUP(MONTH(Cleaned_data[[#This Row],[Order_Date]])/3,0)</f>
        <v>Q4</v>
      </c>
    </row>
    <row r="631" spans="1:36">
      <c r="A631" t="s">
        <v>1126</v>
      </c>
      <c r="B631" s="9">
        <v>45933</v>
      </c>
      <c r="C631" s="9">
        <v>45935</v>
      </c>
      <c r="D631" t="s">
        <v>812</v>
      </c>
      <c r="E631" t="s">
        <v>813</v>
      </c>
      <c r="F631" t="s">
        <v>152</v>
      </c>
      <c r="G631" t="s">
        <v>75</v>
      </c>
      <c r="H631" t="s">
        <v>273</v>
      </c>
      <c r="I631" t="s">
        <v>274</v>
      </c>
      <c r="J631" t="s">
        <v>219</v>
      </c>
      <c r="K631" t="s">
        <v>168</v>
      </c>
      <c r="L631" t="s">
        <v>249</v>
      </c>
      <c r="M631" t="s">
        <v>250</v>
      </c>
      <c r="N631" t="s">
        <v>103</v>
      </c>
      <c r="O631" t="s">
        <v>251</v>
      </c>
      <c r="P631" s="8">
        <v>9</v>
      </c>
      <c r="Q631" s="10">
        <v>22.31</v>
      </c>
      <c r="R631" s="11">
        <v>0.01</v>
      </c>
      <c r="S631" s="10">
        <v>7.6</v>
      </c>
      <c r="T631" t="s">
        <v>105</v>
      </c>
      <c r="U631" t="s">
        <v>85</v>
      </c>
      <c r="V631" s="8">
        <v>5</v>
      </c>
      <c r="W631" t="s">
        <v>1270</v>
      </c>
      <c r="X631" t="str">
        <f>_xlfn.XLOOKUP(Cleaned_data[[#This Row],[Customer_ID]],Customers[S],Customers[Loyalty_Tier])</f>
        <v>Platinum</v>
      </c>
      <c r="Y631" s="9">
        <f>_xlfn.XLOOKUP(Cleaned_data[[#This Row],[Customer_ID]],Customers[S],Customers[Signup_Date])</f>
        <v>45828</v>
      </c>
      <c r="Z631" s="12">
        <f>_xlfn.XLOOKUP(Cleaned_data[[#This Row],[SKU]],Products[SKU],Products[Standard_Cost])</f>
        <v>10</v>
      </c>
      <c r="AA631" s="10">
        <f>Cleaned_data[[#This Row],[Quantity]]*Cleaned_data[[#This Row],[Unit_Price]]</f>
        <v>200.79</v>
      </c>
      <c r="AB631" s="10">
        <f>Cleaned_data[[#This Row],[Unit_Price]]*Cleaned_data[[#This Row],[Discount_Pct]]</f>
        <v>0.22309999999999999</v>
      </c>
      <c r="AC631" s="10">
        <f>Cleaned_data[[#This Row],[Gross Sales]]-Cleaned_data[[#This Row],[Discount amount]]</f>
        <v>200.5669</v>
      </c>
      <c r="AD631" s="10">
        <f>Cleaned_data[[#This Row],[Product Cost]]*Cleaned_data[[#This Row],[Quantity]]</f>
        <v>90</v>
      </c>
      <c r="AE631" s="10">
        <f>Cleaned_data[[#This Row],[Net Sales]]-Cleaned_data[[#This Row],[COGS]]</f>
        <v>110.5669</v>
      </c>
      <c r="AF631" s="11">
        <f>Cleaned_data[[#This Row],[Gross Profit]]/Cleaned_data[[#This Row],[Net Sales]]</f>
        <v>0.5512719197434871</v>
      </c>
      <c r="AG631">
        <f>Cleaned_data[[#This Row],[Ship_Date]]-Cleaned_data[[#This Row],[Order_Date]]</f>
        <v>2</v>
      </c>
      <c r="AH631" t="str">
        <f>IF(Cleaned_data[[#This Row],[Delivery Days]]&gt;10,"late","on time")</f>
        <v>on time</v>
      </c>
      <c r="AI631" t="str">
        <f>TEXT(Cleaned_data[[#This Row],[Order_Date]],"mmmm")</f>
        <v>October</v>
      </c>
      <c r="AJ631" s="9" t="str">
        <f>"Q"&amp;ROUNDUP(MONTH(Cleaned_data[[#This Row],[Order_Date]])/3,0)</f>
        <v>Q4</v>
      </c>
    </row>
    <row r="632" spans="1:36">
      <c r="A632" t="s">
        <v>1127</v>
      </c>
      <c r="B632" s="9">
        <v>45933</v>
      </c>
      <c r="C632" s="9">
        <v>45939</v>
      </c>
      <c r="D632" t="s">
        <v>704</v>
      </c>
      <c r="E632" t="s">
        <v>705</v>
      </c>
      <c r="F632" t="s">
        <v>89</v>
      </c>
      <c r="G632" t="s">
        <v>138</v>
      </c>
      <c r="H632" t="s">
        <v>186</v>
      </c>
      <c r="I632" t="s">
        <v>187</v>
      </c>
      <c r="J632" t="s">
        <v>109</v>
      </c>
      <c r="K632" t="s">
        <v>100</v>
      </c>
      <c r="L632" t="s">
        <v>242</v>
      </c>
      <c r="M632" t="s">
        <v>243</v>
      </c>
      <c r="N632" t="s">
        <v>120</v>
      </c>
      <c r="O632" t="s">
        <v>133</v>
      </c>
      <c r="P632" s="8">
        <v>2</v>
      </c>
      <c r="Q632" s="10">
        <v>199.42</v>
      </c>
      <c r="R632" s="11">
        <v>0.09</v>
      </c>
      <c r="S632" s="10">
        <v>7.8</v>
      </c>
      <c r="T632" t="s">
        <v>84</v>
      </c>
      <c r="U632" t="s">
        <v>85</v>
      </c>
      <c r="V632" s="8">
        <v>5</v>
      </c>
      <c r="W632" t="s">
        <v>1270</v>
      </c>
      <c r="X632" t="str">
        <f>_xlfn.XLOOKUP(Cleaned_data[[#This Row],[Customer_ID]],Customers[S],Customers[Loyalty_Tier])</f>
        <v>Silver</v>
      </c>
      <c r="Y632" s="9">
        <f>_xlfn.XLOOKUP(Cleaned_data[[#This Row],[Customer_ID]],Customers[S],Customers[Signup_Date])</f>
        <v>45403</v>
      </c>
      <c r="Z632" s="12">
        <f>_xlfn.XLOOKUP(Cleaned_data[[#This Row],[SKU]],Products[SKU],Products[Standard_Cost])</f>
        <v>96</v>
      </c>
      <c r="AA632" s="10">
        <f>Cleaned_data[[#This Row],[Quantity]]*Cleaned_data[[#This Row],[Unit_Price]]</f>
        <v>398.84</v>
      </c>
      <c r="AB632" s="10">
        <f>Cleaned_data[[#This Row],[Unit_Price]]*Cleaned_data[[#This Row],[Discount_Pct]]</f>
        <v>17.947799999999997</v>
      </c>
      <c r="AC632" s="10">
        <f>Cleaned_data[[#This Row],[Gross Sales]]-Cleaned_data[[#This Row],[Discount amount]]</f>
        <v>380.8922</v>
      </c>
      <c r="AD632" s="10">
        <f>Cleaned_data[[#This Row],[Product Cost]]*Cleaned_data[[#This Row],[Quantity]]</f>
        <v>192</v>
      </c>
      <c r="AE632" s="10">
        <f>Cleaned_data[[#This Row],[Net Sales]]-Cleaned_data[[#This Row],[COGS]]</f>
        <v>188.8922</v>
      </c>
      <c r="AF632" s="11">
        <f>Cleaned_data[[#This Row],[Gross Profit]]/Cleaned_data[[#This Row],[Net Sales]]</f>
        <v>0.495920368020138</v>
      </c>
      <c r="AG632">
        <f>Cleaned_data[[#This Row],[Ship_Date]]-Cleaned_data[[#This Row],[Order_Date]]</f>
        <v>6</v>
      </c>
      <c r="AH632" t="str">
        <f>IF(Cleaned_data[[#This Row],[Delivery Days]]&gt;10,"late","on time")</f>
        <v>on time</v>
      </c>
      <c r="AI632" t="str">
        <f>TEXT(Cleaned_data[[#This Row],[Order_Date]],"mmmm")</f>
        <v>October</v>
      </c>
      <c r="AJ632" s="9" t="str">
        <f>"Q"&amp;ROUNDUP(MONTH(Cleaned_data[[#This Row],[Order_Date]])/3,0)</f>
        <v>Q4</v>
      </c>
    </row>
    <row r="633" spans="1:36">
      <c r="A633" t="s">
        <v>1128</v>
      </c>
      <c r="B633" s="9">
        <v>45933</v>
      </c>
      <c r="C633" s="9">
        <v>45942</v>
      </c>
      <c r="D633" t="s">
        <v>463</v>
      </c>
      <c r="E633" t="s">
        <v>464</v>
      </c>
      <c r="F633" t="s">
        <v>152</v>
      </c>
      <c r="G633" t="s">
        <v>194</v>
      </c>
      <c r="H633" t="s">
        <v>202</v>
      </c>
      <c r="I633" t="s">
        <v>203</v>
      </c>
      <c r="J633" t="s">
        <v>78</v>
      </c>
      <c r="K633" t="s">
        <v>79</v>
      </c>
      <c r="L633" t="s">
        <v>359</v>
      </c>
      <c r="M633" t="s">
        <v>360</v>
      </c>
      <c r="N633" t="s">
        <v>93</v>
      </c>
      <c r="O633" t="s">
        <v>94</v>
      </c>
      <c r="P633" s="8">
        <v>3</v>
      </c>
      <c r="Q633" s="10">
        <v>437.89</v>
      </c>
      <c r="R633" s="11">
        <v>0.09</v>
      </c>
      <c r="S633" s="10">
        <v>26.27</v>
      </c>
      <c r="T633" t="s">
        <v>105</v>
      </c>
      <c r="U633" t="s">
        <v>85</v>
      </c>
      <c r="V633" s="8">
        <v>1</v>
      </c>
      <c r="W633" t="s">
        <v>1270</v>
      </c>
      <c r="X633" t="str">
        <f>_xlfn.XLOOKUP(Cleaned_data[[#This Row],[Customer_ID]],Customers[S],Customers[Loyalty_Tier])</f>
        <v>Silver</v>
      </c>
      <c r="Y633" s="9">
        <f>_xlfn.XLOOKUP(Cleaned_data[[#This Row],[Customer_ID]],Customers[S],Customers[Signup_Date])</f>
        <v>45862</v>
      </c>
      <c r="Z633" s="12">
        <f>_xlfn.XLOOKUP(Cleaned_data[[#This Row],[SKU]],Products[SKU],Products[Standard_Cost])</f>
        <v>265</v>
      </c>
      <c r="AA633" s="10">
        <f>Cleaned_data[[#This Row],[Quantity]]*Cleaned_data[[#This Row],[Unit_Price]]</f>
        <v>1313.67</v>
      </c>
      <c r="AB633" s="10">
        <f>Cleaned_data[[#This Row],[Unit_Price]]*Cleaned_data[[#This Row],[Discount_Pct]]</f>
        <v>39.4101</v>
      </c>
      <c r="AC633" s="10">
        <f>Cleaned_data[[#This Row],[Gross Sales]]-Cleaned_data[[#This Row],[Discount amount]]</f>
        <v>1274.2599</v>
      </c>
      <c r="AD633" s="10">
        <f>Cleaned_data[[#This Row],[Product Cost]]*Cleaned_data[[#This Row],[Quantity]]</f>
        <v>795</v>
      </c>
      <c r="AE633" s="10">
        <f>Cleaned_data[[#This Row],[Net Sales]]-Cleaned_data[[#This Row],[COGS]]</f>
        <v>479.25990000000002</v>
      </c>
      <c r="AF633" s="11">
        <f>Cleaned_data[[#This Row],[Gross Profit]]/Cleaned_data[[#This Row],[Net Sales]]</f>
        <v>0.37610843753303391</v>
      </c>
      <c r="AG633">
        <f>Cleaned_data[[#This Row],[Ship_Date]]-Cleaned_data[[#This Row],[Order_Date]]</f>
        <v>9</v>
      </c>
      <c r="AH633" t="str">
        <f>IF(Cleaned_data[[#This Row],[Delivery Days]]&gt;10,"late","on time")</f>
        <v>on time</v>
      </c>
      <c r="AI633" t="str">
        <f>TEXT(Cleaned_data[[#This Row],[Order_Date]],"mmmm")</f>
        <v>October</v>
      </c>
      <c r="AJ633" s="9" t="str">
        <f>"Q"&amp;ROUNDUP(MONTH(Cleaned_data[[#This Row],[Order_Date]])/3,0)</f>
        <v>Q4</v>
      </c>
    </row>
    <row r="634" spans="1:36">
      <c r="A634" t="s">
        <v>1129</v>
      </c>
      <c r="B634" s="9">
        <v>45935</v>
      </c>
      <c r="C634" s="9">
        <v>45945</v>
      </c>
      <c r="D634" t="s">
        <v>482</v>
      </c>
      <c r="E634" t="s">
        <v>483</v>
      </c>
      <c r="F634" t="s">
        <v>74</v>
      </c>
      <c r="G634" t="s">
        <v>194</v>
      </c>
      <c r="H634" t="s">
        <v>240</v>
      </c>
      <c r="I634" t="s">
        <v>241</v>
      </c>
      <c r="J634" t="s">
        <v>219</v>
      </c>
      <c r="K634" t="s">
        <v>147</v>
      </c>
      <c r="L634" t="s">
        <v>91</v>
      </c>
      <c r="M634" t="s">
        <v>92</v>
      </c>
      <c r="N634" t="s">
        <v>93</v>
      </c>
      <c r="O634" t="s">
        <v>94</v>
      </c>
      <c r="P634" s="8">
        <v>2</v>
      </c>
      <c r="Q634" s="10">
        <v>310</v>
      </c>
      <c r="R634" s="11">
        <v>0.04</v>
      </c>
      <c r="S634" s="10">
        <v>18.79</v>
      </c>
      <c r="T634" t="s">
        <v>105</v>
      </c>
      <c r="U634" t="s">
        <v>85</v>
      </c>
      <c r="V634" s="8">
        <v>2</v>
      </c>
      <c r="W634" t="s">
        <v>1270</v>
      </c>
      <c r="X634" t="str">
        <f>_xlfn.XLOOKUP(Cleaned_data[[#This Row],[Customer_ID]],Customers[S],Customers[Loyalty_Tier])</f>
        <v>Platinum</v>
      </c>
      <c r="Y634" s="9">
        <f>_xlfn.XLOOKUP(Cleaned_data[[#This Row],[Customer_ID]],Customers[S],Customers[Signup_Date])</f>
        <v>44396</v>
      </c>
      <c r="Z634" s="12">
        <f>_xlfn.XLOOKUP(Cleaned_data[[#This Row],[SKU]],Products[SKU],Products[Standard_Cost])</f>
        <v>184</v>
      </c>
      <c r="AA634" s="10">
        <f>Cleaned_data[[#This Row],[Quantity]]*Cleaned_data[[#This Row],[Unit_Price]]</f>
        <v>620</v>
      </c>
      <c r="AB634" s="10">
        <f>Cleaned_data[[#This Row],[Unit_Price]]*Cleaned_data[[#This Row],[Discount_Pct]]</f>
        <v>12.4</v>
      </c>
      <c r="AC634" s="10">
        <f>Cleaned_data[[#This Row],[Gross Sales]]-Cleaned_data[[#This Row],[Discount amount]]</f>
        <v>607.6</v>
      </c>
      <c r="AD634" s="10">
        <f>Cleaned_data[[#This Row],[Product Cost]]*Cleaned_data[[#This Row],[Quantity]]</f>
        <v>368</v>
      </c>
      <c r="AE634" s="10">
        <f>Cleaned_data[[#This Row],[Net Sales]]-Cleaned_data[[#This Row],[COGS]]</f>
        <v>239.60000000000002</v>
      </c>
      <c r="AF634" s="11">
        <f>Cleaned_data[[#This Row],[Gross Profit]]/Cleaned_data[[#This Row],[Net Sales]]</f>
        <v>0.39433838051349573</v>
      </c>
      <c r="AG634">
        <f>Cleaned_data[[#This Row],[Ship_Date]]-Cleaned_data[[#This Row],[Order_Date]]</f>
        <v>10</v>
      </c>
      <c r="AH634" t="str">
        <f>IF(Cleaned_data[[#This Row],[Delivery Days]]&gt;10,"late","on time")</f>
        <v>on time</v>
      </c>
      <c r="AI634" t="str">
        <f>TEXT(Cleaned_data[[#This Row],[Order_Date]],"mmmm")</f>
        <v>October</v>
      </c>
      <c r="AJ634" s="9" t="str">
        <f>"Q"&amp;ROUNDUP(MONTH(Cleaned_data[[#This Row],[Order_Date]])/3,0)</f>
        <v>Q4</v>
      </c>
    </row>
    <row r="635" spans="1:36">
      <c r="A635" t="s">
        <v>1130</v>
      </c>
      <c r="B635" s="9">
        <v>45935</v>
      </c>
      <c r="C635" s="9">
        <v>45951</v>
      </c>
      <c r="D635" t="s">
        <v>605</v>
      </c>
      <c r="E635" t="s">
        <v>606</v>
      </c>
      <c r="F635" t="s">
        <v>74</v>
      </c>
      <c r="G635" t="s">
        <v>138</v>
      </c>
      <c r="H635" t="s">
        <v>153</v>
      </c>
      <c r="I635" t="s">
        <v>154</v>
      </c>
      <c r="J635" t="s">
        <v>78</v>
      </c>
      <c r="K635" t="s">
        <v>130</v>
      </c>
      <c r="L635" t="s">
        <v>101</v>
      </c>
      <c r="M635" t="s">
        <v>102</v>
      </c>
      <c r="N635" t="s">
        <v>103</v>
      </c>
      <c r="O635" t="s">
        <v>104</v>
      </c>
      <c r="P635" s="8">
        <v>5</v>
      </c>
      <c r="Q635" s="10">
        <v>71.48</v>
      </c>
      <c r="R635" s="11">
        <v>0.03</v>
      </c>
      <c r="S635" s="10">
        <v>10.53</v>
      </c>
      <c r="T635" t="s">
        <v>134</v>
      </c>
      <c r="U635" t="s">
        <v>85</v>
      </c>
      <c r="V635" s="8">
        <v>5</v>
      </c>
      <c r="W635" t="s">
        <v>1270</v>
      </c>
      <c r="X635" t="str">
        <f>_xlfn.XLOOKUP(Cleaned_data[[#This Row],[Customer_ID]],Customers[S],Customers[Loyalty_Tier])</f>
        <v>Platinum</v>
      </c>
      <c r="Y635" s="9">
        <f>_xlfn.XLOOKUP(Cleaned_data[[#This Row],[Customer_ID]],Customers[S],Customers[Signup_Date])</f>
        <v>44450</v>
      </c>
      <c r="Z635" s="12">
        <f>_xlfn.XLOOKUP(Cleaned_data[[#This Row],[SKU]],Products[SKU],Products[Standard_Cost])</f>
        <v>36</v>
      </c>
      <c r="AA635" s="10">
        <f>Cleaned_data[[#This Row],[Quantity]]*Cleaned_data[[#This Row],[Unit_Price]]</f>
        <v>357.40000000000003</v>
      </c>
      <c r="AB635" s="10">
        <f>Cleaned_data[[#This Row],[Unit_Price]]*Cleaned_data[[#This Row],[Discount_Pct]]</f>
        <v>2.1444000000000001</v>
      </c>
      <c r="AC635" s="10">
        <f>Cleaned_data[[#This Row],[Gross Sales]]-Cleaned_data[[#This Row],[Discount amount]]</f>
        <v>355.25560000000002</v>
      </c>
      <c r="AD635" s="10">
        <f>Cleaned_data[[#This Row],[Product Cost]]*Cleaned_data[[#This Row],[Quantity]]</f>
        <v>180</v>
      </c>
      <c r="AE635" s="10">
        <f>Cleaned_data[[#This Row],[Net Sales]]-Cleaned_data[[#This Row],[COGS]]</f>
        <v>175.25560000000002</v>
      </c>
      <c r="AF635" s="11">
        <f>Cleaned_data[[#This Row],[Gross Profit]]/Cleaned_data[[#This Row],[Net Sales]]</f>
        <v>0.49332255423982058</v>
      </c>
      <c r="AG635">
        <f>Cleaned_data[[#This Row],[Ship_Date]]-Cleaned_data[[#This Row],[Order_Date]]</f>
        <v>16</v>
      </c>
      <c r="AH635" t="str">
        <f>IF(Cleaned_data[[#This Row],[Delivery Days]]&gt;10,"late","on time")</f>
        <v>late</v>
      </c>
      <c r="AI635" t="str">
        <f>TEXT(Cleaned_data[[#This Row],[Order_Date]],"mmmm")</f>
        <v>October</v>
      </c>
      <c r="AJ635" s="9" t="str">
        <f>"Q"&amp;ROUNDUP(MONTH(Cleaned_data[[#This Row],[Order_Date]])/3,0)</f>
        <v>Q4</v>
      </c>
    </row>
    <row r="636" spans="1:36">
      <c r="A636" t="s">
        <v>1131</v>
      </c>
      <c r="B636" s="9">
        <v>45936</v>
      </c>
      <c r="C636" s="9">
        <v>45940</v>
      </c>
      <c r="D636" t="s">
        <v>474</v>
      </c>
      <c r="E636" t="s">
        <v>475</v>
      </c>
      <c r="F636" t="s">
        <v>74</v>
      </c>
      <c r="G636" t="s">
        <v>138</v>
      </c>
      <c r="H636" t="s">
        <v>153</v>
      </c>
      <c r="I636" t="s">
        <v>154</v>
      </c>
      <c r="J636" t="s">
        <v>78</v>
      </c>
      <c r="K636" t="s">
        <v>147</v>
      </c>
      <c r="L636" t="s">
        <v>249</v>
      </c>
      <c r="M636" t="s">
        <v>250</v>
      </c>
      <c r="N636" t="s">
        <v>103</v>
      </c>
      <c r="O636" t="s">
        <v>251</v>
      </c>
      <c r="P636" s="8">
        <v>2</v>
      </c>
      <c r="Q636" s="10">
        <v>21.26</v>
      </c>
      <c r="R636" s="11">
        <v>0.06</v>
      </c>
      <c r="S636" s="10">
        <v>10.35</v>
      </c>
      <c r="T636" t="s">
        <v>122</v>
      </c>
      <c r="U636" t="s">
        <v>85</v>
      </c>
      <c r="V636" s="8">
        <v>1</v>
      </c>
      <c r="W636" t="s">
        <v>1270</v>
      </c>
      <c r="X636" t="str">
        <f>_xlfn.XLOOKUP(Cleaned_data[[#This Row],[Customer_ID]],Customers[S],Customers[Loyalty_Tier])</f>
        <v>Platinum</v>
      </c>
      <c r="Y636" s="9">
        <f>_xlfn.XLOOKUP(Cleaned_data[[#This Row],[Customer_ID]],Customers[S],Customers[Signup_Date])</f>
        <v>45020</v>
      </c>
      <c r="Z636" s="12">
        <f>_xlfn.XLOOKUP(Cleaned_data[[#This Row],[SKU]],Products[SKU],Products[Standard_Cost])</f>
        <v>10</v>
      </c>
      <c r="AA636" s="10">
        <f>Cleaned_data[[#This Row],[Quantity]]*Cleaned_data[[#This Row],[Unit_Price]]</f>
        <v>42.52</v>
      </c>
      <c r="AB636" s="10">
        <f>Cleaned_data[[#This Row],[Unit_Price]]*Cleaned_data[[#This Row],[Discount_Pct]]</f>
        <v>1.2756000000000001</v>
      </c>
      <c r="AC636" s="10">
        <f>Cleaned_data[[#This Row],[Gross Sales]]-Cleaned_data[[#This Row],[Discount amount]]</f>
        <v>41.244400000000006</v>
      </c>
      <c r="AD636" s="10">
        <f>Cleaned_data[[#This Row],[Product Cost]]*Cleaned_data[[#This Row],[Quantity]]</f>
        <v>20</v>
      </c>
      <c r="AE636" s="10">
        <f>Cleaned_data[[#This Row],[Net Sales]]-Cleaned_data[[#This Row],[COGS]]</f>
        <v>21.244400000000006</v>
      </c>
      <c r="AF636" s="11">
        <f>Cleaned_data[[#This Row],[Gross Profit]]/Cleaned_data[[#This Row],[Net Sales]]</f>
        <v>0.51508568435957369</v>
      </c>
      <c r="AG636">
        <f>Cleaned_data[[#This Row],[Ship_Date]]-Cleaned_data[[#This Row],[Order_Date]]</f>
        <v>4</v>
      </c>
      <c r="AH636" t="str">
        <f>IF(Cleaned_data[[#This Row],[Delivery Days]]&gt;10,"late","on time")</f>
        <v>on time</v>
      </c>
      <c r="AI636" t="str">
        <f>TEXT(Cleaned_data[[#This Row],[Order_Date]],"mmmm")</f>
        <v>October</v>
      </c>
      <c r="AJ636" s="9" t="str">
        <f>"Q"&amp;ROUNDUP(MONTH(Cleaned_data[[#This Row],[Order_Date]])/3,0)</f>
        <v>Q4</v>
      </c>
    </row>
    <row r="637" spans="1:36">
      <c r="A637" t="s">
        <v>1132</v>
      </c>
      <c r="B637" s="9">
        <v>45937</v>
      </c>
      <c r="C637" s="9">
        <v>45947</v>
      </c>
      <c r="D637" t="s">
        <v>876</v>
      </c>
      <c r="E637" t="s">
        <v>877</v>
      </c>
      <c r="F637" t="s">
        <v>74</v>
      </c>
      <c r="G637" t="s">
        <v>138</v>
      </c>
      <c r="H637" t="s">
        <v>153</v>
      </c>
      <c r="I637" t="s">
        <v>154</v>
      </c>
      <c r="J637" t="s">
        <v>78</v>
      </c>
      <c r="K637" t="s">
        <v>130</v>
      </c>
      <c r="L637" t="s">
        <v>91</v>
      </c>
      <c r="M637" t="s">
        <v>92</v>
      </c>
      <c r="N637" t="s">
        <v>93</v>
      </c>
      <c r="O637" t="s">
        <v>94</v>
      </c>
      <c r="P637" s="8">
        <v>2</v>
      </c>
      <c r="Q637" s="10">
        <v>348.06</v>
      </c>
      <c r="R637" s="11">
        <v>0.34</v>
      </c>
      <c r="S637" s="10">
        <v>22.75</v>
      </c>
      <c r="T637" t="s">
        <v>105</v>
      </c>
      <c r="U637" t="s">
        <v>85</v>
      </c>
      <c r="V637" s="8">
        <v>2</v>
      </c>
      <c r="W637" t="s">
        <v>1270</v>
      </c>
      <c r="X637" t="str">
        <f>_xlfn.XLOOKUP(Cleaned_data[[#This Row],[Customer_ID]],Customers[S],Customers[Loyalty_Tier])</f>
        <v>Silver</v>
      </c>
      <c r="Y637" s="9">
        <f>_xlfn.XLOOKUP(Cleaned_data[[#This Row],[Customer_ID]],Customers[S],Customers[Signup_Date])</f>
        <v>45704</v>
      </c>
      <c r="Z637" s="12">
        <f>_xlfn.XLOOKUP(Cleaned_data[[#This Row],[SKU]],Products[SKU],Products[Standard_Cost])</f>
        <v>184</v>
      </c>
      <c r="AA637" s="10">
        <f>Cleaned_data[[#This Row],[Quantity]]*Cleaned_data[[#This Row],[Unit_Price]]</f>
        <v>696.12</v>
      </c>
      <c r="AB637" s="10">
        <f>Cleaned_data[[#This Row],[Unit_Price]]*Cleaned_data[[#This Row],[Discount_Pct]]</f>
        <v>118.3404</v>
      </c>
      <c r="AC637" s="10">
        <f>Cleaned_data[[#This Row],[Gross Sales]]-Cleaned_data[[#This Row],[Discount amount]]</f>
        <v>577.77959999999996</v>
      </c>
      <c r="AD637" s="10">
        <f>Cleaned_data[[#This Row],[Product Cost]]*Cleaned_data[[#This Row],[Quantity]]</f>
        <v>368</v>
      </c>
      <c r="AE637" s="10">
        <f>Cleaned_data[[#This Row],[Net Sales]]-Cleaned_data[[#This Row],[COGS]]</f>
        <v>209.77959999999996</v>
      </c>
      <c r="AF637" s="11">
        <f>Cleaned_data[[#This Row],[Gross Profit]]/Cleaned_data[[#This Row],[Net Sales]]</f>
        <v>0.36307893182798417</v>
      </c>
      <c r="AG637">
        <f>Cleaned_data[[#This Row],[Ship_Date]]-Cleaned_data[[#This Row],[Order_Date]]</f>
        <v>10</v>
      </c>
      <c r="AH637" t="str">
        <f>IF(Cleaned_data[[#This Row],[Delivery Days]]&gt;10,"late","on time")</f>
        <v>on time</v>
      </c>
      <c r="AI637" t="str">
        <f>TEXT(Cleaned_data[[#This Row],[Order_Date]],"mmmm")</f>
        <v>October</v>
      </c>
      <c r="AJ637" s="9" t="str">
        <f>"Q"&amp;ROUNDUP(MONTH(Cleaned_data[[#This Row],[Order_Date]])/3,0)</f>
        <v>Q4</v>
      </c>
    </row>
    <row r="638" spans="1:36">
      <c r="A638" t="s">
        <v>1133</v>
      </c>
      <c r="B638" s="9">
        <v>45938</v>
      </c>
      <c r="C638" s="9">
        <v>45947</v>
      </c>
      <c r="D638" t="s">
        <v>96</v>
      </c>
      <c r="E638" t="s">
        <v>97</v>
      </c>
      <c r="F638" t="s">
        <v>74</v>
      </c>
      <c r="G638" t="s">
        <v>75</v>
      </c>
      <c r="H638" t="s">
        <v>98</v>
      </c>
      <c r="I638" t="s">
        <v>99</v>
      </c>
      <c r="J638" t="s">
        <v>129</v>
      </c>
      <c r="K638" t="s">
        <v>147</v>
      </c>
      <c r="L638" t="s">
        <v>359</v>
      </c>
      <c r="M638" t="s">
        <v>360</v>
      </c>
      <c r="N638" t="s">
        <v>93</v>
      </c>
      <c r="O638" t="s">
        <v>94</v>
      </c>
      <c r="P638" s="8">
        <v>1</v>
      </c>
      <c r="Q638" s="10">
        <v>461.04</v>
      </c>
      <c r="R638" s="11">
        <v>0.06</v>
      </c>
      <c r="S638" s="10">
        <v>23.38</v>
      </c>
      <c r="T638" t="s">
        <v>105</v>
      </c>
      <c r="U638" t="s">
        <v>85</v>
      </c>
      <c r="V638" s="8">
        <v>3</v>
      </c>
      <c r="W638" t="s">
        <v>1270</v>
      </c>
      <c r="X638" t="str">
        <f>_xlfn.XLOOKUP(Cleaned_data[[#This Row],[Customer_ID]],Customers[S],Customers[Loyalty_Tier])</f>
        <v>Platinum</v>
      </c>
      <c r="Y638" s="9">
        <f>_xlfn.XLOOKUP(Cleaned_data[[#This Row],[Customer_ID]],Customers[S],Customers[Signup_Date])</f>
        <v>44461</v>
      </c>
      <c r="Z638" s="12">
        <f>_xlfn.XLOOKUP(Cleaned_data[[#This Row],[SKU]],Products[SKU],Products[Standard_Cost])</f>
        <v>265</v>
      </c>
      <c r="AA638" s="10">
        <f>Cleaned_data[[#This Row],[Quantity]]*Cleaned_data[[#This Row],[Unit_Price]]</f>
        <v>461.04</v>
      </c>
      <c r="AB638" s="10">
        <f>Cleaned_data[[#This Row],[Unit_Price]]*Cleaned_data[[#This Row],[Discount_Pct]]</f>
        <v>27.662400000000002</v>
      </c>
      <c r="AC638" s="10">
        <f>Cleaned_data[[#This Row],[Gross Sales]]-Cleaned_data[[#This Row],[Discount amount]]</f>
        <v>433.37760000000003</v>
      </c>
      <c r="AD638" s="10">
        <f>Cleaned_data[[#This Row],[Product Cost]]*Cleaned_data[[#This Row],[Quantity]]</f>
        <v>265</v>
      </c>
      <c r="AE638" s="10">
        <f>Cleaned_data[[#This Row],[Net Sales]]-Cleaned_data[[#This Row],[COGS]]</f>
        <v>168.37760000000003</v>
      </c>
      <c r="AF638" s="11">
        <f>Cleaned_data[[#This Row],[Gross Profit]]/Cleaned_data[[#This Row],[Net Sales]]</f>
        <v>0.38852400308645396</v>
      </c>
      <c r="AG638">
        <f>Cleaned_data[[#This Row],[Ship_Date]]-Cleaned_data[[#This Row],[Order_Date]]</f>
        <v>9</v>
      </c>
      <c r="AH638" t="str">
        <f>IF(Cleaned_data[[#This Row],[Delivery Days]]&gt;10,"late","on time")</f>
        <v>on time</v>
      </c>
      <c r="AI638" t="str">
        <f>TEXT(Cleaned_data[[#This Row],[Order_Date]],"mmmm")</f>
        <v>October</v>
      </c>
      <c r="AJ638" s="9" t="str">
        <f>"Q"&amp;ROUNDUP(MONTH(Cleaned_data[[#This Row],[Order_Date]])/3,0)</f>
        <v>Q4</v>
      </c>
    </row>
    <row r="639" spans="1:36">
      <c r="A639" t="s">
        <v>1134</v>
      </c>
      <c r="B639" s="9">
        <v>45938</v>
      </c>
      <c r="C639" s="9">
        <v>45947</v>
      </c>
      <c r="D639" t="s">
        <v>497</v>
      </c>
      <c r="E639" t="s">
        <v>498</v>
      </c>
      <c r="F639" t="s">
        <v>89</v>
      </c>
      <c r="G639" t="s">
        <v>126</v>
      </c>
      <c r="H639" t="s">
        <v>291</v>
      </c>
      <c r="I639" t="s">
        <v>292</v>
      </c>
      <c r="J639" t="s">
        <v>109</v>
      </c>
      <c r="K639" t="s">
        <v>90</v>
      </c>
      <c r="L639" t="s">
        <v>175</v>
      </c>
      <c r="M639" t="s">
        <v>176</v>
      </c>
      <c r="N639" t="s">
        <v>93</v>
      </c>
      <c r="O639" t="s">
        <v>177</v>
      </c>
      <c r="P639" s="8">
        <v>2</v>
      </c>
      <c r="Q639" s="10">
        <v>176.11</v>
      </c>
      <c r="R639" s="11">
        <v>0.01</v>
      </c>
      <c r="S639" s="10">
        <v>18.2</v>
      </c>
      <c r="T639" t="s">
        <v>84</v>
      </c>
      <c r="U639" t="s">
        <v>85</v>
      </c>
      <c r="V639" s="8">
        <v>4</v>
      </c>
      <c r="W639" t="s">
        <v>1270</v>
      </c>
      <c r="X639" t="str">
        <f>_xlfn.XLOOKUP(Cleaned_data[[#This Row],[Customer_ID]],Customers[S],Customers[Loyalty_Tier])</f>
        <v>Bronze</v>
      </c>
      <c r="Y639" s="9">
        <f>_xlfn.XLOOKUP(Cleaned_data[[#This Row],[Customer_ID]],Customers[S],Customers[Signup_Date])</f>
        <v>45384</v>
      </c>
      <c r="Z639" s="12">
        <f>_xlfn.XLOOKUP(Cleaned_data[[#This Row],[SKU]],Products[SKU],Products[Standard_Cost])</f>
        <v>88</v>
      </c>
      <c r="AA639" s="10">
        <f>Cleaned_data[[#This Row],[Quantity]]*Cleaned_data[[#This Row],[Unit_Price]]</f>
        <v>352.22</v>
      </c>
      <c r="AB639" s="10">
        <f>Cleaned_data[[#This Row],[Unit_Price]]*Cleaned_data[[#This Row],[Discount_Pct]]</f>
        <v>1.7611000000000001</v>
      </c>
      <c r="AC639" s="10">
        <f>Cleaned_data[[#This Row],[Gross Sales]]-Cleaned_data[[#This Row],[Discount amount]]</f>
        <v>350.45890000000003</v>
      </c>
      <c r="AD639" s="10">
        <f>Cleaned_data[[#This Row],[Product Cost]]*Cleaned_data[[#This Row],[Quantity]]</f>
        <v>176</v>
      </c>
      <c r="AE639" s="10">
        <f>Cleaned_data[[#This Row],[Net Sales]]-Cleaned_data[[#This Row],[COGS]]</f>
        <v>174.45890000000003</v>
      </c>
      <c r="AF639" s="11">
        <f>Cleaned_data[[#This Row],[Gross Profit]]/Cleaned_data[[#This Row],[Net Sales]]</f>
        <v>0.49780131136632572</v>
      </c>
      <c r="AG639">
        <f>Cleaned_data[[#This Row],[Ship_Date]]-Cleaned_data[[#This Row],[Order_Date]]</f>
        <v>9</v>
      </c>
      <c r="AH639" t="str">
        <f>IF(Cleaned_data[[#This Row],[Delivery Days]]&gt;10,"late","on time")</f>
        <v>on time</v>
      </c>
      <c r="AI639" t="str">
        <f>TEXT(Cleaned_data[[#This Row],[Order_Date]],"mmmm")</f>
        <v>October</v>
      </c>
      <c r="AJ639" s="9" t="str">
        <f>"Q"&amp;ROUNDUP(MONTH(Cleaned_data[[#This Row],[Order_Date]])/3,0)</f>
        <v>Q4</v>
      </c>
    </row>
    <row r="640" spans="1:36">
      <c r="A640" t="s">
        <v>1135</v>
      </c>
      <c r="B640" s="9">
        <v>45938</v>
      </c>
      <c r="C640" s="9">
        <v>45944</v>
      </c>
      <c r="D640" t="s">
        <v>445</v>
      </c>
      <c r="E640" t="s">
        <v>446</v>
      </c>
      <c r="F640" t="s">
        <v>152</v>
      </c>
      <c r="G640" t="s">
        <v>126</v>
      </c>
      <c r="H640" t="s">
        <v>160</v>
      </c>
      <c r="I640" t="s">
        <v>182</v>
      </c>
      <c r="J640" t="s">
        <v>129</v>
      </c>
      <c r="K640" t="s">
        <v>90</v>
      </c>
      <c r="L640" t="s">
        <v>110</v>
      </c>
      <c r="M640" t="s">
        <v>111</v>
      </c>
      <c r="N640" t="s">
        <v>82</v>
      </c>
      <c r="O640" t="s">
        <v>112</v>
      </c>
      <c r="P640" s="8">
        <v>4</v>
      </c>
      <c r="Q640" s="10">
        <v>331.86</v>
      </c>
      <c r="R640" s="11">
        <v>0.09</v>
      </c>
      <c r="S640" s="10">
        <v>16.34</v>
      </c>
      <c r="T640" t="s">
        <v>84</v>
      </c>
      <c r="U640" t="s">
        <v>85</v>
      </c>
      <c r="V640" s="8">
        <v>4</v>
      </c>
      <c r="W640" t="s">
        <v>1270</v>
      </c>
      <c r="X640" t="str">
        <f>_xlfn.XLOOKUP(Cleaned_data[[#This Row],[Customer_ID]],Customers[S],Customers[Loyalty_Tier])</f>
        <v>Bronze</v>
      </c>
      <c r="Y640" s="9">
        <f>_xlfn.XLOOKUP(Cleaned_data[[#This Row],[Customer_ID]],Customers[S],Customers[Signup_Date])</f>
        <v>45690</v>
      </c>
      <c r="Z640" s="12">
        <f>_xlfn.XLOOKUP(Cleaned_data[[#This Row],[SKU]],Products[SKU],Products[Standard_Cost])</f>
        <v>165</v>
      </c>
      <c r="AA640" s="10">
        <f>Cleaned_data[[#This Row],[Quantity]]*Cleaned_data[[#This Row],[Unit_Price]]</f>
        <v>1327.44</v>
      </c>
      <c r="AB640" s="10">
        <f>Cleaned_data[[#This Row],[Unit_Price]]*Cleaned_data[[#This Row],[Discount_Pct]]</f>
        <v>29.8674</v>
      </c>
      <c r="AC640" s="10">
        <f>Cleaned_data[[#This Row],[Gross Sales]]-Cleaned_data[[#This Row],[Discount amount]]</f>
        <v>1297.5726</v>
      </c>
      <c r="AD640" s="10">
        <f>Cleaned_data[[#This Row],[Product Cost]]*Cleaned_data[[#This Row],[Quantity]]</f>
        <v>660</v>
      </c>
      <c r="AE640" s="10">
        <f>Cleaned_data[[#This Row],[Net Sales]]-Cleaned_data[[#This Row],[COGS]]</f>
        <v>637.57259999999997</v>
      </c>
      <c r="AF640" s="11">
        <f>Cleaned_data[[#This Row],[Gross Profit]]/Cleaned_data[[#This Row],[Net Sales]]</f>
        <v>0.49135794020311463</v>
      </c>
      <c r="AG640">
        <f>Cleaned_data[[#This Row],[Ship_Date]]-Cleaned_data[[#This Row],[Order_Date]]</f>
        <v>6</v>
      </c>
      <c r="AH640" t="str">
        <f>IF(Cleaned_data[[#This Row],[Delivery Days]]&gt;10,"late","on time")</f>
        <v>on time</v>
      </c>
      <c r="AI640" t="str">
        <f>TEXT(Cleaned_data[[#This Row],[Order_Date]],"mmmm")</f>
        <v>October</v>
      </c>
      <c r="AJ640" s="9" t="str">
        <f>"Q"&amp;ROUNDUP(MONTH(Cleaned_data[[#This Row],[Order_Date]])/3,0)</f>
        <v>Q4</v>
      </c>
    </row>
    <row r="641" spans="1:36">
      <c r="A641" t="s">
        <v>1136</v>
      </c>
      <c r="B641" s="9">
        <v>45939</v>
      </c>
      <c r="C641" s="9">
        <v>45943</v>
      </c>
      <c r="D641" t="s">
        <v>325</v>
      </c>
      <c r="E641" t="s">
        <v>326</v>
      </c>
      <c r="F641" t="s">
        <v>74</v>
      </c>
      <c r="G641" t="s">
        <v>75</v>
      </c>
      <c r="H641" t="s">
        <v>273</v>
      </c>
      <c r="I641" t="s">
        <v>274</v>
      </c>
      <c r="J641" t="s">
        <v>78</v>
      </c>
      <c r="K641" t="s">
        <v>130</v>
      </c>
      <c r="L641" t="s">
        <v>118</v>
      </c>
      <c r="M641" t="s">
        <v>119</v>
      </c>
      <c r="N641" t="s">
        <v>120</v>
      </c>
      <c r="O641" t="s">
        <v>121</v>
      </c>
      <c r="P641" s="8">
        <v>2</v>
      </c>
      <c r="Q641" s="10">
        <v>290.77999999999997</v>
      </c>
      <c r="R641" s="11">
        <v>0.05</v>
      </c>
      <c r="S641" s="10">
        <v>17.649999999999999</v>
      </c>
      <c r="T641" t="s">
        <v>122</v>
      </c>
      <c r="U641" t="s">
        <v>85</v>
      </c>
      <c r="V641" s="8">
        <v>2</v>
      </c>
      <c r="W641" t="s">
        <v>1270</v>
      </c>
      <c r="X641" t="str">
        <f>_xlfn.XLOOKUP(Cleaned_data[[#This Row],[Customer_ID]],Customers[S],Customers[Loyalty_Tier])</f>
        <v>Bronze</v>
      </c>
      <c r="Y641" s="9">
        <f>_xlfn.XLOOKUP(Cleaned_data[[#This Row],[Customer_ID]],Customers[S],Customers[Signup_Date])</f>
        <v>44795</v>
      </c>
      <c r="Z641" s="12">
        <f>_xlfn.XLOOKUP(Cleaned_data[[#This Row],[SKU]],Products[SKU],Products[Standard_Cost])</f>
        <v>168</v>
      </c>
      <c r="AA641" s="10">
        <f>Cleaned_data[[#This Row],[Quantity]]*Cleaned_data[[#This Row],[Unit_Price]]</f>
        <v>581.55999999999995</v>
      </c>
      <c r="AB641" s="10">
        <f>Cleaned_data[[#This Row],[Unit_Price]]*Cleaned_data[[#This Row],[Discount_Pct]]</f>
        <v>14.539</v>
      </c>
      <c r="AC641" s="10">
        <f>Cleaned_data[[#This Row],[Gross Sales]]-Cleaned_data[[#This Row],[Discount amount]]</f>
        <v>567.02099999999996</v>
      </c>
      <c r="AD641" s="10">
        <f>Cleaned_data[[#This Row],[Product Cost]]*Cleaned_data[[#This Row],[Quantity]]</f>
        <v>336</v>
      </c>
      <c r="AE641" s="10">
        <f>Cleaned_data[[#This Row],[Net Sales]]-Cleaned_data[[#This Row],[COGS]]</f>
        <v>231.02099999999996</v>
      </c>
      <c r="AF641" s="11">
        <f>Cleaned_data[[#This Row],[Gross Profit]]/Cleaned_data[[#This Row],[Net Sales]]</f>
        <v>0.40742935446835299</v>
      </c>
      <c r="AG641">
        <f>Cleaned_data[[#This Row],[Ship_Date]]-Cleaned_data[[#This Row],[Order_Date]]</f>
        <v>4</v>
      </c>
      <c r="AH641" t="str">
        <f>IF(Cleaned_data[[#This Row],[Delivery Days]]&gt;10,"late","on time")</f>
        <v>on time</v>
      </c>
      <c r="AI641" t="str">
        <f>TEXT(Cleaned_data[[#This Row],[Order_Date]],"mmmm")</f>
        <v>October</v>
      </c>
      <c r="AJ641" s="9" t="str">
        <f>"Q"&amp;ROUNDUP(MONTH(Cleaned_data[[#This Row],[Order_Date]])/3,0)</f>
        <v>Q4</v>
      </c>
    </row>
    <row r="642" spans="1:36">
      <c r="A642" t="s">
        <v>1137</v>
      </c>
      <c r="B642" s="9">
        <v>45940</v>
      </c>
      <c r="C642" s="9">
        <v>45950</v>
      </c>
      <c r="D642" t="s">
        <v>841</v>
      </c>
      <c r="E642" t="s">
        <v>842</v>
      </c>
      <c r="F642" t="s">
        <v>74</v>
      </c>
      <c r="G642" t="s">
        <v>126</v>
      </c>
      <c r="H642" t="s">
        <v>160</v>
      </c>
      <c r="I642" t="s">
        <v>182</v>
      </c>
      <c r="J642" t="s">
        <v>78</v>
      </c>
      <c r="K642" t="s">
        <v>90</v>
      </c>
      <c r="L642" t="s">
        <v>254</v>
      </c>
      <c r="M642" t="s">
        <v>255</v>
      </c>
      <c r="N642" t="s">
        <v>82</v>
      </c>
      <c r="O642" t="s">
        <v>83</v>
      </c>
      <c r="P642" s="8">
        <v>10</v>
      </c>
      <c r="Q642" s="10">
        <v>95.81</v>
      </c>
      <c r="R642" s="11">
        <v>0.1</v>
      </c>
      <c r="S642" s="10">
        <v>9.1999999999999993</v>
      </c>
      <c r="T642" t="s">
        <v>134</v>
      </c>
      <c r="U642" t="s">
        <v>85</v>
      </c>
      <c r="V642" s="8">
        <v>3</v>
      </c>
      <c r="W642" t="s">
        <v>1270</v>
      </c>
      <c r="X642" t="str">
        <f>_xlfn.XLOOKUP(Cleaned_data[[#This Row],[Customer_ID]],Customers[S],Customers[Loyalty_Tier])</f>
        <v>Gold</v>
      </c>
      <c r="Y642" s="9">
        <f>_xlfn.XLOOKUP(Cleaned_data[[#This Row],[Customer_ID]],Customers[S],Customers[Signup_Date])</f>
        <v>45132</v>
      </c>
      <c r="Z642" s="12">
        <f>_xlfn.XLOOKUP(Cleaned_data[[#This Row],[SKU]],Products[SKU],Products[Standard_Cost])</f>
        <v>48</v>
      </c>
      <c r="AA642" s="10">
        <f>Cleaned_data[[#This Row],[Quantity]]*Cleaned_data[[#This Row],[Unit_Price]]</f>
        <v>958.1</v>
      </c>
      <c r="AB642" s="10">
        <f>Cleaned_data[[#This Row],[Unit_Price]]*Cleaned_data[[#This Row],[Discount_Pct]]</f>
        <v>9.5810000000000013</v>
      </c>
      <c r="AC642" s="10">
        <f>Cleaned_data[[#This Row],[Gross Sales]]-Cleaned_data[[#This Row],[Discount amount]]</f>
        <v>948.51900000000001</v>
      </c>
      <c r="AD642" s="10">
        <f>Cleaned_data[[#This Row],[Product Cost]]*Cleaned_data[[#This Row],[Quantity]]</f>
        <v>480</v>
      </c>
      <c r="AE642" s="10">
        <f>Cleaned_data[[#This Row],[Net Sales]]-Cleaned_data[[#This Row],[COGS]]</f>
        <v>468.51900000000001</v>
      </c>
      <c r="AF642" s="11">
        <f>Cleaned_data[[#This Row],[Gross Profit]]/Cleaned_data[[#This Row],[Net Sales]]</f>
        <v>0.49394793356801497</v>
      </c>
      <c r="AG642">
        <f>Cleaned_data[[#This Row],[Ship_Date]]-Cleaned_data[[#This Row],[Order_Date]]</f>
        <v>10</v>
      </c>
      <c r="AH642" t="str">
        <f>IF(Cleaned_data[[#This Row],[Delivery Days]]&gt;10,"late","on time")</f>
        <v>on time</v>
      </c>
      <c r="AI642" t="str">
        <f>TEXT(Cleaned_data[[#This Row],[Order_Date]],"mmmm")</f>
        <v>October</v>
      </c>
      <c r="AJ642" s="9" t="str">
        <f>"Q"&amp;ROUNDUP(MONTH(Cleaned_data[[#This Row],[Order_Date]])/3,0)</f>
        <v>Q4</v>
      </c>
    </row>
    <row r="643" spans="1:36">
      <c r="A643" t="s">
        <v>1138</v>
      </c>
      <c r="B643" s="9">
        <v>45943</v>
      </c>
      <c r="C643" s="9">
        <v>45952</v>
      </c>
      <c r="D643" t="s">
        <v>630</v>
      </c>
      <c r="E643" t="s">
        <v>631</v>
      </c>
      <c r="F643" t="s">
        <v>152</v>
      </c>
      <c r="G643" t="s">
        <v>126</v>
      </c>
      <c r="H643" t="s">
        <v>160</v>
      </c>
      <c r="I643" t="s">
        <v>182</v>
      </c>
      <c r="J643" t="s">
        <v>109</v>
      </c>
      <c r="K643" t="s">
        <v>168</v>
      </c>
      <c r="L643" t="s">
        <v>431</v>
      </c>
      <c r="M643" t="s">
        <v>432</v>
      </c>
      <c r="N643" t="s">
        <v>103</v>
      </c>
      <c r="O643" t="s">
        <v>251</v>
      </c>
      <c r="P643" s="8">
        <v>9</v>
      </c>
      <c r="Q643" s="10">
        <v>39.450000000000003</v>
      </c>
      <c r="R643" s="11">
        <v>0.03</v>
      </c>
      <c r="S643" s="10">
        <v>6.14</v>
      </c>
      <c r="T643" t="s">
        <v>105</v>
      </c>
      <c r="U643" t="s">
        <v>85</v>
      </c>
      <c r="V643" s="8">
        <v>2</v>
      </c>
      <c r="W643" t="s">
        <v>1270</v>
      </c>
      <c r="X643" t="str">
        <f>_xlfn.XLOOKUP(Cleaned_data[[#This Row],[Customer_ID]],Customers[S],Customers[Loyalty_Tier])</f>
        <v>Silver</v>
      </c>
      <c r="Y643" s="9">
        <f>_xlfn.XLOOKUP(Cleaned_data[[#This Row],[Customer_ID]],Customers[S],Customers[Signup_Date])</f>
        <v>44481</v>
      </c>
      <c r="Z643" s="12">
        <f>_xlfn.XLOOKUP(Cleaned_data[[#This Row],[SKU]],Products[SKU],Products[Standard_Cost])</f>
        <v>20</v>
      </c>
      <c r="AA643" s="10">
        <f>Cleaned_data[[#This Row],[Quantity]]*Cleaned_data[[#This Row],[Unit_Price]]</f>
        <v>355.05</v>
      </c>
      <c r="AB643" s="10">
        <f>Cleaned_data[[#This Row],[Unit_Price]]*Cleaned_data[[#This Row],[Discount_Pct]]</f>
        <v>1.1835</v>
      </c>
      <c r="AC643" s="10">
        <f>Cleaned_data[[#This Row],[Gross Sales]]-Cleaned_data[[#This Row],[Discount amount]]</f>
        <v>353.86650000000003</v>
      </c>
      <c r="AD643" s="10">
        <f>Cleaned_data[[#This Row],[Product Cost]]*Cleaned_data[[#This Row],[Quantity]]</f>
        <v>180</v>
      </c>
      <c r="AE643" s="10">
        <f>Cleaned_data[[#This Row],[Net Sales]]-Cleaned_data[[#This Row],[COGS]]</f>
        <v>173.86650000000003</v>
      </c>
      <c r="AF643" s="11">
        <f>Cleaned_data[[#This Row],[Gross Profit]]/Cleaned_data[[#This Row],[Net Sales]]</f>
        <v>0.49133359614430872</v>
      </c>
      <c r="AG643">
        <f>Cleaned_data[[#This Row],[Ship_Date]]-Cleaned_data[[#This Row],[Order_Date]]</f>
        <v>9</v>
      </c>
      <c r="AH643" t="str">
        <f>IF(Cleaned_data[[#This Row],[Delivery Days]]&gt;10,"late","on time")</f>
        <v>on time</v>
      </c>
      <c r="AI643" t="str">
        <f>TEXT(Cleaned_data[[#This Row],[Order_Date]],"mmmm")</f>
        <v>October</v>
      </c>
      <c r="AJ643" s="9" t="str">
        <f>"Q"&amp;ROUNDUP(MONTH(Cleaned_data[[#This Row],[Order_Date]])/3,0)</f>
        <v>Q4</v>
      </c>
    </row>
    <row r="644" spans="1:36">
      <c r="A644" t="s">
        <v>1139</v>
      </c>
      <c r="B644" s="9">
        <v>45944</v>
      </c>
      <c r="C644" s="9">
        <v>45950</v>
      </c>
      <c r="D644" t="s">
        <v>760</v>
      </c>
      <c r="E644" t="s">
        <v>761</v>
      </c>
      <c r="F644" t="s">
        <v>89</v>
      </c>
      <c r="G644" t="s">
        <v>194</v>
      </c>
      <c r="H644" t="s">
        <v>230</v>
      </c>
      <c r="I644" t="s">
        <v>231</v>
      </c>
      <c r="J644" t="s">
        <v>129</v>
      </c>
      <c r="K644" t="s">
        <v>100</v>
      </c>
      <c r="L644" t="s">
        <v>110</v>
      </c>
      <c r="M644" t="s">
        <v>111</v>
      </c>
      <c r="N644" t="s">
        <v>82</v>
      </c>
      <c r="O644" t="s">
        <v>112</v>
      </c>
      <c r="P644" s="8">
        <v>4</v>
      </c>
      <c r="Q644" s="10">
        <v>313.93</v>
      </c>
      <c r="R644" s="11">
        <v>0.04</v>
      </c>
      <c r="S644" s="10">
        <v>9.4</v>
      </c>
      <c r="T644" t="s">
        <v>105</v>
      </c>
      <c r="U644" t="s">
        <v>85</v>
      </c>
      <c r="V644" s="8">
        <v>5</v>
      </c>
      <c r="W644" t="s">
        <v>1270</v>
      </c>
      <c r="X644" t="str">
        <f>_xlfn.XLOOKUP(Cleaned_data[[#This Row],[Customer_ID]],Customers[S],Customers[Loyalty_Tier])</f>
        <v>Platinum</v>
      </c>
      <c r="Y644" s="9">
        <f>_xlfn.XLOOKUP(Cleaned_data[[#This Row],[Customer_ID]],Customers[S],Customers[Signup_Date])</f>
        <v>45555</v>
      </c>
      <c r="Z644" s="12">
        <f>_xlfn.XLOOKUP(Cleaned_data[[#This Row],[SKU]],Products[SKU],Products[Standard_Cost])</f>
        <v>165</v>
      </c>
      <c r="AA644" s="10">
        <f>Cleaned_data[[#This Row],[Quantity]]*Cleaned_data[[#This Row],[Unit_Price]]</f>
        <v>1255.72</v>
      </c>
      <c r="AB644" s="10">
        <f>Cleaned_data[[#This Row],[Unit_Price]]*Cleaned_data[[#This Row],[Discount_Pct]]</f>
        <v>12.5572</v>
      </c>
      <c r="AC644" s="10">
        <f>Cleaned_data[[#This Row],[Gross Sales]]-Cleaned_data[[#This Row],[Discount amount]]</f>
        <v>1243.1628000000001</v>
      </c>
      <c r="AD644" s="10">
        <f>Cleaned_data[[#This Row],[Product Cost]]*Cleaned_data[[#This Row],[Quantity]]</f>
        <v>660</v>
      </c>
      <c r="AE644" s="10">
        <f>Cleaned_data[[#This Row],[Net Sales]]-Cleaned_data[[#This Row],[COGS]]</f>
        <v>583.16280000000006</v>
      </c>
      <c r="AF644" s="11">
        <f>Cleaned_data[[#This Row],[Gross Profit]]/Cleaned_data[[#This Row],[Net Sales]]</f>
        <v>0.46909608299090033</v>
      </c>
      <c r="AG644">
        <f>Cleaned_data[[#This Row],[Ship_Date]]-Cleaned_data[[#This Row],[Order_Date]]</f>
        <v>6</v>
      </c>
      <c r="AH644" t="str">
        <f>IF(Cleaned_data[[#This Row],[Delivery Days]]&gt;10,"late","on time")</f>
        <v>on time</v>
      </c>
      <c r="AI644" t="str">
        <f>TEXT(Cleaned_data[[#This Row],[Order_Date]],"mmmm")</f>
        <v>October</v>
      </c>
      <c r="AJ644" s="9" t="str">
        <f>"Q"&amp;ROUNDUP(MONTH(Cleaned_data[[#This Row],[Order_Date]])/3,0)</f>
        <v>Q4</v>
      </c>
    </row>
    <row r="645" spans="1:36">
      <c r="A645" t="s">
        <v>1140</v>
      </c>
      <c r="B645" s="9">
        <v>45945</v>
      </c>
      <c r="C645" s="9">
        <v>45947</v>
      </c>
      <c r="D645" t="s">
        <v>474</v>
      </c>
      <c r="E645" t="s">
        <v>475</v>
      </c>
      <c r="F645" t="s">
        <v>74</v>
      </c>
      <c r="G645" t="s">
        <v>138</v>
      </c>
      <c r="H645" t="s">
        <v>153</v>
      </c>
      <c r="I645" t="s">
        <v>154</v>
      </c>
      <c r="J645" t="s">
        <v>219</v>
      </c>
      <c r="K645" t="s">
        <v>79</v>
      </c>
      <c r="L645" t="s">
        <v>254</v>
      </c>
      <c r="M645" t="s">
        <v>255</v>
      </c>
      <c r="N645" t="s">
        <v>82</v>
      </c>
      <c r="O645" t="s">
        <v>83</v>
      </c>
      <c r="P645" s="8">
        <v>6</v>
      </c>
      <c r="Q645" s="10">
        <v>93.25</v>
      </c>
      <c r="R645" s="11">
        <v>0.09</v>
      </c>
      <c r="S645" s="10">
        <v>8.57</v>
      </c>
      <c r="T645" t="s">
        <v>105</v>
      </c>
      <c r="U645" t="s">
        <v>85</v>
      </c>
      <c r="V645" s="8">
        <v>2</v>
      </c>
      <c r="W645" t="s">
        <v>1270</v>
      </c>
      <c r="X645" t="str">
        <f>_xlfn.XLOOKUP(Cleaned_data[[#This Row],[Customer_ID]],Customers[S],Customers[Loyalty_Tier])</f>
        <v>Platinum</v>
      </c>
      <c r="Y645" s="9">
        <f>_xlfn.XLOOKUP(Cleaned_data[[#This Row],[Customer_ID]],Customers[S],Customers[Signup_Date])</f>
        <v>45020</v>
      </c>
      <c r="Z645" s="12">
        <f>_xlfn.XLOOKUP(Cleaned_data[[#This Row],[SKU]],Products[SKU],Products[Standard_Cost])</f>
        <v>48</v>
      </c>
      <c r="AA645" s="10">
        <f>Cleaned_data[[#This Row],[Quantity]]*Cleaned_data[[#This Row],[Unit_Price]]</f>
        <v>559.5</v>
      </c>
      <c r="AB645" s="10">
        <f>Cleaned_data[[#This Row],[Unit_Price]]*Cleaned_data[[#This Row],[Discount_Pct]]</f>
        <v>8.3925000000000001</v>
      </c>
      <c r="AC645" s="10">
        <f>Cleaned_data[[#This Row],[Gross Sales]]-Cleaned_data[[#This Row],[Discount amount]]</f>
        <v>551.10749999999996</v>
      </c>
      <c r="AD645" s="10">
        <f>Cleaned_data[[#This Row],[Product Cost]]*Cleaned_data[[#This Row],[Quantity]]</f>
        <v>288</v>
      </c>
      <c r="AE645" s="10">
        <f>Cleaned_data[[#This Row],[Net Sales]]-Cleaned_data[[#This Row],[COGS]]</f>
        <v>263.10749999999996</v>
      </c>
      <c r="AF645" s="11">
        <f>Cleaned_data[[#This Row],[Gross Profit]]/Cleaned_data[[#This Row],[Net Sales]]</f>
        <v>0.47741593064873911</v>
      </c>
      <c r="AG645">
        <f>Cleaned_data[[#This Row],[Ship_Date]]-Cleaned_data[[#This Row],[Order_Date]]</f>
        <v>2</v>
      </c>
      <c r="AH645" t="str">
        <f>IF(Cleaned_data[[#This Row],[Delivery Days]]&gt;10,"late","on time")</f>
        <v>on time</v>
      </c>
      <c r="AI645" t="str">
        <f>TEXT(Cleaned_data[[#This Row],[Order_Date]],"mmmm")</f>
        <v>October</v>
      </c>
      <c r="AJ645" s="9" t="str">
        <f>"Q"&amp;ROUNDUP(MONTH(Cleaned_data[[#This Row],[Order_Date]])/3,0)</f>
        <v>Q4</v>
      </c>
    </row>
    <row r="646" spans="1:36">
      <c r="A646" t="s">
        <v>1141</v>
      </c>
      <c r="B646" s="9">
        <v>45947</v>
      </c>
      <c r="C646" s="9">
        <v>45955</v>
      </c>
      <c r="D646" t="s">
        <v>258</v>
      </c>
      <c r="E646" t="s">
        <v>259</v>
      </c>
      <c r="F646" t="s">
        <v>152</v>
      </c>
      <c r="G646" t="s">
        <v>194</v>
      </c>
      <c r="H646" t="s">
        <v>225</v>
      </c>
      <c r="I646" t="s">
        <v>226</v>
      </c>
      <c r="J646" t="s">
        <v>109</v>
      </c>
      <c r="K646" t="s">
        <v>90</v>
      </c>
      <c r="L646" t="s">
        <v>249</v>
      </c>
      <c r="M646" t="s">
        <v>250</v>
      </c>
      <c r="N646" t="s">
        <v>103</v>
      </c>
      <c r="O646" t="s">
        <v>251</v>
      </c>
      <c r="P646" s="8">
        <v>1</v>
      </c>
      <c r="Q646" s="10">
        <v>22.43</v>
      </c>
      <c r="R646" s="11">
        <v>0.02</v>
      </c>
      <c r="S646" s="10">
        <v>7.55</v>
      </c>
      <c r="T646" t="s">
        <v>122</v>
      </c>
      <c r="U646" t="s">
        <v>85</v>
      </c>
      <c r="V646" s="8">
        <v>2</v>
      </c>
      <c r="W646" t="s">
        <v>1270</v>
      </c>
      <c r="X646" t="str">
        <f>_xlfn.XLOOKUP(Cleaned_data[[#This Row],[Customer_ID]],Customers[S],Customers[Loyalty_Tier])</f>
        <v>Gold</v>
      </c>
      <c r="Y646" s="9">
        <f>_xlfn.XLOOKUP(Cleaned_data[[#This Row],[Customer_ID]],Customers[S],Customers[Signup_Date])</f>
        <v>45514</v>
      </c>
      <c r="Z646" s="12">
        <f>_xlfn.XLOOKUP(Cleaned_data[[#This Row],[SKU]],Products[SKU],Products[Standard_Cost])</f>
        <v>10</v>
      </c>
      <c r="AA646" s="10">
        <f>Cleaned_data[[#This Row],[Quantity]]*Cleaned_data[[#This Row],[Unit_Price]]</f>
        <v>22.43</v>
      </c>
      <c r="AB646" s="10">
        <f>Cleaned_data[[#This Row],[Unit_Price]]*Cleaned_data[[#This Row],[Discount_Pct]]</f>
        <v>0.4486</v>
      </c>
      <c r="AC646" s="10">
        <f>Cleaned_data[[#This Row],[Gross Sales]]-Cleaned_data[[#This Row],[Discount amount]]</f>
        <v>21.981400000000001</v>
      </c>
      <c r="AD646" s="10">
        <f>Cleaned_data[[#This Row],[Product Cost]]*Cleaned_data[[#This Row],[Quantity]]</f>
        <v>10</v>
      </c>
      <c r="AE646" s="10">
        <f>Cleaned_data[[#This Row],[Net Sales]]-Cleaned_data[[#This Row],[COGS]]</f>
        <v>11.981400000000001</v>
      </c>
      <c r="AF646" s="11">
        <f>Cleaned_data[[#This Row],[Gross Profit]]/Cleaned_data[[#This Row],[Net Sales]]</f>
        <v>0.54506992275287292</v>
      </c>
      <c r="AG646">
        <f>Cleaned_data[[#This Row],[Ship_Date]]-Cleaned_data[[#This Row],[Order_Date]]</f>
        <v>8</v>
      </c>
      <c r="AH646" t="str">
        <f>IF(Cleaned_data[[#This Row],[Delivery Days]]&gt;10,"late","on time")</f>
        <v>on time</v>
      </c>
      <c r="AI646" t="str">
        <f>TEXT(Cleaned_data[[#This Row],[Order_Date]],"mmmm")</f>
        <v>October</v>
      </c>
      <c r="AJ646" s="9" t="str">
        <f>"Q"&amp;ROUNDUP(MONTH(Cleaned_data[[#This Row],[Order_Date]])/3,0)</f>
        <v>Q4</v>
      </c>
    </row>
    <row r="647" spans="1:36">
      <c r="A647" t="s">
        <v>1142</v>
      </c>
      <c r="B647" s="9">
        <v>45948</v>
      </c>
      <c r="C647" s="9">
        <v>45956</v>
      </c>
      <c r="D647" t="s">
        <v>72</v>
      </c>
      <c r="E647" t="s">
        <v>73</v>
      </c>
      <c r="F647" t="s">
        <v>74</v>
      </c>
      <c r="G647" t="s">
        <v>75</v>
      </c>
      <c r="H647" t="s">
        <v>76</v>
      </c>
      <c r="I647" t="s">
        <v>77</v>
      </c>
      <c r="J647" t="s">
        <v>219</v>
      </c>
      <c r="K647" t="s">
        <v>90</v>
      </c>
      <c r="L647" t="s">
        <v>175</v>
      </c>
      <c r="M647" t="s">
        <v>176</v>
      </c>
      <c r="N647" t="s">
        <v>93</v>
      </c>
      <c r="O647" t="s">
        <v>177</v>
      </c>
      <c r="P647" s="8">
        <v>4</v>
      </c>
      <c r="Q647" s="10">
        <v>161.22</v>
      </c>
      <c r="R647" s="11">
        <v>0.02</v>
      </c>
      <c r="S647" s="10">
        <v>21.58</v>
      </c>
      <c r="T647" t="s">
        <v>84</v>
      </c>
      <c r="U647" t="s">
        <v>148</v>
      </c>
      <c r="V647" s="8">
        <v>5</v>
      </c>
      <c r="W647" t="s">
        <v>1270</v>
      </c>
      <c r="X647" t="str">
        <f>_xlfn.XLOOKUP(Cleaned_data[[#This Row],[Customer_ID]],Customers[S],Customers[Loyalty_Tier])</f>
        <v>Silver</v>
      </c>
      <c r="Y647" s="9">
        <f>_xlfn.XLOOKUP(Cleaned_data[[#This Row],[Customer_ID]],Customers[S],Customers[Signup_Date])</f>
        <v>45999</v>
      </c>
      <c r="Z647" s="12">
        <f>_xlfn.XLOOKUP(Cleaned_data[[#This Row],[SKU]],Products[SKU],Products[Standard_Cost])</f>
        <v>88</v>
      </c>
      <c r="AA647" s="10">
        <f>Cleaned_data[[#This Row],[Quantity]]*Cleaned_data[[#This Row],[Unit_Price]]</f>
        <v>644.88</v>
      </c>
      <c r="AB647" s="10">
        <f>Cleaned_data[[#This Row],[Unit_Price]]*Cleaned_data[[#This Row],[Discount_Pct]]</f>
        <v>3.2244000000000002</v>
      </c>
      <c r="AC647" s="10">
        <f>Cleaned_data[[#This Row],[Gross Sales]]-Cleaned_data[[#This Row],[Discount amount]]</f>
        <v>641.65560000000005</v>
      </c>
      <c r="AD647" s="10">
        <f>Cleaned_data[[#This Row],[Product Cost]]*Cleaned_data[[#This Row],[Quantity]]</f>
        <v>352</v>
      </c>
      <c r="AE647" s="10">
        <f>Cleaned_data[[#This Row],[Net Sales]]-Cleaned_data[[#This Row],[COGS]]</f>
        <v>289.65560000000005</v>
      </c>
      <c r="AF647" s="11">
        <f>Cleaned_data[[#This Row],[Gross Profit]]/Cleaned_data[[#This Row],[Net Sales]]</f>
        <v>0.45141911018932901</v>
      </c>
      <c r="AG647">
        <f>Cleaned_data[[#This Row],[Ship_Date]]-Cleaned_data[[#This Row],[Order_Date]]</f>
        <v>8</v>
      </c>
      <c r="AH647" t="str">
        <f>IF(Cleaned_data[[#This Row],[Delivery Days]]&gt;10,"late","on time")</f>
        <v>on time</v>
      </c>
      <c r="AI647" t="str">
        <f>TEXT(Cleaned_data[[#This Row],[Order_Date]],"mmmm")</f>
        <v>October</v>
      </c>
      <c r="AJ647" s="9" t="str">
        <f>"Q"&amp;ROUNDUP(MONTH(Cleaned_data[[#This Row],[Order_Date]])/3,0)</f>
        <v>Q4</v>
      </c>
    </row>
    <row r="648" spans="1:36">
      <c r="A648" t="s">
        <v>1143</v>
      </c>
      <c r="B648" s="9">
        <v>45948</v>
      </c>
      <c r="C648" s="9">
        <v>45952</v>
      </c>
      <c r="D648" t="s">
        <v>692</v>
      </c>
      <c r="E648" t="s">
        <v>193</v>
      </c>
      <c r="F648" t="s">
        <v>74</v>
      </c>
      <c r="G648" t="s">
        <v>194</v>
      </c>
      <c r="H648" t="s">
        <v>202</v>
      </c>
      <c r="I648" t="s">
        <v>203</v>
      </c>
      <c r="J648" t="s">
        <v>219</v>
      </c>
      <c r="K648" t="s">
        <v>168</v>
      </c>
      <c r="L648" t="s">
        <v>254</v>
      </c>
      <c r="M648" t="s">
        <v>255</v>
      </c>
      <c r="N648" t="s">
        <v>82</v>
      </c>
      <c r="O648" t="s">
        <v>83</v>
      </c>
      <c r="P648" s="8">
        <v>10</v>
      </c>
      <c r="Q648" s="10">
        <v>92.98</v>
      </c>
      <c r="R648" s="11">
        <v>0.01</v>
      </c>
      <c r="S648" s="10">
        <v>10.42</v>
      </c>
      <c r="T648" t="s">
        <v>134</v>
      </c>
      <c r="U648" t="s">
        <v>85</v>
      </c>
      <c r="V648" s="8">
        <v>4</v>
      </c>
      <c r="W648" t="s">
        <v>1270</v>
      </c>
      <c r="X648" t="str">
        <f>_xlfn.XLOOKUP(Cleaned_data[[#This Row],[Customer_ID]],Customers[S],Customers[Loyalty_Tier])</f>
        <v>Bronze</v>
      </c>
      <c r="Y648" s="9">
        <f>_xlfn.XLOOKUP(Cleaned_data[[#This Row],[Customer_ID]],Customers[S],Customers[Signup_Date])</f>
        <v>45516</v>
      </c>
      <c r="Z648" s="12">
        <f>_xlfn.XLOOKUP(Cleaned_data[[#This Row],[SKU]],Products[SKU],Products[Standard_Cost])</f>
        <v>48</v>
      </c>
      <c r="AA648" s="10">
        <f>Cleaned_data[[#This Row],[Quantity]]*Cleaned_data[[#This Row],[Unit_Price]]</f>
        <v>929.80000000000007</v>
      </c>
      <c r="AB648" s="10">
        <f>Cleaned_data[[#This Row],[Unit_Price]]*Cleaned_data[[#This Row],[Discount_Pct]]</f>
        <v>0.92980000000000007</v>
      </c>
      <c r="AC648" s="10">
        <f>Cleaned_data[[#This Row],[Gross Sales]]-Cleaned_data[[#This Row],[Discount amount]]</f>
        <v>928.87020000000007</v>
      </c>
      <c r="AD648" s="10">
        <f>Cleaned_data[[#This Row],[Product Cost]]*Cleaned_data[[#This Row],[Quantity]]</f>
        <v>480</v>
      </c>
      <c r="AE648" s="10">
        <f>Cleaned_data[[#This Row],[Net Sales]]-Cleaned_data[[#This Row],[COGS]]</f>
        <v>448.87020000000007</v>
      </c>
      <c r="AF648" s="11">
        <f>Cleaned_data[[#This Row],[Gross Profit]]/Cleaned_data[[#This Row],[Net Sales]]</f>
        <v>0.48324319156756246</v>
      </c>
      <c r="AG648">
        <f>Cleaned_data[[#This Row],[Ship_Date]]-Cleaned_data[[#This Row],[Order_Date]]</f>
        <v>4</v>
      </c>
      <c r="AH648" t="str">
        <f>IF(Cleaned_data[[#This Row],[Delivery Days]]&gt;10,"late","on time")</f>
        <v>on time</v>
      </c>
      <c r="AI648" t="str">
        <f>TEXT(Cleaned_data[[#This Row],[Order_Date]],"mmmm")</f>
        <v>October</v>
      </c>
      <c r="AJ648" s="9" t="str">
        <f>"Q"&amp;ROUNDUP(MONTH(Cleaned_data[[#This Row],[Order_Date]])/3,0)</f>
        <v>Q4</v>
      </c>
    </row>
    <row r="649" spans="1:36">
      <c r="A649" t="s">
        <v>1144</v>
      </c>
      <c r="B649" s="9">
        <v>45949</v>
      </c>
      <c r="C649" s="9">
        <v>45951</v>
      </c>
      <c r="D649" t="s">
        <v>576</v>
      </c>
      <c r="E649" t="s">
        <v>577</v>
      </c>
      <c r="F649" t="s">
        <v>89</v>
      </c>
      <c r="G649" t="s">
        <v>126</v>
      </c>
      <c r="H649" t="s">
        <v>291</v>
      </c>
      <c r="I649" t="s">
        <v>292</v>
      </c>
      <c r="J649" t="s">
        <v>129</v>
      </c>
      <c r="K649" t="s">
        <v>168</v>
      </c>
      <c r="L649" t="s">
        <v>249</v>
      </c>
      <c r="M649" t="s">
        <v>250</v>
      </c>
      <c r="N649" t="s">
        <v>103</v>
      </c>
      <c r="O649" t="s">
        <v>251</v>
      </c>
      <c r="P649" s="8">
        <v>1</v>
      </c>
      <c r="Q649" s="10">
        <v>20.86</v>
      </c>
      <c r="R649" s="11">
        <v>7.0000000000000007E-2</v>
      </c>
      <c r="S649" s="10">
        <v>16.22</v>
      </c>
      <c r="T649" t="s">
        <v>84</v>
      </c>
      <c r="U649" t="s">
        <v>85</v>
      </c>
      <c r="V649" s="8">
        <v>3</v>
      </c>
      <c r="W649" t="s">
        <v>1270</v>
      </c>
      <c r="X649" t="str">
        <f>_xlfn.XLOOKUP(Cleaned_data[[#This Row],[Customer_ID]],Customers[S],Customers[Loyalty_Tier])</f>
        <v>Bronze</v>
      </c>
      <c r="Y649" s="9">
        <f>_xlfn.XLOOKUP(Cleaned_data[[#This Row],[Customer_ID]],Customers[S],Customers[Signup_Date])</f>
        <v>44876</v>
      </c>
      <c r="Z649" s="12">
        <f>_xlfn.XLOOKUP(Cleaned_data[[#This Row],[SKU]],Products[SKU],Products[Standard_Cost])</f>
        <v>10</v>
      </c>
      <c r="AA649" s="10">
        <f>Cleaned_data[[#This Row],[Quantity]]*Cleaned_data[[#This Row],[Unit_Price]]</f>
        <v>20.86</v>
      </c>
      <c r="AB649" s="10">
        <f>Cleaned_data[[#This Row],[Unit_Price]]*Cleaned_data[[#This Row],[Discount_Pct]]</f>
        <v>1.4602000000000002</v>
      </c>
      <c r="AC649" s="10">
        <f>Cleaned_data[[#This Row],[Gross Sales]]-Cleaned_data[[#This Row],[Discount amount]]</f>
        <v>19.399799999999999</v>
      </c>
      <c r="AD649" s="10">
        <f>Cleaned_data[[#This Row],[Product Cost]]*Cleaned_data[[#This Row],[Quantity]]</f>
        <v>10</v>
      </c>
      <c r="AE649" s="10">
        <f>Cleaned_data[[#This Row],[Net Sales]]-Cleaned_data[[#This Row],[COGS]]</f>
        <v>9.399799999999999</v>
      </c>
      <c r="AF649" s="11">
        <f>Cleaned_data[[#This Row],[Gross Profit]]/Cleaned_data[[#This Row],[Net Sales]]</f>
        <v>0.48453076835843667</v>
      </c>
      <c r="AG649">
        <f>Cleaned_data[[#This Row],[Ship_Date]]-Cleaned_data[[#This Row],[Order_Date]]</f>
        <v>2</v>
      </c>
      <c r="AH649" t="str">
        <f>IF(Cleaned_data[[#This Row],[Delivery Days]]&gt;10,"late","on time")</f>
        <v>on time</v>
      </c>
      <c r="AI649" t="str">
        <f>TEXT(Cleaned_data[[#This Row],[Order_Date]],"mmmm")</f>
        <v>October</v>
      </c>
      <c r="AJ649" s="9" t="str">
        <f>"Q"&amp;ROUNDUP(MONTH(Cleaned_data[[#This Row],[Order_Date]])/3,0)</f>
        <v>Q4</v>
      </c>
    </row>
    <row r="650" spans="1:36">
      <c r="A650" t="s">
        <v>1145</v>
      </c>
      <c r="B650" s="9">
        <v>45949</v>
      </c>
      <c r="C650" s="9">
        <v>45957</v>
      </c>
      <c r="D650" t="s">
        <v>136</v>
      </c>
      <c r="E650" t="s">
        <v>137</v>
      </c>
      <c r="F650" t="s">
        <v>74</v>
      </c>
      <c r="G650" t="s">
        <v>138</v>
      </c>
      <c r="H650" t="s">
        <v>139</v>
      </c>
      <c r="I650" t="s">
        <v>140</v>
      </c>
      <c r="J650" t="s">
        <v>109</v>
      </c>
      <c r="K650" t="s">
        <v>90</v>
      </c>
      <c r="L650" t="s">
        <v>431</v>
      </c>
      <c r="M650" t="s">
        <v>432</v>
      </c>
      <c r="N650" t="s">
        <v>103</v>
      </c>
      <c r="O650" t="s">
        <v>251</v>
      </c>
      <c r="P650" s="8">
        <v>5</v>
      </c>
      <c r="Q650" s="10">
        <v>41.17</v>
      </c>
      <c r="R650" s="11">
        <v>0.03</v>
      </c>
      <c r="S650" s="10">
        <v>6.83</v>
      </c>
      <c r="T650" t="s">
        <v>84</v>
      </c>
      <c r="U650" t="s">
        <v>85</v>
      </c>
      <c r="V650" s="8">
        <v>3</v>
      </c>
      <c r="W650" t="s">
        <v>1270</v>
      </c>
      <c r="X650" t="str">
        <f>_xlfn.XLOOKUP(Cleaned_data[[#This Row],[Customer_ID]],Customers[S],Customers[Loyalty_Tier])</f>
        <v>Silver</v>
      </c>
      <c r="Y650" s="9">
        <f>_xlfn.XLOOKUP(Cleaned_data[[#This Row],[Customer_ID]],Customers[S],Customers[Signup_Date])</f>
        <v>45236</v>
      </c>
      <c r="Z650" s="12">
        <f>_xlfn.XLOOKUP(Cleaned_data[[#This Row],[SKU]],Products[SKU],Products[Standard_Cost])</f>
        <v>20</v>
      </c>
      <c r="AA650" s="10">
        <f>Cleaned_data[[#This Row],[Quantity]]*Cleaned_data[[#This Row],[Unit_Price]]</f>
        <v>205.85000000000002</v>
      </c>
      <c r="AB650" s="10">
        <f>Cleaned_data[[#This Row],[Unit_Price]]*Cleaned_data[[#This Row],[Discount_Pct]]</f>
        <v>1.2351000000000001</v>
      </c>
      <c r="AC650" s="10">
        <f>Cleaned_data[[#This Row],[Gross Sales]]-Cleaned_data[[#This Row],[Discount amount]]</f>
        <v>204.61490000000003</v>
      </c>
      <c r="AD650" s="10">
        <f>Cleaned_data[[#This Row],[Product Cost]]*Cleaned_data[[#This Row],[Quantity]]</f>
        <v>100</v>
      </c>
      <c r="AE650" s="10">
        <f>Cleaned_data[[#This Row],[Net Sales]]-Cleaned_data[[#This Row],[COGS]]</f>
        <v>104.61490000000003</v>
      </c>
      <c r="AF650" s="11">
        <f>Cleaned_data[[#This Row],[Gross Profit]]/Cleaned_data[[#This Row],[Net Sales]]</f>
        <v>0.51127703798696977</v>
      </c>
      <c r="AG650">
        <f>Cleaned_data[[#This Row],[Ship_Date]]-Cleaned_data[[#This Row],[Order_Date]]</f>
        <v>8</v>
      </c>
      <c r="AH650" t="str">
        <f>IF(Cleaned_data[[#This Row],[Delivery Days]]&gt;10,"late","on time")</f>
        <v>on time</v>
      </c>
      <c r="AI650" t="str">
        <f>TEXT(Cleaned_data[[#This Row],[Order_Date]],"mmmm")</f>
        <v>October</v>
      </c>
      <c r="AJ650" s="9" t="str">
        <f>"Q"&amp;ROUNDUP(MONTH(Cleaned_data[[#This Row],[Order_Date]])/3,0)</f>
        <v>Q4</v>
      </c>
    </row>
    <row r="651" spans="1:36">
      <c r="A651" t="s">
        <v>1146</v>
      </c>
      <c r="B651" s="9">
        <v>45949</v>
      </c>
      <c r="C651" s="9">
        <v>45955</v>
      </c>
      <c r="D651" t="s">
        <v>438</v>
      </c>
      <c r="E651" t="s">
        <v>439</v>
      </c>
      <c r="F651" t="s">
        <v>152</v>
      </c>
      <c r="G651" t="s">
        <v>194</v>
      </c>
      <c r="H651" t="s">
        <v>240</v>
      </c>
      <c r="I651" t="s">
        <v>241</v>
      </c>
      <c r="J651" t="s">
        <v>219</v>
      </c>
      <c r="K651" t="s">
        <v>147</v>
      </c>
      <c r="L651" t="s">
        <v>214</v>
      </c>
      <c r="M651" t="s">
        <v>215</v>
      </c>
      <c r="N651" t="s">
        <v>103</v>
      </c>
      <c r="O651" t="s">
        <v>171</v>
      </c>
      <c r="P651" s="8">
        <v>2</v>
      </c>
      <c r="Q651" s="10">
        <v>11.63</v>
      </c>
      <c r="R651" s="11">
        <v>0.08</v>
      </c>
      <c r="S651" s="10">
        <v>5.73</v>
      </c>
      <c r="T651" t="s">
        <v>105</v>
      </c>
      <c r="U651" t="s">
        <v>85</v>
      </c>
      <c r="V651" s="8">
        <v>5</v>
      </c>
      <c r="W651" t="s">
        <v>1270</v>
      </c>
      <c r="X651" t="str">
        <f>_xlfn.XLOOKUP(Cleaned_data[[#This Row],[Customer_ID]],Customers[S],Customers[Loyalty_Tier])</f>
        <v>Bronze</v>
      </c>
      <c r="Y651" s="9">
        <f>_xlfn.XLOOKUP(Cleaned_data[[#This Row],[Customer_ID]],Customers[S],Customers[Signup_Date])</f>
        <v>44473</v>
      </c>
      <c r="Z651" s="12">
        <f>_xlfn.XLOOKUP(Cleaned_data[[#This Row],[SKU]],Products[SKU],Products[Standard_Cost])</f>
        <v>5</v>
      </c>
      <c r="AA651" s="10">
        <f>Cleaned_data[[#This Row],[Quantity]]*Cleaned_data[[#This Row],[Unit_Price]]</f>
        <v>23.26</v>
      </c>
      <c r="AB651" s="10">
        <f>Cleaned_data[[#This Row],[Unit_Price]]*Cleaned_data[[#This Row],[Discount_Pct]]</f>
        <v>0.93040000000000012</v>
      </c>
      <c r="AC651" s="10">
        <f>Cleaned_data[[#This Row],[Gross Sales]]-Cleaned_data[[#This Row],[Discount amount]]</f>
        <v>22.329600000000003</v>
      </c>
      <c r="AD651" s="10">
        <f>Cleaned_data[[#This Row],[Product Cost]]*Cleaned_data[[#This Row],[Quantity]]</f>
        <v>10</v>
      </c>
      <c r="AE651" s="10">
        <f>Cleaned_data[[#This Row],[Net Sales]]-Cleaned_data[[#This Row],[COGS]]</f>
        <v>12.329600000000003</v>
      </c>
      <c r="AF651" s="11">
        <f>Cleaned_data[[#This Row],[Gross Profit]]/Cleaned_data[[#This Row],[Net Sales]]</f>
        <v>0.55216394382344514</v>
      </c>
      <c r="AG651">
        <f>Cleaned_data[[#This Row],[Ship_Date]]-Cleaned_data[[#This Row],[Order_Date]]</f>
        <v>6</v>
      </c>
      <c r="AH651" t="str">
        <f>IF(Cleaned_data[[#This Row],[Delivery Days]]&gt;10,"late","on time")</f>
        <v>on time</v>
      </c>
      <c r="AI651" t="str">
        <f>TEXT(Cleaned_data[[#This Row],[Order_Date]],"mmmm")</f>
        <v>October</v>
      </c>
      <c r="AJ651" s="9" t="str">
        <f>"Q"&amp;ROUNDUP(MONTH(Cleaned_data[[#This Row],[Order_Date]])/3,0)</f>
        <v>Q4</v>
      </c>
    </row>
    <row r="652" spans="1:36">
      <c r="A652" t="s">
        <v>1147</v>
      </c>
      <c r="B652" s="9">
        <v>45950</v>
      </c>
      <c r="C652" s="9">
        <v>45959</v>
      </c>
      <c r="D652" t="s">
        <v>641</v>
      </c>
      <c r="E652" t="s">
        <v>642</v>
      </c>
      <c r="F652" t="s">
        <v>89</v>
      </c>
      <c r="G652" t="s">
        <v>194</v>
      </c>
      <c r="H652" t="s">
        <v>195</v>
      </c>
      <c r="I652" t="s">
        <v>196</v>
      </c>
      <c r="J652" t="s">
        <v>78</v>
      </c>
      <c r="K652" t="s">
        <v>79</v>
      </c>
      <c r="L652" t="s">
        <v>301</v>
      </c>
      <c r="M652" t="s">
        <v>302</v>
      </c>
      <c r="N652" t="s">
        <v>103</v>
      </c>
      <c r="O652" t="s">
        <v>190</v>
      </c>
      <c r="P652" s="8">
        <v>2</v>
      </c>
      <c r="Q652" s="10">
        <v>133.97999999999999</v>
      </c>
      <c r="R652" s="11">
        <v>0.11</v>
      </c>
      <c r="S652" s="10">
        <v>17.21</v>
      </c>
      <c r="T652" t="s">
        <v>122</v>
      </c>
      <c r="U652" t="s">
        <v>85</v>
      </c>
      <c r="V652" s="8">
        <v>3</v>
      </c>
      <c r="W652" t="s">
        <v>1270</v>
      </c>
      <c r="X652" t="str">
        <f>_xlfn.XLOOKUP(Cleaned_data[[#This Row],[Customer_ID]],Customers[S],Customers[Loyalty_Tier])</f>
        <v>Silver</v>
      </c>
      <c r="Y652" s="9">
        <f>_xlfn.XLOOKUP(Cleaned_data[[#This Row],[Customer_ID]],Customers[S],Customers[Signup_Date])</f>
        <v>44881</v>
      </c>
      <c r="Z652" s="12">
        <f>_xlfn.XLOOKUP(Cleaned_data[[#This Row],[SKU]],Products[SKU],Products[Standard_Cost])</f>
        <v>72</v>
      </c>
      <c r="AA652" s="10">
        <f>Cleaned_data[[#This Row],[Quantity]]*Cleaned_data[[#This Row],[Unit_Price]]</f>
        <v>267.95999999999998</v>
      </c>
      <c r="AB652" s="10">
        <f>Cleaned_data[[#This Row],[Unit_Price]]*Cleaned_data[[#This Row],[Discount_Pct]]</f>
        <v>14.737799999999998</v>
      </c>
      <c r="AC652" s="10">
        <f>Cleaned_data[[#This Row],[Gross Sales]]-Cleaned_data[[#This Row],[Discount amount]]</f>
        <v>253.22219999999999</v>
      </c>
      <c r="AD652" s="10">
        <f>Cleaned_data[[#This Row],[Product Cost]]*Cleaned_data[[#This Row],[Quantity]]</f>
        <v>144</v>
      </c>
      <c r="AE652" s="10">
        <f>Cleaned_data[[#This Row],[Net Sales]]-Cleaned_data[[#This Row],[COGS]]</f>
        <v>109.22219999999999</v>
      </c>
      <c r="AF652" s="11">
        <f>Cleaned_data[[#This Row],[Gross Profit]]/Cleaned_data[[#This Row],[Net Sales]]</f>
        <v>0.43132948059056431</v>
      </c>
      <c r="AG652">
        <f>Cleaned_data[[#This Row],[Ship_Date]]-Cleaned_data[[#This Row],[Order_Date]]</f>
        <v>9</v>
      </c>
      <c r="AH652" t="str">
        <f>IF(Cleaned_data[[#This Row],[Delivery Days]]&gt;10,"late","on time")</f>
        <v>on time</v>
      </c>
      <c r="AI652" t="str">
        <f>TEXT(Cleaned_data[[#This Row],[Order_Date]],"mmmm")</f>
        <v>October</v>
      </c>
      <c r="AJ652" s="9" t="str">
        <f>"Q"&amp;ROUNDUP(MONTH(Cleaned_data[[#This Row],[Order_Date]])/3,0)</f>
        <v>Q4</v>
      </c>
    </row>
    <row r="653" spans="1:36">
      <c r="A653" t="s">
        <v>1148</v>
      </c>
      <c r="B653" s="9">
        <v>45950</v>
      </c>
      <c r="C653" s="9">
        <v>45955</v>
      </c>
      <c r="D653" t="s">
        <v>771</v>
      </c>
      <c r="E653" t="s">
        <v>772</v>
      </c>
      <c r="F653" t="s">
        <v>74</v>
      </c>
      <c r="G653" t="s">
        <v>126</v>
      </c>
      <c r="H653" t="s">
        <v>127</v>
      </c>
      <c r="I653" t="s">
        <v>128</v>
      </c>
      <c r="J653" t="s">
        <v>219</v>
      </c>
      <c r="K653" t="s">
        <v>90</v>
      </c>
      <c r="L653" t="s">
        <v>131</v>
      </c>
      <c r="M653" t="s">
        <v>132</v>
      </c>
      <c r="N653" t="s">
        <v>120</v>
      </c>
      <c r="O653" t="s">
        <v>133</v>
      </c>
      <c r="P653" s="8">
        <v>3</v>
      </c>
      <c r="Q653" s="10">
        <v>92.58</v>
      </c>
      <c r="R653" s="11">
        <v>0.06</v>
      </c>
      <c r="S653" s="10">
        <v>20.47</v>
      </c>
      <c r="T653" t="s">
        <v>84</v>
      </c>
      <c r="U653" t="s">
        <v>85</v>
      </c>
      <c r="W653" t="s">
        <v>1270</v>
      </c>
      <c r="X653" t="str">
        <f>_xlfn.XLOOKUP(Cleaned_data[[#This Row],[Customer_ID]],Customers[S],Customers[Loyalty_Tier])</f>
        <v>Bronze</v>
      </c>
      <c r="Y653" s="9">
        <f>_xlfn.XLOOKUP(Cleaned_data[[#This Row],[Customer_ID]],Customers[S],Customers[Signup_Date])</f>
        <v>45891</v>
      </c>
      <c r="Z653" s="12">
        <f>_xlfn.XLOOKUP(Cleaned_data[[#This Row],[SKU]],Products[SKU],Products[Standard_Cost])</f>
        <v>44</v>
      </c>
      <c r="AA653" s="10">
        <f>Cleaned_data[[#This Row],[Quantity]]*Cleaned_data[[#This Row],[Unit_Price]]</f>
        <v>277.74</v>
      </c>
      <c r="AB653" s="10">
        <f>Cleaned_data[[#This Row],[Unit_Price]]*Cleaned_data[[#This Row],[Discount_Pct]]</f>
        <v>5.5547999999999993</v>
      </c>
      <c r="AC653" s="10">
        <f>Cleaned_data[[#This Row],[Gross Sales]]-Cleaned_data[[#This Row],[Discount amount]]</f>
        <v>272.18520000000001</v>
      </c>
      <c r="AD653" s="10">
        <f>Cleaned_data[[#This Row],[Product Cost]]*Cleaned_data[[#This Row],[Quantity]]</f>
        <v>132</v>
      </c>
      <c r="AE653" s="10">
        <f>Cleaned_data[[#This Row],[Net Sales]]-Cleaned_data[[#This Row],[COGS]]</f>
        <v>140.18520000000001</v>
      </c>
      <c r="AF653" s="11">
        <f>Cleaned_data[[#This Row],[Gross Profit]]/Cleaned_data[[#This Row],[Net Sales]]</f>
        <v>0.51503608572398496</v>
      </c>
      <c r="AG653">
        <f>Cleaned_data[[#This Row],[Ship_Date]]-Cleaned_data[[#This Row],[Order_Date]]</f>
        <v>5</v>
      </c>
      <c r="AH653" t="str">
        <f>IF(Cleaned_data[[#This Row],[Delivery Days]]&gt;10,"late","on time")</f>
        <v>on time</v>
      </c>
      <c r="AI653" t="str">
        <f>TEXT(Cleaned_data[[#This Row],[Order_Date]],"mmmm")</f>
        <v>October</v>
      </c>
      <c r="AJ653" s="9" t="str">
        <f>"Q"&amp;ROUNDUP(MONTH(Cleaned_data[[#This Row],[Order_Date]])/3,0)</f>
        <v>Q4</v>
      </c>
    </row>
    <row r="654" spans="1:36">
      <c r="A654" t="s">
        <v>1149</v>
      </c>
      <c r="B654" s="9">
        <v>45950</v>
      </c>
      <c r="C654" s="9">
        <v>45959</v>
      </c>
      <c r="D654" t="s">
        <v>621</v>
      </c>
      <c r="E654" t="s">
        <v>622</v>
      </c>
      <c r="F654" t="s">
        <v>74</v>
      </c>
      <c r="G654" t="s">
        <v>194</v>
      </c>
      <c r="H654" t="s">
        <v>230</v>
      </c>
      <c r="I654" t="s">
        <v>231</v>
      </c>
      <c r="J654" t="s">
        <v>129</v>
      </c>
      <c r="K654" t="s">
        <v>130</v>
      </c>
      <c r="L654" t="s">
        <v>118</v>
      </c>
      <c r="M654" t="s">
        <v>119</v>
      </c>
      <c r="N654" t="s">
        <v>120</v>
      </c>
      <c r="O654" t="s">
        <v>121</v>
      </c>
      <c r="P654" s="8">
        <v>3</v>
      </c>
      <c r="Q654" s="10">
        <v>283.95999999999998</v>
      </c>
      <c r="R654" s="11">
        <v>0.11</v>
      </c>
      <c r="S654" s="10">
        <v>12.42</v>
      </c>
      <c r="T654" t="s">
        <v>84</v>
      </c>
      <c r="U654" t="s">
        <v>85</v>
      </c>
      <c r="V654" s="8">
        <v>1</v>
      </c>
      <c r="W654" t="s">
        <v>1270</v>
      </c>
      <c r="X654" t="str">
        <f>_xlfn.XLOOKUP(Cleaned_data[[#This Row],[Customer_ID]],Customers[S],Customers[Loyalty_Tier])</f>
        <v>Gold</v>
      </c>
      <c r="Y654" s="9">
        <f>_xlfn.XLOOKUP(Cleaned_data[[#This Row],[Customer_ID]],Customers[S],Customers[Signup_Date])</f>
        <v>44796</v>
      </c>
      <c r="Z654" s="12">
        <f>_xlfn.XLOOKUP(Cleaned_data[[#This Row],[SKU]],Products[SKU],Products[Standard_Cost])</f>
        <v>168</v>
      </c>
      <c r="AA654" s="10">
        <f>Cleaned_data[[#This Row],[Quantity]]*Cleaned_data[[#This Row],[Unit_Price]]</f>
        <v>851.87999999999988</v>
      </c>
      <c r="AB654" s="10">
        <f>Cleaned_data[[#This Row],[Unit_Price]]*Cleaned_data[[#This Row],[Discount_Pct]]</f>
        <v>31.235599999999998</v>
      </c>
      <c r="AC654" s="10">
        <f>Cleaned_data[[#This Row],[Gross Sales]]-Cleaned_data[[#This Row],[Discount amount]]</f>
        <v>820.64439999999991</v>
      </c>
      <c r="AD654" s="10">
        <f>Cleaned_data[[#This Row],[Product Cost]]*Cleaned_data[[#This Row],[Quantity]]</f>
        <v>504</v>
      </c>
      <c r="AE654" s="10">
        <f>Cleaned_data[[#This Row],[Net Sales]]-Cleaned_data[[#This Row],[COGS]]</f>
        <v>316.64439999999991</v>
      </c>
      <c r="AF654" s="11">
        <f>Cleaned_data[[#This Row],[Gross Profit]]/Cleaned_data[[#This Row],[Net Sales]]</f>
        <v>0.38584848687202389</v>
      </c>
      <c r="AG654">
        <f>Cleaned_data[[#This Row],[Ship_Date]]-Cleaned_data[[#This Row],[Order_Date]]</f>
        <v>9</v>
      </c>
      <c r="AH654" t="str">
        <f>IF(Cleaned_data[[#This Row],[Delivery Days]]&gt;10,"late","on time")</f>
        <v>on time</v>
      </c>
      <c r="AI654" t="str">
        <f>TEXT(Cleaned_data[[#This Row],[Order_Date]],"mmmm")</f>
        <v>October</v>
      </c>
      <c r="AJ654" s="9" t="str">
        <f>"Q"&amp;ROUNDUP(MONTH(Cleaned_data[[#This Row],[Order_Date]])/3,0)</f>
        <v>Q4</v>
      </c>
    </row>
    <row r="655" spans="1:36">
      <c r="A655" t="s">
        <v>1150</v>
      </c>
      <c r="B655" s="9">
        <v>45951</v>
      </c>
      <c r="C655" s="9">
        <v>45961</v>
      </c>
      <c r="D655" t="s">
        <v>268</v>
      </c>
      <c r="E655" t="s">
        <v>269</v>
      </c>
      <c r="F655" t="s">
        <v>74</v>
      </c>
      <c r="G655" t="s">
        <v>75</v>
      </c>
      <c r="H655" t="s">
        <v>212</v>
      </c>
      <c r="I655" t="s">
        <v>213</v>
      </c>
      <c r="J655" t="s">
        <v>109</v>
      </c>
      <c r="K655" t="s">
        <v>130</v>
      </c>
      <c r="L655" t="s">
        <v>169</v>
      </c>
      <c r="M655" t="s">
        <v>170</v>
      </c>
      <c r="N655" t="s">
        <v>103</v>
      </c>
      <c r="O655" t="s">
        <v>171</v>
      </c>
      <c r="P655" s="8">
        <v>3</v>
      </c>
      <c r="Q655" s="10">
        <v>14.13</v>
      </c>
      <c r="R655" s="11">
        <v>0.08</v>
      </c>
      <c r="S655" s="10">
        <v>14.18</v>
      </c>
      <c r="T655" t="s">
        <v>105</v>
      </c>
      <c r="U655" t="s">
        <v>85</v>
      </c>
      <c r="W655" t="s">
        <v>1270</v>
      </c>
      <c r="X655" t="str">
        <f>_xlfn.XLOOKUP(Cleaned_data[[#This Row],[Customer_ID]],Customers[S],Customers[Loyalty_Tier])</f>
        <v>Bronze</v>
      </c>
      <c r="Y655" s="9">
        <f>_xlfn.XLOOKUP(Cleaned_data[[#This Row],[Customer_ID]],Customers[S],Customers[Signup_Date])</f>
        <v>44480</v>
      </c>
      <c r="Z655" s="12">
        <f>_xlfn.XLOOKUP(Cleaned_data[[#This Row],[SKU]],Products[SKU],Products[Standard_Cost])</f>
        <v>6</v>
      </c>
      <c r="AA655" s="10">
        <f>Cleaned_data[[#This Row],[Quantity]]*Cleaned_data[[#This Row],[Unit_Price]]</f>
        <v>42.39</v>
      </c>
      <c r="AB655" s="10">
        <f>Cleaned_data[[#This Row],[Unit_Price]]*Cleaned_data[[#This Row],[Discount_Pct]]</f>
        <v>1.1304000000000001</v>
      </c>
      <c r="AC655" s="10">
        <f>Cleaned_data[[#This Row],[Gross Sales]]-Cleaned_data[[#This Row],[Discount amount]]</f>
        <v>41.259599999999999</v>
      </c>
      <c r="AD655" s="10">
        <f>Cleaned_data[[#This Row],[Product Cost]]*Cleaned_data[[#This Row],[Quantity]]</f>
        <v>18</v>
      </c>
      <c r="AE655" s="10">
        <f>Cleaned_data[[#This Row],[Net Sales]]-Cleaned_data[[#This Row],[COGS]]</f>
        <v>23.259599999999999</v>
      </c>
      <c r="AF655" s="11">
        <f>Cleaned_data[[#This Row],[Gross Profit]]/Cleaned_data[[#This Row],[Net Sales]]</f>
        <v>0.56373789372655092</v>
      </c>
      <c r="AG655">
        <f>Cleaned_data[[#This Row],[Ship_Date]]-Cleaned_data[[#This Row],[Order_Date]]</f>
        <v>10</v>
      </c>
      <c r="AH655" t="str">
        <f>IF(Cleaned_data[[#This Row],[Delivery Days]]&gt;10,"late","on time")</f>
        <v>on time</v>
      </c>
      <c r="AI655" t="str">
        <f>TEXT(Cleaned_data[[#This Row],[Order_Date]],"mmmm")</f>
        <v>October</v>
      </c>
      <c r="AJ655" s="9" t="str">
        <f>"Q"&amp;ROUNDUP(MONTH(Cleaned_data[[#This Row],[Order_Date]])/3,0)</f>
        <v>Q4</v>
      </c>
    </row>
    <row r="656" spans="1:36">
      <c r="A656" t="s">
        <v>1151</v>
      </c>
      <c r="B656" s="9">
        <v>45951</v>
      </c>
      <c r="C656" s="9">
        <v>45960</v>
      </c>
      <c r="D656" t="s">
        <v>621</v>
      </c>
      <c r="E656" t="s">
        <v>622</v>
      </c>
      <c r="F656" t="s">
        <v>74</v>
      </c>
      <c r="G656" t="s">
        <v>194</v>
      </c>
      <c r="H656" t="s">
        <v>230</v>
      </c>
      <c r="I656" t="s">
        <v>231</v>
      </c>
      <c r="J656" t="s">
        <v>109</v>
      </c>
      <c r="K656" t="s">
        <v>90</v>
      </c>
      <c r="L656" t="s">
        <v>207</v>
      </c>
      <c r="M656" t="s">
        <v>208</v>
      </c>
      <c r="N656" t="s">
        <v>120</v>
      </c>
      <c r="O656" t="s">
        <v>164</v>
      </c>
      <c r="P656" s="8">
        <v>4</v>
      </c>
      <c r="Q656" s="10">
        <v>1349.86</v>
      </c>
      <c r="R656" s="11">
        <v>0.11</v>
      </c>
      <c r="S656" s="10">
        <v>17.62</v>
      </c>
      <c r="T656" t="s">
        <v>105</v>
      </c>
      <c r="U656" t="s">
        <v>85</v>
      </c>
      <c r="W656" t="s">
        <v>1270</v>
      </c>
      <c r="X656" t="str">
        <f>_xlfn.XLOOKUP(Cleaned_data[[#This Row],[Customer_ID]],Customers[S],Customers[Loyalty_Tier])</f>
        <v>Gold</v>
      </c>
      <c r="Y656" s="9">
        <f>_xlfn.XLOOKUP(Cleaned_data[[#This Row],[Customer_ID]],Customers[S],Customers[Signup_Date])</f>
        <v>44796</v>
      </c>
      <c r="Z656" s="12">
        <f>_xlfn.XLOOKUP(Cleaned_data[[#This Row],[SKU]],Products[SKU],Products[Standard_Cost])</f>
        <v>885</v>
      </c>
      <c r="AA656" s="10">
        <f>Cleaned_data[[#This Row],[Quantity]]*Cleaned_data[[#This Row],[Unit_Price]]</f>
        <v>5399.44</v>
      </c>
      <c r="AB656" s="10">
        <f>Cleaned_data[[#This Row],[Unit_Price]]*Cleaned_data[[#This Row],[Discount_Pct]]</f>
        <v>148.4846</v>
      </c>
      <c r="AC656" s="10">
        <f>Cleaned_data[[#This Row],[Gross Sales]]-Cleaned_data[[#This Row],[Discount amount]]</f>
        <v>5250.9553999999998</v>
      </c>
      <c r="AD656" s="10">
        <f>Cleaned_data[[#This Row],[Product Cost]]*Cleaned_data[[#This Row],[Quantity]]</f>
        <v>3540</v>
      </c>
      <c r="AE656" s="10">
        <f>Cleaned_data[[#This Row],[Net Sales]]-Cleaned_data[[#This Row],[COGS]]</f>
        <v>1710.9553999999998</v>
      </c>
      <c r="AF656" s="11">
        <f>Cleaned_data[[#This Row],[Gross Profit]]/Cleaned_data[[#This Row],[Net Sales]]</f>
        <v>0.32583697054444605</v>
      </c>
      <c r="AG656">
        <f>Cleaned_data[[#This Row],[Ship_Date]]-Cleaned_data[[#This Row],[Order_Date]]</f>
        <v>9</v>
      </c>
      <c r="AH656" t="str">
        <f>IF(Cleaned_data[[#This Row],[Delivery Days]]&gt;10,"late","on time")</f>
        <v>on time</v>
      </c>
      <c r="AI656" t="str">
        <f>TEXT(Cleaned_data[[#This Row],[Order_Date]],"mmmm")</f>
        <v>October</v>
      </c>
      <c r="AJ656" s="9" t="str">
        <f>"Q"&amp;ROUNDUP(MONTH(Cleaned_data[[#This Row],[Order_Date]])/3,0)</f>
        <v>Q4</v>
      </c>
    </row>
    <row r="657" spans="1:36">
      <c r="A657" t="s">
        <v>1152</v>
      </c>
      <c r="B657" s="9">
        <v>45954</v>
      </c>
      <c r="C657" s="9">
        <v>45958</v>
      </c>
      <c r="D657" t="s">
        <v>856</v>
      </c>
      <c r="E657" t="s">
        <v>857</v>
      </c>
      <c r="F657" t="s">
        <v>74</v>
      </c>
      <c r="G657" t="s">
        <v>75</v>
      </c>
      <c r="H657" t="s">
        <v>273</v>
      </c>
      <c r="I657" t="s">
        <v>274</v>
      </c>
      <c r="J657" t="s">
        <v>129</v>
      </c>
      <c r="K657" t="s">
        <v>168</v>
      </c>
      <c r="L657" t="s">
        <v>110</v>
      </c>
      <c r="M657" t="s">
        <v>111</v>
      </c>
      <c r="N657" t="s">
        <v>82</v>
      </c>
      <c r="O657" t="s">
        <v>112</v>
      </c>
      <c r="P657" s="8">
        <v>3</v>
      </c>
      <c r="Q657" s="10">
        <v>302.47000000000003</v>
      </c>
      <c r="R657" s="11">
        <v>0.06</v>
      </c>
      <c r="S657" s="10">
        <v>10.41</v>
      </c>
      <c r="T657" t="s">
        <v>84</v>
      </c>
      <c r="U657" t="s">
        <v>85</v>
      </c>
      <c r="W657" t="s">
        <v>1270</v>
      </c>
      <c r="X657" t="str">
        <f>_xlfn.XLOOKUP(Cleaned_data[[#This Row],[Customer_ID]],Customers[S],Customers[Loyalty_Tier])</f>
        <v>Platinum</v>
      </c>
      <c r="Y657" s="9">
        <f>_xlfn.XLOOKUP(Cleaned_data[[#This Row],[Customer_ID]],Customers[S],Customers[Signup_Date])</f>
        <v>45454</v>
      </c>
      <c r="Z657" s="12">
        <f>_xlfn.XLOOKUP(Cleaned_data[[#This Row],[SKU]],Products[SKU],Products[Standard_Cost])</f>
        <v>165</v>
      </c>
      <c r="AA657" s="10">
        <f>Cleaned_data[[#This Row],[Quantity]]*Cleaned_data[[#This Row],[Unit_Price]]</f>
        <v>907.41000000000008</v>
      </c>
      <c r="AB657" s="10">
        <f>Cleaned_data[[#This Row],[Unit_Price]]*Cleaned_data[[#This Row],[Discount_Pct]]</f>
        <v>18.148199999999999</v>
      </c>
      <c r="AC657" s="10">
        <f>Cleaned_data[[#This Row],[Gross Sales]]-Cleaned_data[[#This Row],[Discount amount]]</f>
        <v>889.26180000000011</v>
      </c>
      <c r="AD657" s="10">
        <f>Cleaned_data[[#This Row],[Product Cost]]*Cleaned_data[[#This Row],[Quantity]]</f>
        <v>495</v>
      </c>
      <c r="AE657" s="10">
        <f>Cleaned_data[[#This Row],[Net Sales]]-Cleaned_data[[#This Row],[COGS]]</f>
        <v>394.26180000000011</v>
      </c>
      <c r="AF657" s="11">
        <f>Cleaned_data[[#This Row],[Gross Profit]]/Cleaned_data[[#This Row],[Net Sales]]</f>
        <v>0.44335852501479323</v>
      </c>
      <c r="AG657">
        <f>Cleaned_data[[#This Row],[Ship_Date]]-Cleaned_data[[#This Row],[Order_Date]]</f>
        <v>4</v>
      </c>
      <c r="AH657" t="str">
        <f>IF(Cleaned_data[[#This Row],[Delivery Days]]&gt;10,"late","on time")</f>
        <v>on time</v>
      </c>
      <c r="AI657" t="str">
        <f>TEXT(Cleaned_data[[#This Row],[Order_Date]],"mmmm")</f>
        <v>October</v>
      </c>
      <c r="AJ657" s="9" t="str">
        <f>"Q"&amp;ROUNDUP(MONTH(Cleaned_data[[#This Row],[Order_Date]])/3,0)</f>
        <v>Q4</v>
      </c>
    </row>
    <row r="658" spans="1:36">
      <c r="A658" t="s">
        <v>1153</v>
      </c>
      <c r="B658" s="9">
        <v>45955</v>
      </c>
      <c r="C658" s="9">
        <v>45956</v>
      </c>
      <c r="D658" t="s">
        <v>289</v>
      </c>
      <c r="E658" t="s">
        <v>290</v>
      </c>
      <c r="F658" t="s">
        <v>74</v>
      </c>
      <c r="G658" t="s">
        <v>126</v>
      </c>
      <c r="H658" t="s">
        <v>291</v>
      </c>
      <c r="I658" t="s">
        <v>292</v>
      </c>
      <c r="J658" t="s">
        <v>109</v>
      </c>
      <c r="K658" t="s">
        <v>90</v>
      </c>
      <c r="L658" t="s">
        <v>141</v>
      </c>
      <c r="M658" t="s">
        <v>142</v>
      </c>
      <c r="N658" t="s">
        <v>103</v>
      </c>
      <c r="O658" t="s">
        <v>143</v>
      </c>
      <c r="P658" s="8">
        <v>9</v>
      </c>
      <c r="Q658" s="10">
        <v>35.04</v>
      </c>
      <c r="R658" s="11">
        <v>0.33</v>
      </c>
      <c r="S658" s="10">
        <v>8.92</v>
      </c>
      <c r="T658" t="s">
        <v>105</v>
      </c>
      <c r="U658" t="s">
        <v>85</v>
      </c>
      <c r="V658" s="8">
        <v>1</v>
      </c>
      <c r="W658" t="s">
        <v>1270</v>
      </c>
      <c r="X658" t="str">
        <f>_xlfn.XLOOKUP(Cleaned_data[[#This Row],[Customer_ID]],Customers[S],Customers[Loyalty_Tier])</f>
        <v>Silver</v>
      </c>
      <c r="Y658" s="9">
        <f>_xlfn.XLOOKUP(Cleaned_data[[#This Row],[Customer_ID]],Customers[S],Customers[Signup_Date])</f>
        <v>44734</v>
      </c>
      <c r="Z658" s="12">
        <f>_xlfn.XLOOKUP(Cleaned_data[[#This Row],[SKU]],Products[SKU],Products[Standard_Cost])</f>
        <v>18</v>
      </c>
      <c r="AA658" s="10">
        <f>Cleaned_data[[#This Row],[Quantity]]*Cleaned_data[[#This Row],[Unit_Price]]</f>
        <v>315.36</v>
      </c>
      <c r="AB658" s="10">
        <f>Cleaned_data[[#This Row],[Unit_Price]]*Cleaned_data[[#This Row],[Discount_Pct]]</f>
        <v>11.5632</v>
      </c>
      <c r="AC658" s="10">
        <f>Cleaned_data[[#This Row],[Gross Sales]]-Cleaned_data[[#This Row],[Discount amount]]</f>
        <v>303.79680000000002</v>
      </c>
      <c r="AD658" s="10">
        <f>Cleaned_data[[#This Row],[Product Cost]]*Cleaned_data[[#This Row],[Quantity]]</f>
        <v>162</v>
      </c>
      <c r="AE658" s="10">
        <f>Cleaned_data[[#This Row],[Net Sales]]-Cleaned_data[[#This Row],[COGS]]</f>
        <v>141.79680000000002</v>
      </c>
      <c r="AF658" s="11">
        <f>Cleaned_data[[#This Row],[Gross Profit]]/Cleaned_data[[#This Row],[Net Sales]]</f>
        <v>0.46674882684741908</v>
      </c>
      <c r="AG658">
        <f>Cleaned_data[[#This Row],[Ship_Date]]-Cleaned_data[[#This Row],[Order_Date]]</f>
        <v>1</v>
      </c>
      <c r="AH658" t="str">
        <f>IF(Cleaned_data[[#This Row],[Delivery Days]]&gt;10,"late","on time")</f>
        <v>on time</v>
      </c>
      <c r="AI658" t="str">
        <f>TEXT(Cleaned_data[[#This Row],[Order_Date]],"mmmm")</f>
        <v>October</v>
      </c>
      <c r="AJ658" s="9" t="str">
        <f>"Q"&amp;ROUNDUP(MONTH(Cleaned_data[[#This Row],[Order_Date]])/3,0)</f>
        <v>Q4</v>
      </c>
    </row>
    <row r="659" spans="1:36">
      <c r="A659" t="s">
        <v>1154</v>
      </c>
      <c r="B659" s="9">
        <v>45955</v>
      </c>
      <c r="C659" s="9">
        <v>45959</v>
      </c>
      <c r="D659" t="s">
        <v>601</v>
      </c>
      <c r="E659" t="s">
        <v>351</v>
      </c>
      <c r="F659" t="s">
        <v>74</v>
      </c>
      <c r="G659" t="s">
        <v>194</v>
      </c>
      <c r="H659" t="s">
        <v>240</v>
      </c>
      <c r="I659" t="s">
        <v>241</v>
      </c>
      <c r="J659" t="s">
        <v>109</v>
      </c>
      <c r="K659" t="s">
        <v>90</v>
      </c>
      <c r="L659" t="s">
        <v>337</v>
      </c>
      <c r="M659" t="s">
        <v>338</v>
      </c>
      <c r="N659" t="s">
        <v>93</v>
      </c>
      <c r="O659" t="s">
        <v>236</v>
      </c>
      <c r="P659" s="8">
        <v>4</v>
      </c>
      <c r="Q659" s="10">
        <v>275.33999999999997</v>
      </c>
      <c r="R659" s="11">
        <v>0.03</v>
      </c>
      <c r="S659" s="10">
        <v>21.52</v>
      </c>
      <c r="T659" t="s">
        <v>122</v>
      </c>
      <c r="U659" t="s">
        <v>85</v>
      </c>
      <c r="V659" s="8">
        <v>5</v>
      </c>
      <c r="W659" t="s">
        <v>1270</v>
      </c>
      <c r="X659" t="str">
        <f>_xlfn.XLOOKUP(Cleaned_data[[#This Row],[Customer_ID]],Customers[S],Customers[Loyalty_Tier])</f>
        <v>Platinum</v>
      </c>
      <c r="Y659" s="9">
        <f>_xlfn.XLOOKUP(Cleaned_data[[#This Row],[Customer_ID]],Customers[S],Customers[Signup_Date])</f>
        <v>45567</v>
      </c>
      <c r="Z659" s="12">
        <f>_xlfn.XLOOKUP(Cleaned_data[[#This Row],[SKU]],Products[SKU],Products[Standard_Cost])</f>
        <v>146</v>
      </c>
      <c r="AA659" s="10">
        <f>Cleaned_data[[#This Row],[Quantity]]*Cleaned_data[[#This Row],[Unit_Price]]</f>
        <v>1101.3599999999999</v>
      </c>
      <c r="AB659" s="10">
        <f>Cleaned_data[[#This Row],[Unit_Price]]*Cleaned_data[[#This Row],[Discount_Pct]]</f>
        <v>8.2601999999999993</v>
      </c>
      <c r="AC659" s="10">
        <f>Cleaned_data[[#This Row],[Gross Sales]]-Cleaned_data[[#This Row],[Discount amount]]</f>
        <v>1093.0998</v>
      </c>
      <c r="AD659" s="10">
        <f>Cleaned_data[[#This Row],[Product Cost]]*Cleaned_data[[#This Row],[Quantity]]</f>
        <v>584</v>
      </c>
      <c r="AE659" s="10">
        <f>Cleaned_data[[#This Row],[Net Sales]]-Cleaned_data[[#This Row],[COGS]]</f>
        <v>509.09979999999996</v>
      </c>
      <c r="AF659" s="11">
        <f>Cleaned_data[[#This Row],[Gross Profit]]/Cleaned_data[[#This Row],[Net Sales]]</f>
        <v>0.46573954180578936</v>
      </c>
      <c r="AG659">
        <f>Cleaned_data[[#This Row],[Ship_Date]]-Cleaned_data[[#This Row],[Order_Date]]</f>
        <v>4</v>
      </c>
      <c r="AH659" t="str">
        <f>IF(Cleaned_data[[#This Row],[Delivery Days]]&gt;10,"late","on time")</f>
        <v>on time</v>
      </c>
      <c r="AI659" t="str">
        <f>TEXT(Cleaned_data[[#This Row],[Order_Date]],"mmmm")</f>
        <v>October</v>
      </c>
      <c r="AJ659" s="9" t="str">
        <f>"Q"&amp;ROUNDUP(MONTH(Cleaned_data[[#This Row],[Order_Date]])/3,0)</f>
        <v>Q4</v>
      </c>
    </row>
    <row r="660" spans="1:36">
      <c r="A660" t="s">
        <v>1155</v>
      </c>
      <c r="B660" s="9">
        <v>45958</v>
      </c>
      <c r="C660" s="9">
        <v>45959</v>
      </c>
      <c r="D660" t="s">
        <v>841</v>
      </c>
      <c r="E660" t="s">
        <v>842</v>
      </c>
      <c r="F660" t="s">
        <v>74</v>
      </c>
      <c r="G660" t="s">
        <v>126</v>
      </c>
      <c r="H660" t="s">
        <v>160</v>
      </c>
      <c r="I660" t="s">
        <v>182</v>
      </c>
      <c r="J660" t="s">
        <v>109</v>
      </c>
      <c r="K660" t="s">
        <v>130</v>
      </c>
      <c r="L660" t="s">
        <v>207</v>
      </c>
      <c r="M660" t="s">
        <v>208</v>
      </c>
      <c r="N660" t="s">
        <v>120</v>
      </c>
      <c r="O660" t="s">
        <v>164</v>
      </c>
      <c r="P660" s="8">
        <v>4</v>
      </c>
      <c r="Q660" s="10">
        <v>1416.93</v>
      </c>
      <c r="R660" s="11">
        <v>0.1</v>
      </c>
      <c r="S660" s="10">
        <v>21.82</v>
      </c>
      <c r="T660" t="s">
        <v>84</v>
      </c>
      <c r="U660" t="s">
        <v>85</v>
      </c>
      <c r="V660" s="8">
        <v>3</v>
      </c>
      <c r="W660" t="s">
        <v>1270</v>
      </c>
      <c r="X660" t="str">
        <f>_xlfn.XLOOKUP(Cleaned_data[[#This Row],[Customer_ID]],Customers[S],Customers[Loyalty_Tier])</f>
        <v>Gold</v>
      </c>
      <c r="Y660" s="9">
        <f>_xlfn.XLOOKUP(Cleaned_data[[#This Row],[Customer_ID]],Customers[S],Customers[Signup_Date])</f>
        <v>45132</v>
      </c>
      <c r="Z660" s="12">
        <f>_xlfn.XLOOKUP(Cleaned_data[[#This Row],[SKU]],Products[SKU],Products[Standard_Cost])</f>
        <v>885</v>
      </c>
      <c r="AA660" s="10">
        <f>Cleaned_data[[#This Row],[Quantity]]*Cleaned_data[[#This Row],[Unit_Price]]</f>
        <v>5667.72</v>
      </c>
      <c r="AB660" s="10">
        <f>Cleaned_data[[#This Row],[Unit_Price]]*Cleaned_data[[#This Row],[Discount_Pct]]</f>
        <v>141.69300000000001</v>
      </c>
      <c r="AC660" s="10">
        <f>Cleaned_data[[#This Row],[Gross Sales]]-Cleaned_data[[#This Row],[Discount amount]]</f>
        <v>5526.027</v>
      </c>
      <c r="AD660" s="10">
        <f>Cleaned_data[[#This Row],[Product Cost]]*Cleaned_data[[#This Row],[Quantity]]</f>
        <v>3540</v>
      </c>
      <c r="AE660" s="10">
        <f>Cleaned_data[[#This Row],[Net Sales]]-Cleaned_data[[#This Row],[COGS]]</f>
        <v>1986.027</v>
      </c>
      <c r="AF660" s="11">
        <f>Cleaned_data[[#This Row],[Gross Profit]]/Cleaned_data[[#This Row],[Net Sales]]</f>
        <v>0.35939509524654872</v>
      </c>
      <c r="AG660">
        <f>Cleaned_data[[#This Row],[Ship_Date]]-Cleaned_data[[#This Row],[Order_Date]]</f>
        <v>1</v>
      </c>
      <c r="AH660" t="str">
        <f>IF(Cleaned_data[[#This Row],[Delivery Days]]&gt;10,"late","on time")</f>
        <v>on time</v>
      </c>
      <c r="AI660" t="str">
        <f>TEXT(Cleaned_data[[#This Row],[Order_Date]],"mmmm")</f>
        <v>October</v>
      </c>
      <c r="AJ660" s="9" t="str">
        <f>"Q"&amp;ROUNDUP(MONTH(Cleaned_data[[#This Row],[Order_Date]])/3,0)</f>
        <v>Q4</v>
      </c>
    </row>
    <row r="661" spans="1:36">
      <c r="A661" t="s">
        <v>1156</v>
      </c>
      <c r="B661" s="9">
        <v>45958</v>
      </c>
      <c r="C661" s="9">
        <v>45968</v>
      </c>
      <c r="D661" t="s">
        <v>533</v>
      </c>
      <c r="E661" t="s">
        <v>534</v>
      </c>
      <c r="F661" t="s">
        <v>152</v>
      </c>
      <c r="G661" t="s">
        <v>75</v>
      </c>
      <c r="H661" t="s">
        <v>76</v>
      </c>
      <c r="I661" t="s">
        <v>77</v>
      </c>
      <c r="J661" t="s">
        <v>78</v>
      </c>
      <c r="K661" t="s">
        <v>100</v>
      </c>
      <c r="L661" t="s">
        <v>234</v>
      </c>
      <c r="M661" t="s">
        <v>235</v>
      </c>
      <c r="N661" t="s">
        <v>93</v>
      </c>
      <c r="O661" t="s">
        <v>236</v>
      </c>
      <c r="P661" s="8">
        <v>2</v>
      </c>
      <c r="Q661" s="10">
        <v>143.68</v>
      </c>
      <c r="R661" s="11">
        <v>0.01</v>
      </c>
      <c r="S661" s="10">
        <v>18.27</v>
      </c>
      <c r="T661" t="s">
        <v>134</v>
      </c>
      <c r="U661" t="s">
        <v>85</v>
      </c>
      <c r="V661" s="8">
        <v>1</v>
      </c>
      <c r="W661" t="s">
        <v>1270</v>
      </c>
      <c r="X661" t="str">
        <f>_xlfn.XLOOKUP(Cleaned_data[[#This Row],[Customer_ID]],Customers[S],Customers[Loyalty_Tier])</f>
        <v>Gold</v>
      </c>
      <c r="Y661" s="9">
        <f>_xlfn.XLOOKUP(Cleaned_data[[#This Row],[Customer_ID]],Customers[S],Customers[Signup_Date])</f>
        <v>45680</v>
      </c>
      <c r="Z661" s="12">
        <f>_xlfn.XLOOKUP(Cleaned_data[[#This Row],[SKU]],Products[SKU],Products[Standard_Cost])</f>
        <v>82</v>
      </c>
      <c r="AA661" s="10">
        <f>Cleaned_data[[#This Row],[Quantity]]*Cleaned_data[[#This Row],[Unit_Price]]</f>
        <v>287.36</v>
      </c>
      <c r="AB661" s="10">
        <f>Cleaned_data[[#This Row],[Unit_Price]]*Cleaned_data[[#This Row],[Discount_Pct]]</f>
        <v>1.4368000000000001</v>
      </c>
      <c r="AC661" s="10">
        <f>Cleaned_data[[#This Row],[Gross Sales]]-Cleaned_data[[#This Row],[Discount amount]]</f>
        <v>285.92320000000001</v>
      </c>
      <c r="AD661" s="10">
        <f>Cleaned_data[[#This Row],[Product Cost]]*Cleaned_data[[#This Row],[Quantity]]</f>
        <v>164</v>
      </c>
      <c r="AE661" s="10">
        <f>Cleaned_data[[#This Row],[Net Sales]]-Cleaned_data[[#This Row],[COGS]]</f>
        <v>121.92320000000001</v>
      </c>
      <c r="AF661" s="11">
        <f>Cleaned_data[[#This Row],[Gross Profit]]/Cleaned_data[[#This Row],[Net Sales]]</f>
        <v>0.42641940213316026</v>
      </c>
      <c r="AG661">
        <f>Cleaned_data[[#This Row],[Ship_Date]]-Cleaned_data[[#This Row],[Order_Date]]</f>
        <v>10</v>
      </c>
      <c r="AH661" t="str">
        <f>IF(Cleaned_data[[#This Row],[Delivery Days]]&gt;10,"late","on time")</f>
        <v>on time</v>
      </c>
      <c r="AI661" t="str">
        <f>TEXT(Cleaned_data[[#This Row],[Order_Date]],"mmmm")</f>
        <v>October</v>
      </c>
      <c r="AJ661" s="9" t="str">
        <f>"Q"&amp;ROUNDUP(MONTH(Cleaned_data[[#This Row],[Order_Date]])/3,0)</f>
        <v>Q4</v>
      </c>
    </row>
    <row r="662" spans="1:36">
      <c r="A662" t="s">
        <v>1157</v>
      </c>
      <c r="B662" s="9">
        <v>45959</v>
      </c>
      <c r="C662" s="9">
        <v>45966</v>
      </c>
      <c r="D662" t="s">
        <v>258</v>
      </c>
      <c r="E662" t="s">
        <v>259</v>
      </c>
      <c r="F662" t="s">
        <v>152</v>
      </c>
      <c r="G662" t="s">
        <v>194</v>
      </c>
      <c r="H662" t="s">
        <v>225</v>
      </c>
      <c r="I662" t="s">
        <v>226</v>
      </c>
      <c r="J662" t="s">
        <v>109</v>
      </c>
      <c r="K662" t="s">
        <v>147</v>
      </c>
      <c r="L662" t="s">
        <v>359</v>
      </c>
      <c r="M662" t="s">
        <v>360</v>
      </c>
      <c r="N662" t="s">
        <v>93</v>
      </c>
      <c r="O662" t="s">
        <v>94</v>
      </c>
      <c r="P662" s="8">
        <v>4</v>
      </c>
      <c r="Q662" s="10">
        <v>463.5</v>
      </c>
      <c r="R662" s="11">
        <v>0.1</v>
      </c>
      <c r="S662" s="10">
        <v>27.24</v>
      </c>
      <c r="T662" t="s">
        <v>134</v>
      </c>
      <c r="U662" t="s">
        <v>85</v>
      </c>
      <c r="V662" s="8">
        <v>2</v>
      </c>
      <c r="W662" t="s">
        <v>1270</v>
      </c>
      <c r="X662" t="str">
        <f>_xlfn.XLOOKUP(Cleaned_data[[#This Row],[Customer_ID]],Customers[S],Customers[Loyalty_Tier])</f>
        <v>Gold</v>
      </c>
      <c r="Y662" s="9">
        <f>_xlfn.XLOOKUP(Cleaned_data[[#This Row],[Customer_ID]],Customers[S],Customers[Signup_Date])</f>
        <v>45514</v>
      </c>
      <c r="Z662" s="12">
        <f>_xlfn.XLOOKUP(Cleaned_data[[#This Row],[SKU]],Products[SKU],Products[Standard_Cost])</f>
        <v>265</v>
      </c>
      <c r="AA662" s="10">
        <f>Cleaned_data[[#This Row],[Quantity]]*Cleaned_data[[#This Row],[Unit_Price]]</f>
        <v>1854</v>
      </c>
      <c r="AB662" s="10">
        <f>Cleaned_data[[#This Row],[Unit_Price]]*Cleaned_data[[#This Row],[Discount_Pct]]</f>
        <v>46.35</v>
      </c>
      <c r="AC662" s="10">
        <f>Cleaned_data[[#This Row],[Gross Sales]]-Cleaned_data[[#This Row],[Discount amount]]</f>
        <v>1807.65</v>
      </c>
      <c r="AD662" s="10">
        <f>Cleaned_data[[#This Row],[Product Cost]]*Cleaned_data[[#This Row],[Quantity]]</f>
        <v>1060</v>
      </c>
      <c r="AE662" s="10">
        <f>Cleaned_data[[#This Row],[Net Sales]]-Cleaned_data[[#This Row],[COGS]]</f>
        <v>747.65000000000009</v>
      </c>
      <c r="AF662" s="11">
        <f>Cleaned_data[[#This Row],[Gross Profit]]/Cleaned_data[[#This Row],[Net Sales]]</f>
        <v>0.41360329709844273</v>
      </c>
      <c r="AG662">
        <f>Cleaned_data[[#This Row],[Ship_Date]]-Cleaned_data[[#This Row],[Order_Date]]</f>
        <v>7</v>
      </c>
      <c r="AH662" t="str">
        <f>IF(Cleaned_data[[#This Row],[Delivery Days]]&gt;10,"late","on time")</f>
        <v>on time</v>
      </c>
      <c r="AI662" t="str">
        <f>TEXT(Cleaned_data[[#This Row],[Order_Date]],"mmmm")</f>
        <v>October</v>
      </c>
      <c r="AJ662" s="9" t="str">
        <f>"Q"&amp;ROUNDUP(MONTH(Cleaned_data[[#This Row],[Order_Date]])/3,0)</f>
        <v>Q4</v>
      </c>
    </row>
    <row r="663" spans="1:36">
      <c r="A663" t="s">
        <v>1158</v>
      </c>
      <c r="B663" s="9">
        <v>45961</v>
      </c>
      <c r="C663" s="9">
        <v>45962</v>
      </c>
      <c r="D663" t="s">
        <v>856</v>
      </c>
      <c r="E663" t="s">
        <v>857</v>
      </c>
      <c r="F663" t="s">
        <v>74</v>
      </c>
      <c r="G663" t="s">
        <v>75</v>
      </c>
      <c r="H663" t="s">
        <v>273</v>
      </c>
      <c r="I663" t="s">
        <v>274</v>
      </c>
      <c r="J663" t="s">
        <v>219</v>
      </c>
      <c r="K663" t="s">
        <v>168</v>
      </c>
      <c r="L663" t="s">
        <v>359</v>
      </c>
      <c r="M663" t="s">
        <v>360</v>
      </c>
      <c r="N663" t="s">
        <v>93</v>
      </c>
      <c r="O663" t="s">
        <v>94</v>
      </c>
      <c r="P663" s="8">
        <v>1</v>
      </c>
      <c r="Q663" s="10">
        <v>465.14</v>
      </c>
      <c r="R663" s="11">
        <v>0.01</v>
      </c>
      <c r="S663" s="10">
        <v>27.89</v>
      </c>
      <c r="T663" t="s">
        <v>84</v>
      </c>
      <c r="U663" t="s">
        <v>85</v>
      </c>
      <c r="W663" t="s">
        <v>1270</v>
      </c>
      <c r="X663" t="str">
        <f>_xlfn.XLOOKUP(Cleaned_data[[#This Row],[Customer_ID]],Customers[S],Customers[Loyalty_Tier])</f>
        <v>Platinum</v>
      </c>
      <c r="Y663" s="9">
        <f>_xlfn.XLOOKUP(Cleaned_data[[#This Row],[Customer_ID]],Customers[S],Customers[Signup_Date])</f>
        <v>45454</v>
      </c>
      <c r="Z663" s="12">
        <f>_xlfn.XLOOKUP(Cleaned_data[[#This Row],[SKU]],Products[SKU],Products[Standard_Cost])</f>
        <v>265</v>
      </c>
      <c r="AA663" s="10">
        <f>Cleaned_data[[#This Row],[Quantity]]*Cleaned_data[[#This Row],[Unit_Price]]</f>
        <v>465.14</v>
      </c>
      <c r="AB663" s="10">
        <f>Cleaned_data[[#This Row],[Unit_Price]]*Cleaned_data[[#This Row],[Discount_Pct]]</f>
        <v>4.6513999999999998</v>
      </c>
      <c r="AC663" s="10">
        <f>Cleaned_data[[#This Row],[Gross Sales]]-Cleaned_data[[#This Row],[Discount amount]]</f>
        <v>460.48859999999996</v>
      </c>
      <c r="AD663" s="10">
        <f>Cleaned_data[[#This Row],[Product Cost]]*Cleaned_data[[#This Row],[Quantity]]</f>
        <v>265</v>
      </c>
      <c r="AE663" s="10">
        <f>Cleaned_data[[#This Row],[Net Sales]]-Cleaned_data[[#This Row],[COGS]]</f>
        <v>195.48859999999996</v>
      </c>
      <c r="AF663" s="11">
        <f>Cleaned_data[[#This Row],[Gross Profit]]/Cleaned_data[[#This Row],[Net Sales]]</f>
        <v>0.4245242987557129</v>
      </c>
      <c r="AG663">
        <f>Cleaned_data[[#This Row],[Ship_Date]]-Cleaned_data[[#This Row],[Order_Date]]</f>
        <v>1</v>
      </c>
      <c r="AH663" t="str">
        <f>IF(Cleaned_data[[#This Row],[Delivery Days]]&gt;10,"late","on time")</f>
        <v>on time</v>
      </c>
      <c r="AI663" t="str">
        <f>TEXT(Cleaned_data[[#This Row],[Order_Date]],"mmmm")</f>
        <v>October</v>
      </c>
      <c r="AJ663" s="9" t="str">
        <f>"Q"&amp;ROUNDUP(MONTH(Cleaned_data[[#This Row],[Order_Date]])/3,0)</f>
        <v>Q4</v>
      </c>
    </row>
    <row r="664" spans="1:36">
      <c r="A664" t="s">
        <v>1159</v>
      </c>
      <c r="B664" s="9">
        <v>45963</v>
      </c>
      <c r="C664" s="9">
        <v>45965</v>
      </c>
      <c r="D664" t="s">
        <v>586</v>
      </c>
      <c r="E664" t="s">
        <v>587</v>
      </c>
      <c r="F664" t="s">
        <v>89</v>
      </c>
      <c r="G664" t="s">
        <v>138</v>
      </c>
      <c r="H664" t="s">
        <v>139</v>
      </c>
      <c r="I664" t="s">
        <v>140</v>
      </c>
      <c r="J664" t="s">
        <v>219</v>
      </c>
      <c r="K664" t="s">
        <v>147</v>
      </c>
      <c r="L664" t="s">
        <v>261</v>
      </c>
      <c r="M664" t="s">
        <v>262</v>
      </c>
      <c r="N664" t="s">
        <v>103</v>
      </c>
      <c r="O664" t="s">
        <v>104</v>
      </c>
      <c r="P664" s="8">
        <v>5</v>
      </c>
      <c r="Q664" s="10">
        <v>28.15</v>
      </c>
      <c r="R664" s="11">
        <v>0.06</v>
      </c>
      <c r="S664" s="10">
        <v>12.11</v>
      </c>
      <c r="T664" t="s">
        <v>105</v>
      </c>
      <c r="U664" t="s">
        <v>85</v>
      </c>
      <c r="V664" s="8">
        <v>4</v>
      </c>
      <c r="W664" t="s">
        <v>1270</v>
      </c>
      <c r="X664" t="str">
        <f>_xlfn.XLOOKUP(Cleaned_data[[#This Row],[Customer_ID]],Customers[S],Customers[Loyalty_Tier])</f>
        <v>Silver</v>
      </c>
      <c r="Y664" s="9">
        <f>_xlfn.XLOOKUP(Cleaned_data[[#This Row],[Customer_ID]],Customers[S],Customers[Signup_Date])</f>
        <v>45201</v>
      </c>
      <c r="Z664" s="12">
        <f>_xlfn.XLOOKUP(Cleaned_data[[#This Row],[SKU]],Products[SKU],Products[Standard_Cost])</f>
        <v>12</v>
      </c>
      <c r="AA664" s="10">
        <f>Cleaned_data[[#This Row],[Quantity]]*Cleaned_data[[#This Row],[Unit_Price]]</f>
        <v>140.75</v>
      </c>
      <c r="AB664" s="10">
        <f>Cleaned_data[[#This Row],[Unit_Price]]*Cleaned_data[[#This Row],[Discount_Pct]]</f>
        <v>1.6889999999999998</v>
      </c>
      <c r="AC664" s="10">
        <f>Cleaned_data[[#This Row],[Gross Sales]]-Cleaned_data[[#This Row],[Discount amount]]</f>
        <v>139.06100000000001</v>
      </c>
      <c r="AD664" s="10">
        <f>Cleaned_data[[#This Row],[Product Cost]]*Cleaned_data[[#This Row],[Quantity]]</f>
        <v>60</v>
      </c>
      <c r="AE664" s="10">
        <f>Cleaned_data[[#This Row],[Net Sales]]-Cleaned_data[[#This Row],[COGS]]</f>
        <v>79.061000000000007</v>
      </c>
      <c r="AF664" s="11">
        <f>Cleaned_data[[#This Row],[Gross Profit]]/Cleaned_data[[#This Row],[Net Sales]]</f>
        <v>0.56853467183466255</v>
      </c>
      <c r="AG664">
        <f>Cleaned_data[[#This Row],[Ship_Date]]-Cleaned_data[[#This Row],[Order_Date]]</f>
        <v>2</v>
      </c>
      <c r="AH664" t="str">
        <f>IF(Cleaned_data[[#This Row],[Delivery Days]]&gt;10,"late","on time")</f>
        <v>on time</v>
      </c>
      <c r="AI664" t="str">
        <f>TEXT(Cleaned_data[[#This Row],[Order_Date]],"mmmm")</f>
        <v>November</v>
      </c>
      <c r="AJ664" s="9" t="str">
        <f>"Q"&amp;ROUNDUP(MONTH(Cleaned_data[[#This Row],[Order_Date]])/3,0)</f>
        <v>Q4</v>
      </c>
    </row>
    <row r="665" spans="1:36">
      <c r="A665" t="s">
        <v>1160</v>
      </c>
      <c r="B665" s="9">
        <v>45963</v>
      </c>
      <c r="C665" s="9">
        <v>45973</v>
      </c>
      <c r="D665" t="s">
        <v>357</v>
      </c>
      <c r="E665" t="s">
        <v>358</v>
      </c>
      <c r="F665" t="s">
        <v>74</v>
      </c>
      <c r="G665" t="s">
        <v>75</v>
      </c>
      <c r="H665" t="s">
        <v>98</v>
      </c>
      <c r="I665" t="s">
        <v>99</v>
      </c>
      <c r="J665" t="s">
        <v>129</v>
      </c>
      <c r="K665" t="s">
        <v>130</v>
      </c>
      <c r="L665" t="s">
        <v>110</v>
      </c>
      <c r="M665" t="s">
        <v>111</v>
      </c>
      <c r="N665" t="s">
        <v>82</v>
      </c>
      <c r="O665" t="s">
        <v>112</v>
      </c>
      <c r="P665" s="8">
        <v>1</v>
      </c>
      <c r="Q665" s="10">
        <v>317.97000000000003</v>
      </c>
      <c r="R665" s="11">
        <v>0.08</v>
      </c>
      <c r="S665" s="10">
        <v>8.6999999999999993</v>
      </c>
      <c r="T665" t="s">
        <v>84</v>
      </c>
      <c r="U665" t="s">
        <v>85</v>
      </c>
      <c r="V665" s="8">
        <v>1</v>
      </c>
      <c r="W665" t="s">
        <v>1270</v>
      </c>
      <c r="X665" t="str">
        <f>_xlfn.XLOOKUP(Cleaned_data[[#This Row],[Customer_ID]],Customers[S],Customers[Loyalty_Tier])</f>
        <v>Bronze</v>
      </c>
      <c r="Y665" s="9">
        <f>_xlfn.XLOOKUP(Cleaned_data[[#This Row],[Customer_ID]],Customers[S],Customers[Signup_Date])</f>
        <v>44916</v>
      </c>
      <c r="Z665" s="12">
        <f>_xlfn.XLOOKUP(Cleaned_data[[#This Row],[SKU]],Products[SKU],Products[Standard_Cost])</f>
        <v>165</v>
      </c>
      <c r="AA665" s="10">
        <f>Cleaned_data[[#This Row],[Quantity]]*Cleaned_data[[#This Row],[Unit_Price]]</f>
        <v>317.97000000000003</v>
      </c>
      <c r="AB665" s="10">
        <f>Cleaned_data[[#This Row],[Unit_Price]]*Cleaned_data[[#This Row],[Discount_Pct]]</f>
        <v>25.437600000000003</v>
      </c>
      <c r="AC665" s="10">
        <f>Cleaned_data[[#This Row],[Gross Sales]]-Cleaned_data[[#This Row],[Discount amount]]</f>
        <v>292.53240000000005</v>
      </c>
      <c r="AD665" s="10">
        <f>Cleaned_data[[#This Row],[Product Cost]]*Cleaned_data[[#This Row],[Quantity]]</f>
        <v>165</v>
      </c>
      <c r="AE665" s="10">
        <f>Cleaned_data[[#This Row],[Net Sales]]-Cleaned_data[[#This Row],[COGS]]</f>
        <v>127.53240000000005</v>
      </c>
      <c r="AF665" s="11">
        <f>Cleaned_data[[#This Row],[Gross Profit]]/Cleaned_data[[#This Row],[Net Sales]]</f>
        <v>0.43595991418386487</v>
      </c>
      <c r="AG665">
        <f>Cleaned_data[[#This Row],[Ship_Date]]-Cleaned_data[[#This Row],[Order_Date]]</f>
        <v>10</v>
      </c>
      <c r="AH665" t="str">
        <f>IF(Cleaned_data[[#This Row],[Delivery Days]]&gt;10,"late","on time")</f>
        <v>on time</v>
      </c>
      <c r="AI665" t="str">
        <f>TEXT(Cleaned_data[[#This Row],[Order_Date]],"mmmm")</f>
        <v>November</v>
      </c>
      <c r="AJ665" s="9" t="str">
        <f>"Q"&amp;ROUNDUP(MONTH(Cleaned_data[[#This Row],[Order_Date]])/3,0)</f>
        <v>Q4</v>
      </c>
    </row>
    <row r="666" spans="1:36">
      <c r="A666" t="s">
        <v>1161</v>
      </c>
      <c r="B666" s="9">
        <v>45965</v>
      </c>
      <c r="C666" s="9">
        <v>45973</v>
      </c>
      <c r="D666" t="s">
        <v>605</v>
      </c>
      <c r="E666" t="s">
        <v>606</v>
      </c>
      <c r="F666" t="s">
        <v>74</v>
      </c>
      <c r="G666" t="s">
        <v>138</v>
      </c>
      <c r="H666" t="s">
        <v>153</v>
      </c>
      <c r="I666" t="s">
        <v>154</v>
      </c>
      <c r="J666" t="s">
        <v>78</v>
      </c>
      <c r="K666" t="s">
        <v>130</v>
      </c>
      <c r="L666" t="s">
        <v>214</v>
      </c>
      <c r="M666" t="s">
        <v>215</v>
      </c>
      <c r="N666" t="s">
        <v>103</v>
      </c>
      <c r="O666" t="s">
        <v>171</v>
      </c>
      <c r="P666" s="8">
        <v>9</v>
      </c>
      <c r="Q666" s="10">
        <v>11.9</v>
      </c>
      <c r="R666" s="11">
        <v>0.04</v>
      </c>
      <c r="S666" s="10">
        <v>5.9</v>
      </c>
      <c r="T666" t="s">
        <v>122</v>
      </c>
      <c r="U666" t="s">
        <v>85</v>
      </c>
      <c r="V666" s="8">
        <v>1</v>
      </c>
      <c r="W666" t="s">
        <v>1270</v>
      </c>
      <c r="X666" t="str">
        <f>_xlfn.XLOOKUP(Cleaned_data[[#This Row],[Customer_ID]],Customers[S],Customers[Loyalty_Tier])</f>
        <v>Platinum</v>
      </c>
      <c r="Y666" s="9">
        <f>_xlfn.XLOOKUP(Cleaned_data[[#This Row],[Customer_ID]],Customers[S],Customers[Signup_Date])</f>
        <v>44450</v>
      </c>
      <c r="Z666" s="12">
        <f>_xlfn.XLOOKUP(Cleaned_data[[#This Row],[SKU]],Products[SKU],Products[Standard_Cost])</f>
        <v>5</v>
      </c>
      <c r="AA666" s="10">
        <f>Cleaned_data[[#This Row],[Quantity]]*Cleaned_data[[#This Row],[Unit_Price]]</f>
        <v>107.10000000000001</v>
      </c>
      <c r="AB666" s="10">
        <f>Cleaned_data[[#This Row],[Unit_Price]]*Cleaned_data[[#This Row],[Discount_Pct]]</f>
        <v>0.47600000000000003</v>
      </c>
      <c r="AC666" s="10">
        <f>Cleaned_data[[#This Row],[Gross Sales]]-Cleaned_data[[#This Row],[Discount amount]]</f>
        <v>106.62400000000001</v>
      </c>
      <c r="AD666" s="10">
        <f>Cleaned_data[[#This Row],[Product Cost]]*Cleaned_data[[#This Row],[Quantity]]</f>
        <v>45</v>
      </c>
      <c r="AE666" s="10">
        <f>Cleaned_data[[#This Row],[Net Sales]]-Cleaned_data[[#This Row],[COGS]]</f>
        <v>61.624000000000009</v>
      </c>
      <c r="AF666" s="11">
        <f>Cleaned_data[[#This Row],[Gross Profit]]/Cleaned_data[[#This Row],[Net Sales]]</f>
        <v>0.57795618247298919</v>
      </c>
      <c r="AG666">
        <f>Cleaned_data[[#This Row],[Ship_Date]]-Cleaned_data[[#This Row],[Order_Date]]</f>
        <v>8</v>
      </c>
      <c r="AH666" t="str">
        <f>IF(Cleaned_data[[#This Row],[Delivery Days]]&gt;10,"late","on time")</f>
        <v>on time</v>
      </c>
      <c r="AI666" t="str">
        <f>TEXT(Cleaned_data[[#This Row],[Order_Date]],"mmmm")</f>
        <v>November</v>
      </c>
      <c r="AJ666" s="9" t="str">
        <f>"Q"&amp;ROUNDUP(MONTH(Cleaned_data[[#This Row],[Order_Date]])/3,0)</f>
        <v>Q4</v>
      </c>
    </row>
    <row r="667" spans="1:36">
      <c r="A667" t="s">
        <v>1162</v>
      </c>
      <c r="B667" s="9">
        <v>45967</v>
      </c>
      <c r="C667" s="9">
        <v>45969</v>
      </c>
      <c r="D667" t="s">
        <v>487</v>
      </c>
      <c r="E667" t="s">
        <v>470</v>
      </c>
      <c r="F667" t="s">
        <v>152</v>
      </c>
      <c r="G667" t="s">
        <v>75</v>
      </c>
      <c r="H667" t="s">
        <v>98</v>
      </c>
      <c r="I667" t="s">
        <v>99</v>
      </c>
      <c r="J667" t="s">
        <v>219</v>
      </c>
      <c r="K667" t="s">
        <v>79</v>
      </c>
      <c r="L667" t="s">
        <v>234</v>
      </c>
      <c r="M667" t="s">
        <v>235</v>
      </c>
      <c r="N667" t="s">
        <v>93</v>
      </c>
      <c r="O667" t="s">
        <v>236</v>
      </c>
      <c r="P667" s="8">
        <v>2</v>
      </c>
      <c r="Q667" s="10">
        <v>144.93</v>
      </c>
      <c r="R667" s="11">
        <v>0.1</v>
      </c>
      <c r="S667" s="10">
        <v>19.579999999999998</v>
      </c>
      <c r="T667" t="s">
        <v>134</v>
      </c>
      <c r="U667" t="s">
        <v>85</v>
      </c>
      <c r="V667" s="8">
        <v>1</v>
      </c>
      <c r="W667" t="s">
        <v>1270</v>
      </c>
      <c r="X667" t="str">
        <f>_xlfn.XLOOKUP(Cleaned_data[[#This Row],[Customer_ID]],Customers[S],Customers[Loyalty_Tier])</f>
        <v>Gold</v>
      </c>
      <c r="Y667" s="9">
        <f>_xlfn.XLOOKUP(Cleaned_data[[#This Row],[Customer_ID]],Customers[S],Customers[Signup_Date])</f>
        <v>44199</v>
      </c>
      <c r="Z667" s="12">
        <f>_xlfn.XLOOKUP(Cleaned_data[[#This Row],[SKU]],Products[SKU],Products[Standard_Cost])</f>
        <v>82</v>
      </c>
      <c r="AA667" s="10">
        <f>Cleaned_data[[#This Row],[Quantity]]*Cleaned_data[[#This Row],[Unit_Price]]</f>
        <v>289.86</v>
      </c>
      <c r="AB667" s="10">
        <f>Cleaned_data[[#This Row],[Unit_Price]]*Cleaned_data[[#This Row],[Discount_Pct]]</f>
        <v>14.493000000000002</v>
      </c>
      <c r="AC667" s="10">
        <f>Cleaned_data[[#This Row],[Gross Sales]]-Cleaned_data[[#This Row],[Discount amount]]</f>
        <v>275.36700000000002</v>
      </c>
      <c r="AD667" s="10">
        <f>Cleaned_data[[#This Row],[Product Cost]]*Cleaned_data[[#This Row],[Quantity]]</f>
        <v>164</v>
      </c>
      <c r="AE667" s="10">
        <f>Cleaned_data[[#This Row],[Net Sales]]-Cleaned_data[[#This Row],[COGS]]</f>
        <v>111.36700000000002</v>
      </c>
      <c r="AF667" s="11">
        <f>Cleaned_data[[#This Row],[Gross Profit]]/Cleaned_data[[#This Row],[Net Sales]]</f>
        <v>0.40443117730156486</v>
      </c>
      <c r="AG667">
        <f>Cleaned_data[[#This Row],[Ship_Date]]-Cleaned_data[[#This Row],[Order_Date]]</f>
        <v>2</v>
      </c>
      <c r="AH667" t="str">
        <f>IF(Cleaned_data[[#This Row],[Delivery Days]]&gt;10,"late","on time")</f>
        <v>on time</v>
      </c>
      <c r="AI667" t="str">
        <f>TEXT(Cleaned_data[[#This Row],[Order_Date]],"mmmm")</f>
        <v>November</v>
      </c>
      <c r="AJ667" s="9" t="str">
        <f>"Q"&amp;ROUNDUP(MONTH(Cleaned_data[[#This Row],[Order_Date]])/3,0)</f>
        <v>Q4</v>
      </c>
    </row>
    <row r="668" spans="1:36">
      <c r="A668" t="s">
        <v>1163</v>
      </c>
      <c r="B668" s="9">
        <v>45969</v>
      </c>
      <c r="C668" s="9">
        <v>45987</v>
      </c>
      <c r="D668" t="s">
        <v>353</v>
      </c>
      <c r="E668" t="s">
        <v>354</v>
      </c>
      <c r="F668" t="s">
        <v>74</v>
      </c>
      <c r="G668" t="s">
        <v>126</v>
      </c>
      <c r="H668" t="s">
        <v>160</v>
      </c>
      <c r="I668" t="s">
        <v>182</v>
      </c>
      <c r="J668" t="s">
        <v>129</v>
      </c>
      <c r="K668" t="s">
        <v>168</v>
      </c>
      <c r="L668" t="s">
        <v>431</v>
      </c>
      <c r="M668" t="s">
        <v>432</v>
      </c>
      <c r="N668" t="s">
        <v>103</v>
      </c>
      <c r="O668" t="s">
        <v>251</v>
      </c>
      <c r="P668" s="8">
        <v>8</v>
      </c>
      <c r="Q668" s="10">
        <v>37.36</v>
      </c>
      <c r="R668" s="11">
        <v>0.09</v>
      </c>
      <c r="S668" s="10">
        <v>15.14</v>
      </c>
      <c r="T668" t="s">
        <v>84</v>
      </c>
      <c r="U668" t="s">
        <v>85</v>
      </c>
      <c r="V668" s="8">
        <v>3</v>
      </c>
      <c r="W668" t="s">
        <v>1270</v>
      </c>
      <c r="X668" t="str">
        <f>_xlfn.XLOOKUP(Cleaned_data[[#This Row],[Customer_ID]],Customers[S],Customers[Loyalty_Tier])</f>
        <v>Bronze</v>
      </c>
      <c r="Y668" s="9">
        <f>_xlfn.XLOOKUP(Cleaned_data[[#This Row],[Customer_ID]],Customers[S],Customers[Signup_Date])</f>
        <v>44241</v>
      </c>
      <c r="Z668" s="12">
        <f>_xlfn.XLOOKUP(Cleaned_data[[#This Row],[SKU]],Products[SKU],Products[Standard_Cost])</f>
        <v>20</v>
      </c>
      <c r="AA668" s="10">
        <f>Cleaned_data[[#This Row],[Quantity]]*Cleaned_data[[#This Row],[Unit_Price]]</f>
        <v>298.88</v>
      </c>
      <c r="AB668" s="10">
        <f>Cleaned_data[[#This Row],[Unit_Price]]*Cleaned_data[[#This Row],[Discount_Pct]]</f>
        <v>3.3623999999999996</v>
      </c>
      <c r="AC668" s="10">
        <f>Cleaned_data[[#This Row],[Gross Sales]]-Cleaned_data[[#This Row],[Discount amount]]</f>
        <v>295.51760000000002</v>
      </c>
      <c r="AD668" s="10">
        <f>Cleaned_data[[#This Row],[Product Cost]]*Cleaned_data[[#This Row],[Quantity]]</f>
        <v>160</v>
      </c>
      <c r="AE668" s="10">
        <f>Cleaned_data[[#This Row],[Net Sales]]-Cleaned_data[[#This Row],[COGS]]</f>
        <v>135.51760000000002</v>
      </c>
      <c r="AF668" s="11">
        <f>Cleaned_data[[#This Row],[Gross Profit]]/Cleaned_data[[#This Row],[Net Sales]]</f>
        <v>0.4585770864408753</v>
      </c>
      <c r="AG668">
        <f>Cleaned_data[[#This Row],[Ship_Date]]-Cleaned_data[[#This Row],[Order_Date]]</f>
        <v>18</v>
      </c>
      <c r="AH668" t="str">
        <f>IF(Cleaned_data[[#This Row],[Delivery Days]]&gt;10,"late","on time")</f>
        <v>late</v>
      </c>
      <c r="AI668" t="str">
        <f>TEXT(Cleaned_data[[#This Row],[Order_Date]],"mmmm")</f>
        <v>November</v>
      </c>
      <c r="AJ668" s="9" t="str">
        <f>"Q"&amp;ROUNDUP(MONTH(Cleaned_data[[#This Row],[Order_Date]])/3,0)</f>
        <v>Q4</v>
      </c>
    </row>
    <row r="669" spans="1:36">
      <c r="A669" t="s">
        <v>1164</v>
      </c>
      <c r="B669" s="9">
        <v>45969</v>
      </c>
      <c r="C669" s="9">
        <v>45975</v>
      </c>
      <c r="D669" t="s">
        <v>297</v>
      </c>
      <c r="E669" t="s">
        <v>298</v>
      </c>
      <c r="F669" t="s">
        <v>74</v>
      </c>
      <c r="G669" t="s">
        <v>126</v>
      </c>
      <c r="H669" t="s">
        <v>291</v>
      </c>
      <c r="I669" t="s">
        <v>292</v>
      </c>
      <c r="J669" t="s">
        <v>219</v>
      </c>
      <c r="K669" t="s">
        <v>90</v>
      </c>
      <c r="L669" t="s">
        <v>91</v>
      </c>
      <c r="M669" t="s">
        <v>92</v>
      </c>
      <c r="N669" t="s">
        <v>93</v>
      </c>
      <c r="O669" t="s">
        <v>94</v>
      </c>
      <c r="P669" s="8">
        <v>2</v>
      </c>
      <c r="Q669" s="10">
        <v>318.92</v>
      </c>
      <c r="R669" s="11">
        <v>0.08</v>
      </c>
      <c r="S669" s="10">
        <v>24.32</v>
      </c>
      <c r="T669" t="s">
        <v>105</v>
      </c>
      <c r="U669" t="s">
        <v>85</v>
      </c>
      <c r="V669" s="8">
        <v>5</v>
      </c>
      <c r="W669" t="s">
        <v>1270</v>
      </c>
      <c r="X669" t="str">
        <f>_xlfn.XLOOKUP(Cleaned_data[[#This Row],[Customer_ID]],Customers[S],Customers[Loyalty_Tier])</f>
        <v>Bronze</v>
      </c>
      <c r="Y669" s="9">
        <f>_xlfn.XLOOKUP(Cleaned_data[[#This Row],[Customer_ID]],Customers[S],Customers[Signup_Date])</f>
        <v>44911</v>
      </c>
      <c r="Z669" s="12">
        <f>_xlfn.XLOOKUP(Cleaned_data[[#This Row],[SKU]],Products[SKU],Products[Standard_Cost])</f>
        <v>184</v>
      </c>
      <c r="AA669" s="10">
        <f>Cleaned_data[[#This Row],[Quantity]]*Cleaned_data[[#This Row],[Unit_Price]]</f>
        <v>637.84</v>
      </c>
      <c r="AB669" s="10">
        <f>Cleaned_data[[#This Row],[Unit_Price]]*Cleaned_data[[#This Row],[Discount_Pct]]</f>
        <v>25.5136</v>
      </c>
      <c r="AC669" s="10">
        <f>Cleaned_data[[#This Row],[Gross Sales]]-Cleaned_data[[#This Row],[Discount amount]]</f>
        <v>612.32640000000004</v>
      </c>
      <c r="AD669" s="10">
        <f>Cleaned_data[[#This Row],[Product Cost]]*Cleaned_data[[#This Row],[Quantity]]</f>
        <v>368</v>
      </c>
      <c r="AE669" s="10">
        <f>Cleaned_data[[#This Row],[Net Sales]]-Cleaned_data[[#This Row],[COGS]]</f>
        <v>244.32640000000004</v>
      </c>
      <c r="AF669" s="11">
        <f>Cleaned_data[[#This Row],[Gross Profit]]/Cleaned_data[[#This Row],[Net Sales]]</f>
        <v>0.3990133366779548</v>
      </c>
      <c r="AG669">
        <f>Cleaned_data[[#This Row],[Ship_Date]]-Cleaned_data[[#This Row],[Order_Date]]</f>
        <v>6</v>
      </c>
      <c r="AH669" t="str">
        <f>IF(Cleaned_data[[#This Row],[Delivery Days]]&gt;10,"late","on time")</f>
        <v>on time</v>
      </c>
      <c r="AI669" t="str">
        <f>TEXT(Cleaned_data[[#This Row],[Order_Date]],"mmmm")</f>
        <v>November</v>
      </c>
      <c r="AJ669" s="9" t="str">
        <f>"Q"&amp;ROUNDUP(MONTH(Cleaned_data[[#This Row],[Order_Date]])/3,0)</f>
        <v>Q4</v>
      </c>
    </row>
    <row r="670" spans="1:36">
      <c r="A670" t="s">
        <v>1165</v>
      </c>
      <c r="B670" s="9">
        <v>45970</v>
      </c>
      <c r="C670" s="9">
        <v>45979</v>
      </c>
      <c r="D670" t="s">
        <v>767</v>
      </c>
      <c r="E670" t="s">
        <v>617</v>
      </c>
      <c r="F670" t="s">
        <v>74</v>
      </c>
      <c r="G670" t="s">
        <v>138</v>
      </c>
      <c r="H670" t="s">
        <v>457</v>
      </c>
      <c r="I670" t="s">
        <v>458</v>
      </c>
      <c r="J670" t="s">
        <v>78</v>
      </c>
      <c r="K670" t="s">
        <v>147</v>
      </c>
      <c r="L670" t="s">
        <v>261</v>
      </c>
      <c r="M670" t="s">
        <v>262</v>
      </c>
      <c r="N670" t="s">
        <v>103</v>
      </c>
      <c r="O670" t="s">
        <v>104</v>
      </c>
      <c r="P670" s="8">
        <v>4</v>
      </c>
      <c r="Q670" s="10">
        <v>26.63</v>
      </c>
      <c r="R670" s="11">
        <v>0.1</v>
      </c>
      <c r="S670" s="10">
        <v>15.35</v>
      </c>
      <c r="T670" t="s">
        <v>105</v>
      </c>
      <c r="U670" t="s">
        <v>85</v>
      </c>
      <c r="V670" s="8">
        <v>5</v>
      </c>
      <c r="W670" t="s">
        <v>1270</v>
      </c>
      <c r="X670" t="str">
        <f>_xlfn.XLOOKUP(Cleaned_data[[#This Row],[Customer_ID]],Customers[S],Customers[Loyalty_Tier])</f>
        <v>Platinum</v>
      </c>
      <c r="Y670" s="9">
        <f>_xlfn.XLOOKUP(Cleaned_data[[#This Row],[Customer_ID]],Customers[S],Customers[Signup_Date])</f>
        <v>45269</v>
      </c>
      <c r="Z670" s="12">
        <f>_xlfn.XLOOKUP(Cleaned_data[[#This Row],[SKU]],Products[SKU],Products[Standard_Cost])</f>
        <v>12</v>
      </c>
      <c r="AA670" s="10">
        <f>Cleaned_data[[#This Row],[Quantity]]*Cleaned_data[[#This Row],[Unit_Price]]</f>
        <v>106.52</v>
      </c>
      <c r="AB670" s="10">
        <f>Cleaned_data[[#This Row],[Unit_Price]]*Cleaned_data[[#This Row],[Discount_Pct]]</f>
        <v>2.6630000000000003</v>
      </c>
      <c r="AC670" s="10">
        <f>Cleaned_data[[#This Row],[Gross Sales]]-Cleaned_data[[#This Row],[Discount amount]]</f>
        <v>103.857</v>
      </c>
      <c r="AD670" s="10">
        <f>Cleaned_data[[#This Row],[Product Cost]]*Cleaned_data[[#This Row],[Quantity]]</f>
        <v>48</v>
      </c>
      <c r="AE670" s="10">
        <f>Cleaned_data[[#This Row],[Net Sales]]-Cleaned_data[[#This Row],[COGS]]</f>
        <v>55.856999999999999</v>
      </c>
      <c r="AF670" s="11">
        <f>Cleaned_data[[#This Row],[Gross Profit]]/Cleaned_data[[#This Row],[Net Sales]]</f>
        <v>0.53782604927929745</v>
      </c>
      <c r="AG670">
        <f>Cleaned_data[[#This Row],[Ship_Date]]-Cleaned_data[[#This Row],[Order_Date]]</f>
        <v>9</v>
      </c>
      <c r="AH670" t="str">
        <f>IF(Cleaned_data[[#This Row],[Delivery Days]]&gt;10,"late","on time")</f>
        <v>on time</v>
      </c>
      <c r="AI670" t="str">
        <f>TEXT(Cleaned_data[[#This Row],[Order_Date]],"mmmm")</f>
        <v>November</v>
      </c>
      <c r="AJ670" s="9" t="str">
        <f>"Q"&amp;ROUNDUP(MONTH(Cleaned_data[[#This Row],[Order_Date]])/3,0)</f>
        <v>Q4</v>
      </c>
    </row>
    <row r="671" spans="1:36">
      <c r="A671" t="s">
        <v>1166</v>
      </c>
      <c r="B671" s="9">
        <v>45972</v>
      </c>
      <c r="C671" s="9">
        <v>45980</v>
      </c>
      <c r="D671" t="s">
        <v>556</v>
      </c>
      <c r="E671" t="s">
        <v>557</v>
      </c>
      <c r="F671" t="s">
        <v>152</v>
      </c>
      <c r="G671" t="s">
        <v>75</v>
      </c>
      <c r="H671" t="s">
        <v>212</v>
      </c>
      <c r="I671" t="s">
        <v>213</v>
      </c>
      <c r="J671" t="s">
        <v>109</v>
      </c>
      <c r="K671" t="s">
        <v>100</v>
      </c>
      <c r="L671" t="s">
        <v>175</v>
      </c>
      <c r="M671" t="s">
        <v>176</v>
      </c>
      <c r="N671" t="s">
        <v>93</v>
      </c>
      <c r="O671" t="s">
        <v>177</v>
      </c>
      <c r="P671" s="8">
        <v>3</v>
      </c>
      <c r="Q671" s="10">
        <v>171.91</v>
      </c>
      <c r="R671" s="11">
        <v>0.03</v>
      </c>
      <c r="S671" s="10">
        <v>29.14</v>
      </c>
      <c r="T671" t="s">
        <v>122</v>
      </c>
      <c r="U671" t="s">
        <v>85</v>
      </c>
      <c r="V671" s="8">
        <v>1</v>
      </c>
      <c r="W671" t="s">
        <v>1270</v>
      </c>
      <c r="X671" t="str">
        <f>_xlfn.XLOOKUP(Cleaned_data[[#This Row],[Customer_ID]],Customers[S],Customers[Loyalty_Tier])</f>
        <v>Platinum</v>
      </c>
      <c r="Y671" s="9">
        <f>_xlfn.XLOOKUP(Cleaned_data[[#This Row],[Customer_ID]],Customers[S],Customers[Signup_Date])</f>
        <v>44341</v>
      </c>
      <c r="Z671" s="12">
        <f>_xlfn.XLOOKUP(Cleaned_data[[#This Row],[SKU]],Products[SKU],Products[Standard_Cost])</f>
        <v>88</v>
      </c>
      <c r="AA671" s="10">
        <f>Cleaned_data[[#This Row],[Quantity]]*Cleaned_data[[#This Row],[Unit_Price]]</f>
        <v>515.73</v>
      </c>
      <c r="AB671" s="10">
        <f>Cleaned_data[[#This Row],[Unit_Price]]*Cleaned_data[[#This Row],[Discount_Pct]]</f>
        <v>5.1572999999999993</v>
      </c>
      <c r="AC671" s="10">
        <f>Cleaned_data[[#This Row],[Gross Sales]]-Cleaned_data[[#This Row],[Discount amount]]</f>
        <v>510.5727</v>
      </c>
      <c r="AD671" s="10">
        <f>Cleaned_data[[#This Row],[Product Cost]]*Cleaned_data[[#This Row],[Quantity]]</f>
        <v>264</v>
      </c>
      <c r="AE671" s="10">
        <f>Cleaned_data[[#This Row],[Net Sales]]-Cleaned_data[[#This Row],[COGS]]</f>
        <v>246.5727</v>
      </c>
      <c r="AF671" s="11">
        <f>Cleaned_data[[#This Row],[Gross Profit]]/Cleaned_data[[#This Row],[Net Sales]]</f>
        <v>0.48293357635455242</v>
      </c>
      <c r="AG671">
        <f>Cleaned_data[[#This Row],[Ship_Date]]-Cleaned_data[[#This Row],[Order_Date]]</f>
        <v>8</v>
      </c>
      <c r="AH671" t="str">
        <f>IF(Cleaned_data[[#This Row],[Delivery Days]]&gt;10,"late","on time")</f>
        <v>on time</v>
      </c>
      <c r="AI671" t="str">
        <f>TEXT(Cleaned_data[[#This Row],[Order_Date]],"mmmm")</f>
        <v>November</v>
      </c>
      <c r="AJ671" s="9" t="str">
        <f>"Q"&amp;ROUNDUP(MONTH(Cleaned_data[[#This Row],[Order_Date]])/3,0)</f>
        <v>Q4</v>
      </c>
    </row>
    <row r="672" spans="1:36">
      <c r="A672" t="s">
        <v>1167</v>
      </c>
      <c r="B672" s="9">
        <v>45974</v>
      </c>
      <c r="C672" s="9">
        <v>45976</v>
      </c>
      <c r="D672" t="s">
        <v>424</v>
      </c>
      <c r="E672" t="s">
        <v>425</v>
      </c>
      <c r="F672" t="s">
        <v>152</v>
      </c>
      <c r="G672" t="s">
        <v>138</v>
      </c>
      <c r="H672" t="s">
        <v>347</v>
      </c>
      <c r="I672" t="s">
        <v>348</v>
      </c>
      <c r="J672" t="s">
        <v>109</v>
      </c>
      <c r="K672" t="s">
        <v>79</v>
      </c>
      <c r="L672" t="s">
        <v>359</v>
      </c>
      <c r="M672" t="s">
        <v>360</v>
      </c>
      <c r="N672" t="s">
        <v>93</v>
      </c>
      <c r="O672" t="s">
        <v>94</v>
      </c>
      <c r="P672" s="8">
        <v>1</v>
      </c>
      <c r="Q672" s="10">
        <v>430.75</v>
      </c>
      <c r="R672" s="11">
        <v>0.02</v>
      </c>
      <c r="S672" s="10">
        <v>21.28</v>
      </c>
      <c r="T672" t="s">
        <v>84</v>
      </c>
      <c r="U672" t="s">
        <v>85</v>
      </c>
      <c r="V672" s="8">
        <v>2</v>
      </c>
      <c r="W672" t="s">
        <v>1270</v>
      </c>
      <c r="X672" t="str">
        <f>_xlfn.XLOOKUP(Cleaned_data[[#This Row],[Customer_ID]],Customers[S],Customers[Loyalty_Tier])</f>
        <v>Bronze</v>
      </c>
      <c r="Y672" s="9">
        <f>_xlfn.XLOOKUP(Cleaned_data[[#This Row],[Customer_ID]],Customers[S],Customers[Signup_Date])</f>
        <v>45859</v>
      </c>
      <c r="Z672" s="12">
        <f>_xlfn.XLOOKUP(Cleaned_data[[#This Row],[SKU]],Products[SKU],Products[Standard_Cost])</f>
        <v>265</v>
      </c>
      <c r="AA672" s="10">
        <f>Cleaned_data[[#This Row],[Quantity]]*Cleaned_data[[#This Row],[Unit_Price]]</f>
        <v>430.75</v>
      </c>
      <c r="AB672" s="10">
        <f>Cleaned_data[[#This Row],[Unit_Price]]*Cleaned_data[[#This Row],[Discount_Pct]]</f>
        <v>8.6150000000000002</v>
      </c>
      <c r="AC672" s="10">
        <f>Cleaned_data[[#This Row],[Gross Sales]]-Cleaned_data[[#This Row],[Discount amount]]</f>
        <v>422.13499999999999</v>
      </c>
      <c r="AD672" s="10">
        <f>Cleaned_data[[#This Row],[Product Cost]]*Cleaned_data[[#This Row],[Quantity]]</f>
        <v>265</v>
      </c>
      <c r="AE672" s="10">
        <f>Cleaned_data[[#This Row],[Net Sales]]-Cleaned_data[[#This Row],[COGS]]</f>
        <v>157.13499999999999</v>
      </c>
      <c r="AF672" s="11">
        <f>Cleaned_data[[#This Row],[Gross Profit]]/Cleaned_data[[#This Row],[Net Sales]]</f>
        <v>0.37223873879209257</v>
      </c>
      <c r="AG672">
        <f>Cleaned_data[[#This Row],[Ship_Date]]-Cleaned_data[[#This Row],[Order_Date]]</f>
        <v>2</v>
      </c>
      <c r="AH672" t="str">
        <f>IF(Cleaned_data[[#This Row],[Delivery Days]]&gt;10,"late","on time")</f>
        <v>on time</v>
      </c>
      <c r="AI672" t="str">
        <f>TEXT(Cleaned_data[[#This Row],[Order_Date]],"mmmm")</f>
        <v>November</v>
      </c>
      <c r="AJ672" s="9" t="str">
        <f>"Q"&amp;ROUNDUP(MONTH(Cleaned_data[[#This Row],[Order_Date]])/3,0)</f>
        <v>Q4</v>
      </c>
    </row>
    <row r="673" spans="1:36">
      <c r="A673" t="s">
        <v>1168</v>
      </c>
      <c r="B673" s="9">
        <v>45975</v>
      </c>
      <c r="C673" s="9">
        <v>45978</v>
      </c>
      <c r="D673" t="s">
        <v>500</v>
      </c>
      <c r="E673" t="s">
        <v>501</v>
      </c>
      <c r="F673" t="s">
        <v>152</v>
      </c>
      <c r="G673" t="s">
        <v>194</v>
      </c>
      <c r="H673" t="s">
        <v>202</v>
      </c>
      <c r="I673" t="s">
        <v>203</v>
      </c>
      <c r="J673" t="s">
        <v>78</v>
      </c>
      <c r="K673" t="s">
        <v>130</v>
      </c>
      <c r="L673" t="s">
        <v>188</v>
      </c>
      <c r="M673" t="s">
        <v>189</v>
      </c>
      <c r="N673" t="s">
        <v>120</v>
      </c>
      <c r="O673" t="s">
        <v>190</v>
      </c>
      <c r="P673" s="8">
        <v>4</v>
      </c>
      <c r="Q673" s="10">
        <v>60.26</v>
      </c>
      <c r="R673" s="11">
        <v>7.0000000000000007E-2</v>
      </c>
      <c r="S673" s="10">
        <v>12.29</v>
      </c>
      <c r="T673" t="s">
        <v>105</v>
      </c>
      <c r="U673" t="s">
        <v>85</v>
      </c>
      <c r="V673" s="8">
        <v>3</v>
      </c>
      <c r="W673" t="s">
        <v>1270</v>
      </c>
      <c r="X673" t="str">
        <f>_xlfn.XLOOKUP(Cleaned_data[[#This Row],[Customer_ID]],Customers[S],Customers[Loyalty_Tier])</f>
        <v>Gold</v>
      </c>
      <c r="Y673" s="9">
        <f>_xlfn.XLOOKUP(Cleaned_data[[#This Row],[Customer_ID]],Customers[S],Customers[Signup_Date])</f>
        <v>44897</v>
      </c>
      <c r="Z673" s="12">
        <f>_xlfn.XLOOKUP(Cleaned_data[[#This Row],[SKU]],Products[SKU],Products[Standard_Cost])</f>
        <v>28</v>
      </c>
      <c r="AA673" s="10">
        <f>Cleaned_data[[#This Row],[Quantity]]*Cleaned_data[[#This Row],[Unit_Price]]</f>
        <v>241.04</v>
      </c>
      <c r="AB673" s="10">
        <f>Cleaned_data[[#This Row],[Unit_Price]]*Cleaned_data[[#This Row],[Discount_Pct]]</f>
        <v>4.2182000000000004</v>
      </c>
      <c r="AC673" s="10">
        <f>Cleaned_data[[#This Row],[Gross Sales]]-Cleaned_data[[#This Row],[Discount amount]]</f>
        <v>236.8218</v>
      </c>
      <c r="AD673" s="10">
        <f>Cleaned_data[[#This Row],[Product Cost]]*Cleaned_data[[#This Row],[Quantity]]</f>
        <v>112</v>
      </c>
      <c r="AE673" s="10">
        <f>Cleaned_data[[#This Row],[Net Sales]]-Cleaned_data[[#This Row],[COGS]]</f>
        <v>124.8218</v>
      </c>
      <c r="AF673" s="11">
        <f>Cleaned_data[[#This Row],[Gross Profit]]/Cleaned_data[[#This Row],[Net Sales]]</f>
        <v>0.52707056529424234</v>
      </c>
      <c r="AG673">
        <f>Cleaned_data[[#This Row],[Ship_Date]]-Cleaned_data[[#This Row],[Order_Date]]</f>
        <v>3</v>
      </c>
      <c r="AH673" t="str">
        <f>IF(Cleaned_data[[#This Row],[Delivery Days]]&gt;10,"late","on time")</f>
        <v>on time</v>
      </c>
      <c r="AI673" t="str">
        <f>TEXT(Cleaned_data[[#This Row],[Order_Date]],"mmmm")</f>
        <v>November</v>
      </c>
      <c r="AJ673" s="9" t="str">
        <f>"Q"&amp;ROUNDUP(MONTH(Cleaned_data[[#This Row],[Order_Date]])/3,0)</f>
        <v>Q4</v>
      </c>
    </row>
    <row r="674" spans="1:36">
      <c r="A674" t="s">
        <v>1169</v>
      </c>
      <c r="B674" s="9">
        <v>45975</v>
      </c>
      <c r="C674" s="9">
        <v>45984</v>
      </c>
      <c r="D674" t="s">
        <v>469</v>
      </c>
      <c r="E674" t="s">
        <v>470</v>
      </c>
      <c r="F674" t="s">
        <v>89</v>
      </c>
      <c r="G674" t="s">
        <v>138</v>
      </c>
      <c r="H674" t="s">
        <v>186</v>
      </c>
      <c r="I674" t="s">
        <v>187</v>
      </c>
      <c r="J674" t="s">
        <v>219</v>
      </c>
      <c r="K674" t="s">
        <v>168</v>
      </c>
      <c r="L674" t="s">
        <v>110</v>
      </c>
      <c r="M674" t="s">
        <v>111</v>
      </c>
      <c r="N674" t="s">
        <v>82</v>
      </c>
      <c r="O674" t="s">
        <v>112</v>
      </c>
      <c r="P674" s="8">
        <v>7</v>
      </c>
      <c r="Q674" s="10">
        <v>333.53</v>
      </c>
      <c r="R674" s="11">
        <v>0.06</v>
      </c>
      <c r="S674" s="10">
        <v>13.17</v>
      </c>
      <c r="T674" t="s">
        <v>122</v>
      </c>
      <c r="U674" t="s">
        <v>85</v>
      </c>
      <c r="V674" s="8">
        <v>5</v>
      </c>
      <c r="W674" t="s">
        <v>1270</v>
      </c>
      <c r="X674" t="str">
        <f>_xlfn.XLOOKUP(Cleaned_data[[#This Row],[Customer_ID]],Customers[S],Customers[Loyalty_Tier])</f>
        <v>Platinum</v>
      </c>
      <c r="Y674" s="9">
        <f>_xlfn.XLOOKUP(Cleaned_data[[#This Row],[Customer_ID]],Customers[S],Customers[Signup_Date])</f>
        <v>45102</v>
      </c>
      <c r="Z674" s="12">
        <f>_xlfn.XLOOKUP(Cleaned_data[[#This Row],[SKU]],Products[SKU],Products[Standard_Cost])</f>
        <v>165</v>
      </c>
      <c r="AA674" s="10">
        <f>Cleaned_data[[#This Row],[Quantity]]*Cleaned_data[[#This Row],[Unit_Price]]</f>
        <v>2334.71</v>
      </c>
      <c r="AB674" s="10">
        <f>Cleaned_data[[#This Row],[Unit_Price]]*Cleaned_data[[#This Row],[Discount_Pct]]</f>
        <v>20.011799999999997</v>
      </c>
      <c r="AC674" s="10">
        <f>Cleaned_data[[#This Row],[Gross Sales]]-Cleaned_data[[#This Row],[Discount amount]]</f>
        <v>2314.6981999999998</v>
      </c>
      <c r="AD674" s="10">
        <f>Cleaned_data[[#This Row],[Product Cost]]*Cleaned_data[[#This Row],[Quantity]]</f>
        <v>1155</v>
      </c>
      <c r="AE674" s="10">
        <f>Cleaned_data[[#This Row],[Net Sales]]-Cleaned_data[[#This Row],[COGS]]</f>
        <v>1159.6981999999998</v>
      </c>
      <c r="AF674" s="11">
        <f>Cleaned_data[[#This Row],[Gross Profit]]/Cleaned_data[[#This Row],[Net Sales]]</f>
        <v>0.5010148623263283</v>
      </c>
      <c r="AG674">
        <f>Cleaned_data[[#This Row],[Ship_Date]]-Cleaned_data[[#This Row],[Order_Date]]</f>
        <v>9</v>
      </c>
      <c r="AH674" t="str">
        <f>IF(Cleaned_data[[#This Row],[Delivery Days]]&gt;10,"late","on time")</f>
        <v>on time</v>
      </c>
      <c r="AI674" t="str">
        <f>TEXT(Cleaned_data[[#This Row],[Order_Date]],"mmmm")</f>
        <v>November</v>
      </c>
      <c r="AJ674" s="9" t="str">
        <f>"Q"&amp;ROUNDUP(MONTH(Cleaned_data[[#This Row],[Order_Date]])/3,0)</f>
        <v>Q4</v>
      </c>
    </row>
    <row r="675" spans="1:36">
      <c r="A675" t="s">
        <v>1170</v>
      </c>
      <c r="B675" s="9">
        <v>45975</v>
      </c>
      <c r="C675" s="9">
        <v>45978</v>
      </c>
      <c r="D675" t="s">
        <v>158</v>
      </c>
      <c r="E675" t="s">
        <v>159</v>
      </c>
      <c r="F675" t="s">
        <v>89</v>
      </c>
      <c r="G675" t="s">
        <v>126</v>
      </c>
      <c r="H675" t="s">
        <v>160</v>
      </c>
      <c r="I675" t="s">
        <v>161</v>
      </c>
      <c r="J675" t="s">
        <v>129</v>
      </c>
      <c r="K675" t="s">
        <v>130</v>
      </c>
      <c r="L675" t="s">
        <v>197</v>
      </c>
      <c r="M675" t="s">
        <v>198</v>
      </c>
      <c r="N675" t="s">
        <v>120</v>
      </c>
      <c r="O675" t="s">
        <v>121</v>
      </c>
      <c r="P675" s="8">
        <v>3</v>
      </c>
      <c r="Q675" s="10">
        <v>548.69000000000005</v>
      </c>
      <c r="R675" s="11">
        <v>0.12</v>
      </c>
      <c r="S675" s="10">
        <v>16.38</v>
      </c>
      <c r="T675" t="s">
        <v>122</v>
      </c>
      <c r="U675" t="s">
        <v>85</v>
      </c>
      <c r="W675" t="s">
        <v>1270</v>
      </c>
      <c r="X675" t="str">
        <f>_xlfn.XLOOKUP(Cleaned_data[[#This Row],[Customer_ID]],Customers[S],Customers[Loyalty_Tier])</f>
        <v>Silver</v>
      </c>
      <c r="Y675" s="9">
        <f>_xlfn.XLOOKUP(Cleaned_data[[#This Row],[Customer_ID]],Customers[S],Customers[Signup_Date])</f>
        <v>44476</v>
      </c>
      <c r="Z675" s="12">
        <f>_xlfn.XLOOKUP(Cleaned_data[[#This Row],[SKU]],Products[SKU],Products[Standard_Cost])</f>
        <v>310</v>
      </c>
      <c r="AA675" s="10">
        <f>Cleaned_data[[#This Row],[Quantity]]*Cleaned_data[[#This Row],[Unit_Price]]</f>
        <v>1646.0700000000002</v>
      </c>
      <c r="AB675" s="10">
        <f>Cleaned_data[[#This Row],[Unit_Price]]*Cleaned_data[[#This Row],[Discount_Pct]]</f>
        <v>65.842800000000011</v>
      </c>
      <c r="AC675" s="10">
        <f>Cleaned_data[[#This Row],[Gross Sales]]-Cleaned_data[[#This Row],[Discount amount]]</f>
        <v>1580.2272000000003</v>
      </c>
      <c r="AD675" s="10">
        <f>Cleaned_data[[#This Row],[Product Cost]]*Cleaned_data[[#This Row],[Quantity]]</f>
        <v>930</v>
      </c>
      <c r="AE675" s="10">
        <f>Cleaned_data[[#This Row],[Net Sales]]-Cleaned_data[[#This Row],[COGS]]</f>
        <v>650.22720000000027</v>
      </c>
      <c r="AF675" s="11">
        <f>Cleaned_data[[#This Row],[Gross Profit]]/Cleaned_data[[#This Row],[Net Sales]]</f>
        <v>0.41147703317598899</v>
      </c>
      <c r="AG675">
        <f>Cleaned_data[[#This Row],[Ship_Date]]-Cleaned_data[[#This Row],[Order_Date]]</f>
        <v>3</v>
      </c>
      <c r="AH675" t="str">
        <f>IF(Cleaned_data[[#This Row],[Delivery Days]]&gt;10,"late","on time")</f>
        <v>on time</v>
      </c>
      <c r="AI675" t="str">
        <f>TEXT(Cleaned_data[[#This Row],[Order_Date]],"mmmm")</f>
        <v>November</v>
      </c>
      <c r="AJ675" s="9" t="str">
        <f>"Q"&amp;ROUNDUP(MONTH(Cleaned_data[[#This Row],[Order_Date]])/3,0)</f>
        <v>Q4</v>
      </c>
    </row>
    <row r="676" spans="1:36">
      <c r="A676" t="s">
        <v>1171</v>
      </c>
      <c r="B676" s="9">
        <v>45978</v>
      </c>
      <c r="C676" s="9">
        <v>45993</v>
      </c>
      <c r="D676" t="s">
        <v>586</v>
      </c>
      <c r="E676" t="s">
        <v>587</v>
      </c>
      <c r="F676" t="s">
        <v>89</v>
      </c>
      <c r="G676" t="s">
        <v>138</v>
      </c>
      <c r="H676" t="s">
        <v>139</v>
      </c>
      <c r="I676" t="s">
        <v>140</v>
      </c>
      <c r="J676" t="s">
        <v>78</v>
      </c>
      <c r="K676" t="s">
        <v>147</v>
      </c>
      <c r="L676" t="s">
        <v>220</v>
      </c>
      <c r="M676" t="s">
        <v>221</v>
      </c>
      <c r="N676" t="s">
        <v>93</v>
      </c>
      <c r="O676" t="s">
        <v>177</v>
      </c>
      <c r="P676" s="8">
        <v>3</v>
      </c>
      <c r="Q676" s="10">
        <v>223.44</v>
      </c>
      <c r="R676" s="11">
        <v>0.11</v>
      </c>
      <c r="S676" s="10">
        <v>20.89</v>
      </c>
      <c r="T676" t="s">
        <v>122</v>
      </c>
      <c r="U676" t="s">
        <v>85</v>
      </c>
      <c r="V676" s="8">
        <v>4</v>
      </c>
      <c r="W676" t="s">
        <v>1270</v>
      </c>
      <c r="X676" t="str">
        <f>_xlfn.XLOOKUP(Cleaned_data[[#This Row],[Customer_ID]],Customers[S],Customers[Loyalty_Tier])</f>
        <v>Silver</v>
      </c>
      <c r="Y676" s="9">
        <f>_xlfn.XLOOKUP(Cleaned_data[[#This Row],[Customer_ID]],Customers[S],Customers[Signup_Date])</f>
        <v>45201</v>
      </c>
      <c r="Z676" s="12">
        <f>_xlfn.XLOOKUP(Cleaned_data[[#This Row],[SKU]],Products[SKU],Products[Standard_Cost])</f>
        <v>118</v>
      </c>
      <c r="AA676" s="10">
        <f>Cleaned_data[[#This Row],[Quantity]]*Cleaned_data[[#This Row],[Unit_Price]]</f>
        <v>670.31999999999994</v>
      </c>
      <c r="AB676" s="10">
        <f>Cleaned_data[[#This Row],[Unit_Price]]*Cleaned_data[[#This Row],[Discount_Pct]]</f>
        <v>24.578399999999998</v>
      </c>
      <c r="AC676" s="10">
        <f>Cleaned_data[[#This Row],[Gross Sales]]-Cleaned_data[[#This Row],[Discount amount]]</f>
        <v>645.74159999999995</v>
      </c>
      <c r="AD676" s="10">
        <f>Cleaned_data[[#This Row],[Product Cost]]*Cleaned_data[[#This Row],[Quantity]]</f>
        <v>354</v>
      </c>
      <c r="AE676" s="10">
        <f>Cleaned_data[[#This Row],[Net Sales]]-Cleaned_data[[#This Row],[COGS]]</f>
        <v>291.74159999999995</v>
      </c>
      <c r="AF676" s="11">
        <f>Cleaned_data[[#This Row],[Gross Profit]]/Cleaned_data[[#This Row],[Net Sales]]</f>
        <v>0.45179310114138532</v>
      </c>
      <c r="AG676">
        <f>Cleaned_data[[#This Row],[Ship_Date]]-Cleaned_data[[#This Row],[Order_Date]]</f>
        <v>15</v>
      </c>
      <c r="AH676" t="str">
        <f>IF(Cleaned_data[[#This Row],[Delivery Days]]&gt;10,"late","on time")</f>
        <v>late</v>
      </c>
      <c r="AI676" t="str">
        <f>TEXT(Cleaned_data[[#This Row],[Order_Date]],"mmmm")</f>
        <v>November</v>
      </c>
      <c r="AJ676" s="9" t="str">
        <f>"Q"&amp;ROUNDUP(MONTH(Cleaned_data[[#This Row],[Order_Date]])/3,0)</f>
        <v>Q4</v>
      </c>
    </row>
    <row r="677" spans="1:36">
      <c r="A677" t="s">
        <v>1172</v>
      </c>
      <c r="B677" s="9">
        <v>45978</v>
      </c>
      <c r="C677" s="9">
        <v>45985</v>
      </c>
      <c r="D677" t="s">
        <v>844</v>
      </c>
      <c r="E677" t="s">
        <v>845</v>
      </c>
      <c r="F677" t="s">
        <v>74</v>
      </c>
      <c r="G677" t="s">
        <v>138</v>
      </c>
      <c r="H677" t="s">
        <v>186</v>
      </c>
      <c r="I677" t="s">
        <v>187</v>
      </c>
      <c r="J677" t="s">
        <v>219</v>
      </c>
      <c r="K677" t="s">
        <v>100</v>
      </c>
      <c r="L677" t="s">
        <v>131</v>
      </c>
      <c r="M677" t="s">
        <v>132</v>
      </c>
      <c r="N677" t="s">
        <v>120</v>
      </c>
      <c r="O677" t="s">
        <v>133</v>
      </c>
      <c r="P677" s="8">
        <v>2</v>
      </c>
      <c r="Q677" s="10">
        <v>88.29</v>
      </c>
      <c r="R677" s="11">
        <v>0.01</v>
      </c>
      <c r="S677" s="10">
        <v>21.44</v>
      </c>
      <c r="T677" t="s">
        <v>122</v>
      </c>
      <c r="U677" t="s">
        <v>85</v>
      </c>
      <c r="V677" s="8">
        <v>2</v>
      </c>
      <c r="W677" t="s">
        <v>1270</v>
      </c>
      <c r="X677" t="str">
        <f>_xlfn.XLOOKUP(Cleaned_data[[#This Row],[Customer_ID]],Customers[S],Customers[Loyalty_Tier])</f>
        <v>Silver</v>
      </c>
      <c r="Y677" s="9">
        <f>_xlfn.XLOOKUP(Cleaned_data[[#This Row],[Customer_ID]],Customers[S],Customers[Signup_Date])</f>
        <v>45706</v>
      </c>
      <c r="Z677" s="12">
        <f>_xlfn.XLOOKUP(Cleaned_data[[#This Row],[SKU]],Products[SKU],Products[Standard_Cost])</f>
        <v>44</v>
      </c>
      <c r="AA677" s="10">
        <f>Cleaned_data[[#This Row],[Quantity]]*Cleaned_data[[#This Row],[Unit_Price]]</f>
        <v>176.58</v>
      </c>
      <c r="AB677" s="10">
        <f>Cleaned_data[[#This Row],[Unit_Price]]*Cleaned_data[[#This Row],[Discount_Pct]]</f>
        <v>0.88290000000000013</v>
      </c>
      <c r="AC677" s="10">
        <f>Cleaned_data[[#This Row],[Gross Sales]]-Cleaned_data[[#This Row],[Discount amount]]</f>
        <v>175.69710000000001</v>
      </c>
      <c r="AD677" s="10">
        <f>Cleaned_data[[#This Row],[Product Cost]]*Cleaned_data[[#This Row],[Quantity]]</f>
        <v>88</v>
      </c>
      <c r="AE677" s="10">
        <f>Cleaned_data[[#This Row],[Net Sales]]-Cleaned_data[[#This Row],[COGS]]</f>
        <v>87.697100000000006</v>
      </c>
      <c r="AF677" s="11">
        <f>Cleaned_data[[#This Row],[Gross Profit]]/Cleaned_data[[#This Row],[Net Sales]]</f>
        <v>0.49913800512359058</v>
      </c>
      <c r="AG677">
        <f>Cleaned_data[[#This Row],[Ship_Date]]-Cleaned_data[[#This Row],[Order_Date]]</f>
        <v>7</v>
      </c>
      <c r="AH677" t="str">
        <f>IF(Cleaned_data[[#This Row],[Delivery Days]]&gt;10,"late","on time")</f>
        <v>on time</v>
      </c>
      <c r="AI677" t="str">
        <f>TEXT(Cleaned_data[[#This Row],[Order_Date]],"mmmm")</f>
        <v>November</v>
      </c>
      <c r="AJ677" s="9" t="str">
        <f>"Q"&amp;ROUNDUP(MONTH(Cleaned_data[[#This Row],[Order_Date]])/3,0)</f>
        <v>Q4</v>
      </c>
    </row>
    <row r="678" spans="1:36">
      <c r="A678" t="s">
        <v>1173</v>
      </c>
      <c r="B678" s="9">
        <v>45979</v>
      </c>
      <c r="C678" s="9">
        <v>45987</v>
      </c>
      <c r="D678" t="s">
        <v>456</v>
      </c>
      <c r="E678" t="s">
        <v>369</v>
      </c>
      <c r="F678" t="s">
        <v>89</v>
      </c>
      <c r="G678" t="s">
        <v>138</v>
      </c>
      <c r="H678" t="s">
        <v>457</v>
      </c>
      <c r="I678" t="s">
        <v>458</v>
      </c>
      <c r="J678" t="s">
        <v>78</v>
      </c>
      <c r="K678" t="s">
        <v>168</v>
      </c>
      <c r="L678" t="s">
        <v>220</v>
      </c>
      <c r="M678" t="s">
        <v>221</v>
      </c>
      <c r="N678" t="s">
        <v>93</v>
      </c>
      <c r="O678" t="s">
        <v>177</v>
      </c>
      <c r="P678" s="8">
        <v>3</v>
      </c>
      <c r="Q678" s="10">
        <v>215.54</v>
      </c>
      <c r="R678" s="11">
        <v>0.1</v>
      </c>
      <c r="S678" s="10">
        <v>21.45</v>
      </c>
      <c r="T678" t="s">
        <v>122</v>
      </c>
      <c r="U678" t="s">
        <v>85</v>
      </c>
      <c r="V678" s="8">
        <v>2</v>
      </c>
      <c r="W678" t="s">
        <v>1270</v>
      </c>
      <c r="X678" t="str">
        <f>_xlfn.XLOOKUP(Cleaned_data[[#This Row],[Customer_ID]],Customers[S],Customers[Loyalty_Tier])</f>
        <v>Bronze</v>
      </c>
      <c r="Y678" s="9">
        <f>_xlfn.XLOOKUP(Cleaned_data[[#This Row],[Customer_ID]],Customers[S],Customers[Signup_Date])</f>
        <v>44735</v>
      </c>
      <c r="Z678" s="12">
        <f>_xlfn.XLOOKUP(Cleaned_data[[#This Row],[SKU]],Products[SKU],Products[Standard_Cost])</f>
        <v>118</v>
      </c>
      <c r="AA678" s="10">
        <f>Cleaned_data[[#This Row],[Quantity]]*Cleaned_data[[#This Row],[Unit_Price]]</f>
        <v>646.62</v>
      </c>
      <c r="AB678" s="10">
        <f>Cleaned_data[[#This Row],[Unit_Price]]*Cleaned_data[[#This Row],[Discount_Pct]]</f>
        <v>21.554000000000002</v>
      </c>
      <c r="AC678" s="10">
        <f>Cleaned_data[[#This Row],[Gross Sales]]-Cleaned_data[[#This Row],[Discount amount]]</f>
        <v>625.06600000000003</v>
      </c>
      <c r="AD678" s="10">
        <f>Cleaned_data[[#This Row],[Product Cost]]*Cleaned_data[[#This Row],[Quantity]]</f>
        <v>354</v>
      </c>
      <c r="AE678" s="10">
        <f>Cleaned_data[[#This Row],[Net Sales]]-Cleaned_data[[#This Row],[COGS]]</f>
        <v>271.06600000000003</v>
      </c>
      <c r="AF678" s="11">
        <f>Cleaned_data[[#This Row],[Gross Profit]]/Cleaned_data[[#This Row],[Net Sales]]</f>
        <v>0.43365980552453665</v>
      </c>
      <c r="AG678">
        <f>Cleaned_data[[#This Row],[Ship_Date]]-Cleaned_data[[#This Row],[Order_Date]]</f>
        <v>8</v>
      </c>
      <c r="AH678" t="str">
        <f>IF(Cleaned_data[[#This Row],[Delivery Days]]&gt;10,"late","on time")</f>
        <v>on time</v>
      </c>
      <c r="AI678" t="str">
        <f>TEXT(Cleaned_data[[#This Row],[Order_Date]],"mmmm")</f>
        <v>November</v>
      </c>
      <c r="AJ678" s="9" t="str">
        <f>"Q"&amp;ROUNDUP(MONTH(Cleaned_data[[#This Row],[Order_Date]])/3,0)</f>
        <v>Q4</v>
      </c>
    </row>
    <row r="679" spans="1:36">
      <c r="A679" t="s">
        <v>1174</v>
      </c>
      <c r="B679" s="9">
        <v>45979</v>
      </c>
      <c r="C679" s="9">
        <v>45983</v>
      </c>
      <c r="D679" t="s">
        <v>508</v>
      </c>
      <c r="E679" t="s">
        <v>509</v>
      </c>
      <c r="F679" t="s">
        <v>74</v>
      </c>
      <c r="G679" t="s">
        <v>75</v>
      </c>
      <c r="H679" t="s">
        <v>76</v>
      </c>
      <c r="I679" t="s">
        <v>77</v>
      </c>
      <c r="J679" t="s">
        <v>219</v>
      </c>
      <c r="K679" t="s">
        <v>90</v>
      </c>
      <c r="L679" t="s">
        <v>261</v>
      </c>
      <c r="M679" t="s">
        <v>262</v>
      </c>
      <c r="N679" t="s">
        <v>103</v>
      </c>
      <c r="O679" t="s">
        <v>104</v>
      </c>
      <c r="P679" s="8">
        <v>4</v>
      </c>
      <c r="Q679" s="10">
        <v>25.51</v>
      </c>
      <c r="R679" s="11">
        <v>0.05</v>
      </c>
      <c r="S679" s="10">
        <v>12.18</v>
      </c>
      <c r="T679" t="s">
        <v>122</v>
      </c>
      <c r="U679" t="s">
        <v>85</v>
      </c>
      <c r="V679" s="8">
        <v>3</v>
      </c>
      <c r="W679" t="s">
        <v>1270</v>
      </c>
      <c r="X679" t="str">
        <f>_xlfn.XLOOKUP(Cleaned_data[[#This Row],[Customer_ID]],Customers[S],Customers[Loyalty_Tier])</f>
        <v>Platinum</v>
      </c>
      <c r="Y679" s="9">
        <f>_xlfn.XLOOKUP(Cleaned_data[[#This Row],[Customer_ID]],Customers[S],Customers[Signup_Date])</f>
        <v>44820</v>
      </c>
      <c r="Z679" s="12">
        <f>_xlfn.XLOOKUP(Cleaned_data[[#This Row],[SKU]],Products[SKU],Products[Standard_Cost])</f>
        <v>12</v>
      </c>
      <c r="AA679" s="10">
        <f>Cleaned_data[[#This Row],[Quantity]]*Cleaned_data[[#This Row],[Unit_Price]]</f>
        <v>102.04</v>
      </c>
      <c r="AB679" s="10">
        <f>Cleaned_data[[#This Row],[Unit_Price]]*Cleaned_data[[#This Row],[Discount_Pct]]</f>
        <v>1.2755000000000001</v>
      </c>
      <c r="AC679" s="10">
        <f>Cleaned_data[[#This Row],[Gross Sales]]-Cleaned_data[[#This Row],[Discount amount]]</f>
        <v>100.76450000000001</v>
      </c>
      <c r="AD679" s="10">
        <f>Cleaned_data[[#This Row],[Product Cost]]*Cleaned_data[[#This Row],[Quantity]]</f>
        <v>48</v>
      </c>
      <c r="AE679" s="10">
        <f>Cleaned_data[[#This Row],[Net Sales]]-Cleaned_data[[#This Row],[COGS]]</f>
        <v>52.764500000000012</v>
      </c>
      <c r="AF679" s="11">
        <f>Cleaned_data[[#This Row],[Gross Profit]]/Cleaned_data[[#This Row],[Net Sales]]</f>
        <v>0.52364175875432328</v>
      </c>
      <c r="AG679">
        <f>Cleaned_data[[#This Row],[Ship_Date]]-Cleaned_data[[#This Row],[Order_Date]]</f>
        <v>4</v>
      </c>
      <c r="AH679" t="str">
        <f>IF(Cleaned_data[[#This Row],[Delivery Days]]&gt;10,"late","on time")</f>
        <v>on time</v>
      </c>
      <c r="AI679" t="str">
        <f>TEXT(Cleaned_data[[#This Row],[Order_Date]],"mmmm")</f>
        <v>November</v>
      </c>
      <c r="AJ679" s="9" t="str">
        <f>"Q"&amp;ROUNDUP(MONTH(Cleaned_data[[#This Row],[Order_Date]])/3,0)</f>
        <v>Q4</v>
      </c>
    </row>
    <row r="680" spans="1:36">
      <c r="A680" t="s">
        <v>1175</v>
      </c>
      <c r="B680" s="9">
        <v>45979</v>
      </c>
      <c r="C680" s="9">
        <v>45984</v>
      </c>
      <c r="D680" t="s">
        <v>289</v>
      </c>
      <c r="E680" t="s">
        <v>290</v>
      </c>
      <c r="F680" t="s">
        <v>74</v>
      </c>
      <c r="G680" t="s">
        <v>126</v>
      </c>
      <c r="H680" t="s">
        <v>291</v>
      </c>
      <c r="I680" t="s">
        <v>292</v>
      </c>
      <c r="J680" t="s">
        <v>109</v>
      </c>
      <c r="K680" t="s">
        <v>90</v>
      </c>
      <c r="L680" t="s">
        <v>101</v>
      </c>
      <c r="M680" t="s">
        <v>102</v>
      </c>
      <c r="N680" t="s">
        <v>103</v>
      </c>
      <c r="O680" t="s">
        <v>104</v>
      </c>
      <c r="P680" s="8">
        <v>6</v>
      </c>
      <c r="Q680" s="10">
        <v>78.459999999999994</v>
      </c>
      <c r="R680" s="11">
        <v>0.06</v>
      </c>
      <c r="S680" s="10">
        <v>16.43</v>
      </c>
      <c r="T680" t="s">
        <v>122</v>
      </c>
      <c r="U680" t="s">
        <v>85</v>
      </c>
      <c r="V680" s="8">
        <v>4</v>
      </c>
      <c r="W680" t="s">
        <v>1270</v>
      </c>
      <c r="X680" t="str">
        <f>_xlfn.XLOOKUP(Cleaned_data[[#This Row],[Customer_ID]],Customers[S],Customers[Loyalty_Tier])</f>
        <v>Silver</v>
      </c>
      <c r="Y680" s="9">
        <f>_xlfn.XLOOKUP(Cleaned_data[[#This Row],[Customer_ID]],Customers[S],Customers[Signup_Date])</f>
        <v>44734</v>
      </c>
      <c r="Z680" s="12">
        <f>_xlfn.XLOOKUP(Cleaned_data[[#This Row],[SKU]],Products[SKU],Products[Standard_Cost])</f>
        <v>36</v>
      </c>
      <c r="AA680" s="10">
        <f>Cleaned_data[[#This Row],[Quantity]]*Cleaned_data[[#This Row],[Unit_Price]]</f>
        <v>470.76</v>
      </c>
      <c r="AB680" s="10">
        <f>Cleaned_data[[#This Row],[Unit_Price]]*Cleaned_data[[#This Row],[Discount_Pct]]</f>
        <v>4.7075999999999993</v>
      </c>
      <c r="AC680" s="10">
        <f>Cleaned_data[[#This Row],[Gross Sales]]-Cleaned_data[[#This Row],[Discount amount]]</f>
        <v>466.05239999999998</v>
      </c>
      <c r="AD680" s="10">
        <f>Cleaned_data[[#This Row],[Product Cost]]*Cleaned_data[[#This Row],[Quantity]]</f>
        <v>216</v>
      </c>
      <c r="AE680" s="10">
        <f>Cleaned_data[[#This Row],[Net Sales]]-Cleaned_data[[#This Row],[COGS]]</f>
        <v>250.05239999999998</v>
      </c>
      <c r="AF680" s="11">
        <f>Cleaned_data[[#This Row],[Gross Profit]]/Cleaned_data[[#This Row],[Net Sales]]</f>
        <v>0.5365328018909461</v>
      </c>
      <c r="AG680">
        <f>Cleaned_data[[#This Row],[Ship_Date]]-Cleaned_data[[#This Row],[Order_Date]]</f>
        <v>5</v>
      </c>
      <c r="AH680" t="str">
        <f>IF(Cleaned_data[[#This Row],[Delivery Days]]&gt;10,"late","on time")</f>
        <v>on time</v>
      </c>
      <c r="AI680" t="str">
        <f>TEXT(Cleaned_data[[#This Row],[Order_Date]],"mmmm")</f>
        <v>November</v>
      </c>
      <c r="AJ680" s="9" t="str">
        <f>"Q"&amp;ROUNDUP(MONTH(Cleaned_data[[#This Row],[Order_Date]])/3,0)</f>
        <v>Q4</v>
      </c>
    </row>
    <row r="681" spans="1:36">
      <c r="A681" t="s">
        <v>1176</v>
      </c>
      <c r="B681" s="9">
        <v>45980</v>
      </c>
      <c r="C681" s="9">
        <v>45983</v>
      </c>
      <c r="D681" t="s">
        <v>158</v>
      </c>
      <c r="E681" t="s">
        <v>159</v>
      </c>
      <c r="F681" t="s">
        <v>89</v>
      </c>
      <c r="G681" t="s">
        <v>126</v>
      </c>
      <c r="H681" t="s">
        <v>160</v>
      </c>
      <c r="I681" t="s">
        <v>161</v>
      </c>
      <c r="J681" t="s">
        <v>129</v>
      </c>
      <c r="K681" t="s">
        <v>168</v>
      </c>
      <c r="L681" t="s">
        <v>141</v>
      </c>
      <c r="M681" t="s">
        <v>142</v>
      </c>
      <c r="N681" t="s">
        <v>103</v>
      </c>
      <c r="O681" t="s">
        <v>143</v>
      </c>
      <c r="P681" s="8">
        <v>6</v>
      </c>
      <c r="Q681" s="10">
        <v>37.46</v>
      </c>
      <c r="R681" s="11">
        <v>0.06</v>
      </c>
      <c r="S681" s="10">
        <v>9.8699999999999992</v>
      </c>
      <c r="T681" t="s">
        <v>122</v>
      </c>
      <c r="U681" t="s">
        <v>85</v>
      </c>
      <c r="V681" s="8">
        <v>1</v>
      </c>
      <c r="W681" t="s">
        <v>1270</v>
      </c>
      <c r="X681" t="str">
        <f>_xlfn.XLOOKUP(Cleaned_data[[#This Row],[Customer_ID]],Customers[S],Customers[Loyalty_Tier])</f>
        <v>Silver</v>
      </c>
      <c r="Y681" s="9">
        <f>_xlfn.XLOOKUP(Cleaned_data[[#This Row],[Customer_ID]],Customers[S],Customers[Signup_Date])</f>
        <v>44476</v>
      </c>
      <c r="Z681" s="12">
        <f>_xlfn.XLOOKUP(Cleaned_data[[#This Row],[SKU]],Products[SKU],Products[Standard_Cost])</f>
        <v>18</v>
      </c>
      <c r="AA681" s="10">
        <f>Cleaned_data[[#This Row],[Quantity]]*Cleaned_data[[#This Row],[Unit_Price]]</f>
        <v>224.76</v>
      </c>
      <c r="AB681" s="10">
        <f>Cleaned_data[[#This Row],[Unit_Price]]*Cleaned_data[[#This Row],[Discount_Pct]]</f>
        <v>2.2475999999999998</v>
      </c>
      <c r="AC681" s="10">
        <f>Cleaned_data[[#This Row],[Gross Sales]]-Cleaned_data[[#This Row],[Discount amount]]</f>
        <v>222.51239999999999</v>
      </c>
      <c r="AD681" s="10">
        <f>Cleaned_data[[#This Row],[Product Cost]]*Cleaned_data[[#This Row],[Quantity]]</f>
        <v>108</v>
      </c>
      <c r="AE681" s="10">
        <f>Cleaned_data[[#This Row],[Net Sales]]-Cleaned_data[[#This Row],[COGS]]</f>
        <v>114.51239999999999</v>
      </c>
      <c r="AF681" s="11">
        <f>Cleaned_data[[#This Row],[Gross Profit]]/Cleaned_data[[#This Row],[Net Sales]]</f>
        <v>0.51463379119545694</v>
      </c>
      <c r="AG681">
        <f>Cleaned_data[[#This Row],[Ship_Date]]-Cleaned_data[[#This Row],[Order_Date]]</f>
        <v>3</v>
      </c>
      <c r="AH681" t="str">
        <f>IF(Cleaned_data[[#This Row],[Delivery Days]]&gt;10,"late","on time")</f>
        <v>on time</v>
      </c>
      <c r="AI681" t="str">
        <f>TEXT(Cleaned_data[[#This Row],[Order_Date]],"mmmm")</f>
        <v>November</v>
      </c>
      <c r="AJ681" s="9" t="str">
        <f>"Q"&amp;ROUNDUP(MONTH(Cleaned_data[[#This Row],[Order_Date]])/3,0)</f>
        <v>Q4</v>
      </c>
    </row>
    <row r="682" spans="1:36">
      <c r="A682" t="s">
        <v>1177</v>
      </c>
      <c r="B682" s="9">
        <v>45981</v>
      </c>
      <c r="C682" s="9">
        <v>45990</v>
      </c>
      <c r="D682" t="s">
        <v>601</v>
      </c>
      <c r="E682" t="s">
        <v>351</v>
      </c>
      <c r="F682" t="s">
        <v>74</v>
      </c>
      <c r="G682" t="s">
        <v>194</v>
      </c>
      <c r="H682" t="s">
        <v>240</v>
      </c>
      <c r="I682" t="s">
        <v>241</v>
      </c>
      <c r="J682" t="s">
        <v>78</v>
      </c>
      <c r="K682" t="s">
        <v>130</v>
      </c>
      <c r="L682" t="s">
        <v>175</v>
      </c>
      <c r="M682" t="s">
        <v>176</v>
      </c>
      <c r="N682" t="s">
        <v>93</v>
      </c>
      <c r="O682" t="s">
        <v>177</v>
      </c>
      <c r="P682" s="8">
        <v>2</v>
      </c>
      <c r="Q682" s="10">
        <v>163.94</v>
      </c>
      <c r="R682" s="11">
        <v>0.04</v>
      </c>
      <c r="S682" s="10">
        <v>23.41</v>
      </c>
      <c r="T682" t="s">
        <v>84</v>
      </c>
      <c r="U682" t="s">
        <v>85</v>
      </c>
      <c r="W682" t="s">
        <v>1270</v>
      </c>
      <c r="X682" t="str">
        <f>_xlfn.XLOOKUP(Cleaned_data[[#This Row],[Customer_ID]],Customers[S],Customers[Loyalty_Tier])</f>
        <v>Platinum</v>
      </c>
      <c r="Y682" s="9">
        <f>_xlfn.XLOOKUP(Cleaned_data[[#This Row],[Customer_ID]],Customers[S],Customers[Signup_Date])</f>
        <v>45567</v>
      </c>
      <c r="Z682" s="12">
        <f>_xlfn.XLOOKUP(Cleaned_data[[#This Row],[SKU]],Products[SKU],Products[Standard_Cost])</f>
        <v>88</v>
      </c>
      <c r="AA682" s="10">
        <f>Cleaned_data[[#This Row],[Quantity]]*Cleaned_data[[#This Row],[Unit_Price]]</f>
        <v>327.88</v>
      </c>
      <c r="AB682" s="10">
        <f>Cleaned_data[[#This Row],[Unit_Price]]*Cleaned_data[[#This Row],[Discount_Pct]]</f>
        <v>6.5575999999999999</v>
      </c>
      <c r="AC682" s="10">
        <f>Cleaned_data[[#This Row],[Gross Sales]]-Cleaned_data[[#This Row],[Discount amount]]</f>
        <v>321.32240000000002</v>
      </c>
      <c r="AD682" s="10">
        <f>Cleaned_data[[#This Row],[Product Cost]]*Cleaned_data[[#This Row],[Quantity]]</f>
        <v>176</v>
      </c>
      <c r="AE682" s="10">
        <f>Cleaned_data[[#This Row],[Net Sales]]-Cleaned_data[[#This Row],[COGS]]</f>
        <v>145.32240000000002</v>
      </c>
      <c r="AF682" s="11">
        <f>Cleaned_data[[#This Row],[Gross Profit]]/Cleaned_data[[#This Row],[Net Sales]]</f>
        <v>0.4522635209994697</v>
      </c>
      <c r="AG682">
        <f>Cleaned_data[[#This Row],[Ship_Date]]-Cleaned_data[[#This Row],[Order_Date]]</f>
        <v>9</v>
      </c>
      <c r="AH682" t="str">
        <f>IF(Cleaned_data[[#This Row],[Delivery Days]]&gt;10,"late","on time")</f>
        <v>on time</v>
      </c>
      <c r="AI682" t="str">
        <f>TEXT(Cleaned_data[[#This Row],[Order_Date]],"mmmm")</f>
        <v>November</v>
      </c>
      <c r="AJ682" s="9" t="str">
        <f>"Q"&amp;ROUNDUP(MONTH(Cleaned_data[[#This Row],[Order_Date]])/3,0)</f>
        <v>Q4</v>
      </c>
    </row>
    <row r="683" spans="1:36">
      <c r="A683" t="s">
        <v>1178</v>
      </c>
      <c r="B683" s="9">
        <v>45982</v>
      </c>
      <c r="C683" s="9">
        <v>45990</v>
      </c>
      <c r="D683" t="s">
        <v>400</v>
      </c>
      <c r="E683" t="s">
        <v>316</v>
      </c>
      <c r="F683" t="s">
        <v>152</v>
      </c>
      <c r="G683" t="s">
        <v>75</v>
      </c>
      <c r="H683" t="s">
        <v>273</v>
      </c>
      <c r="I683" t="s">
        <v>274</v>
      </c>
      <c r="J683" t="s">
        <v>129</v>
      </c>
      <c r="K683" t="s">
        <v>90</v>
      </c>
      <c r="L683" t="s">
        <v>301</v>
      </c>
      <c r="M683" t="s">
        <v>302</v>
      </c>
      <c r="N683" t="s">
        <v>120</v>
      </c>
      <c r="O683" t="s">
        <v>190</v>
      </c>
      <c r="P683" s="8">
        <v>2</v>
      </c>
      <c r="Q683" s="10">
        <v>137.79</v>
      </c>
      <c r="R683" s="11">
        <v>0.11</v>
      </c>
      <c r="S683" s="10">
        <v>15.14</v>
      </c>
      <c r="T683" t="s">
        <v>105</v>
      </c>
      <c r="U683" t="s">
        <v>85</v>
      </c>
      <c r="V683" s="8">
        <v>3</v>
      </c>
      <c r="W683" t="s">
        <v>1270</v>
      </c>
      <c r="X683" t="str">
        <f>_xlfn.XLOOKUP(Cleaned_data[[#This Row],[Customer_ID]],Customers[S],Customers[Loyalty_Tier])</f>
        <v>Gold</v>
      </c>
      <c r="Y683" s="9">
        <f>_xlfn.XLOOKUP(Cleaned_data[[#This Row],[Customer_ID]],Customers[S],Customers[Signup_Date])</f>
        <v>44279</v>
      </c>
      <c r="Z683" s="12">
        <f>_xlfn.XLOOKUP(Cleaned_data[[#This Row],[SKU]],Products[SKU],Products[Standard_Cost])</f>
        <v>72</v>
      </c>
      <c r="AA683" s="10">
        <f>Cleaned_data[[#This Row],[Quantity]]*Cleaned_data[[#This Row],[Unit_Price]]</f>
        <v>275.58</v>
      </c>
      <c r="AB683" s="10">
        <f>Cleaned_data[[#This Row],[Unit_Price]]*Cleaned_data[[#This Row],[Discount_Pct]]</f>
        <v>15.156899999999998</v>
      </c>
      <c r="AC683" s="10">
        <f>Cleaned_data[[#This Row],[Gross Sales]]-Cleaned_data[[#This Row],[Discount amount]]</f>
        <v>260.42309999999998</v>
      </c>
      <c r="AD683" s="10">
        <f>Cleaned_data[[#This Row],[Product Cost]]*Cleaned_data[[#This Row],[Quantity]]</f>
        <v>144</v>
      </c>
      <c r="AE683" s="10">
        <f>Cleaned_data[[#This Row],[Net Sales]]-Cleaned_data[[#This Row],[COGS]]</f>
        <v>116.42309999999998</v>
      </c>
      <c r="AF683" s="11">
        <f>Cleaned_data[[#This Row],[Gross Profit]]/Cleaned_data[[#This Row],[Net Sales]]</f>
        <v>0.44705365998638363</v>
      </c>
      <c r="AG683">
        <f>Cleaned_data[[#This Row],[Ship_Date]]-Cleaned_data[[#This Row],[Order_Date]]</f>
        <v>8</v>
      </c>
      <c r="AH683" t="str">
        <f>IF(Cleaned_data[[#This Row],[Delivery Days]]&gt;10,"late","on time")</f>
        <v>on time</v>
      </c>
      <c r="AI683" t="str">
        <f>TEXT(Cleaned_data[[#This Row],[Order_Date]],"mmmm")</f>
        <v>November</v>
      </c>
      <c r="AJ683" s="9" t="str">
        <f>"Q"&amp;ROUNDUP(MONTH(Cleaned_data[[#This Row],[Order_Date]])/3,0)</f>
        <v>Q4</v>
      </c>
    </row>
    <row r="684" spans="1:36">
      <c r="A684" t="s">
        <v>1179</v>
      </c>
      <c r="B684" s="9">
        <v>45983</v>
      </c>
      <c r="C684" s="9">
        <v>45987</v>
      </c>
      <c r="D684" t="s">
        <v>315</v>
      </c>
      <c r="E684" t="s">
        <v>316</v>
      </c>
      <c r="F684" t="s">
        <v>89</v>
      </c>
      <c r="G684" t="s">
        <v>75</v>
      </c>
      <c r="H684" t="s">
        <v>273</v>
      </c>
      <c r="I684" t="s">
        <v>274</v>
      </c>
      <c r="J684" t="s">
        <v>219</v>
      </c>
      <c r="K684" t="s">
        <v>168</v>
      </c>
      <c r="L684" t="s">
        <v>118</v>
      </c>
      <c r="M684" t="s">
        <v>119</v>
      </c>
      <c r="N684" t="s">
        <v>120</v>
      </c>
      <c r="O684" t="s">
        <v>121</v>
      </c>
      <c r="P684" s="8">
        <v>2</v>
      </c>
      <c r="Q684" s="10">
        <v>282.87</v>
      </c>
      <c r="R684" s="11">
        <v>0.08</v>
      </c>
      <c r="S684" s="10">
        <v>19.47</v>
      </c>
      <c r="T684" t="s">
        <v>134</v>
      </c>
      <c r="U684" t="s">
        <v>85</v>
      </c>
      <c r="V684" s="8">
        <v>1</v>
      </c>
      <c r="W684" t="s">
        <v>1270</v>
      </c>
      <c r="X684" t="str">
        <f>_xlfn.XLOOKUP(Cleaned_data[[#This Row],[Customer_ID]],Customers[S],Customers[Loyalty_Tier])</f>
        <v>Bronze</v>
      </c>
      <c r="Y684" s="9">
        <f>_xlfn.XLOOKUP(Cleaned_data[[#This Row],[Customer_ID]],Customers[S],Customers[Signup_Date])</f>
        <v>45787</v>
      </c>
      <c r="Z684" s="12">
        <f>_xlfn.XLOOKUP(Cleaned_data[[#This Row],[SKU]],Products[SKU],Products[Standard_Cost])</f>
        <v>168</v>
      </c>
      <c r="AA684" s="10">
        <f>Cleaned_data[[#This Row],[Quantity]]*Cleaned_data[[#This Row],[Unit_Price]]</f>
        <v>565.74</v>
      </c>
      <c r="AB684" s="10">
        <f>Cleaned_data[[#This Row],[Unit_Price]]*Cleaned_data[[#This Row],[Discount_Pct]]</f>
        <v>22.6296</v>
      </c>
      <c r="AC684" s="10">
        <f>Cleaned_data[[#This Row],[Gross Sales]]-Cleaned_data[[#This Row],[Discount amount]]</f>
        <v>543.11040000000003</v>
      </c>
      <c r="AD684" s="10">
        <f>Cleaned_data[[#This Row],[Product Cost]]*Cleaned_data[[#This Row],[Quantity]]</f>
        <v>336</v>
      </c>
      <c r="AE684" s="10">
        <f>Cleaned_data[[#This Row],[Net Sales]]-Cleaned_data[[#This Row],[COGS]]</f>
        <v>207.11040000000003</v>
      </c>
      <c r="AF684" s="11">
        <f>Cleaned_data[[#This Row],[Gross Profit]]/Cleaned_data[[#This Row],[Net Sales]]</f>
        <v>0.38134125216530562</v>
      </c>
      <c r="AG684">
        <f>Cleaned_data[[#This Row],[Ship_Date]]-Cleaned_data[[#This Row],[Order_Date]]</f>
        <v>4</v>
      </c>
      <c r="AH684" t="str">
        <f>IF(Cleaned_data[[#This Row],[Delivery Days]]&gt;10,"late","on time")</f>
        <v>on time</v>
      </c>
      <c r="AI684" t="str">
        <f>TEXT(Cleaned_data[[#This Row],[Order_Date]],"mmmm")</f>
        <v>November</v>
      </c>
      <c r="AJ684" s="9" t="str">
        <f>"Q"&amp;ROUNDUP(MONTH(Cleaned_data[[#This Row],[Order_Date]])/3,0)</f>
        <v>Q4</v>
      </c>
    </row>
    <row r="685" spans="1:36">
      <c r="A685" t="s">
        <v>1180</v>
      </c>
      <c r="B685" s="9">
        <v>45985</v>
      </c>
      <c r="C685" s="9">
        <v>45990</v>
      </c>
      <c r="D685" t="s">
        <v>533</v>
      </c>
      <c r="E685" t="s">
        <v>534</v>
      </c>
      <c r="F685" t="s">
        <v>152</v>
      </c>
      <c r="G685" t="s">
        <v>75</v>
      </c>
      <c r="H685" t="s">
        <v>76</v>
      </c>
      <c r="I685" t="s">
        <v>77</v>
      </c>
      <c r="J685" t="s">
        <v>109</v>
      </c>
      <c r="K685" t="s">
        <v>130</v>
      </c>
      <c r="L685" t="s">
        <v>431</v>
      </c>
      <c r="M685" t="s">
        <v>432</v>
      </c>
      <c r="N685" t="s">
        <v>103</v>
      </c>
      <c r="O685" t="s">
        <v>251</v>
      </c>
      <c r="P685" s="8">
        <v>7</v>
      </c>
      <c r="Q685" s="10">
        <v>37.54</v>
      </c>
      <c r="R685" s="11">
        <v>0.09</v>
      </c>
      <c r="S685" s="10">
        <v>13.12</v>
      </c>
      <c r="T685" t="s">
        <v>84</v>
      </c>
      <c r="U685" t="s">
        <v>85</v>
      </c>
      <c r="V685" s="8">
        <v>5</v>
      </c>
      <c r="W685" t="s">
        <v>1270</v>
      </c>
      <c r="X685" t="str">
        <f>_xlfn.XLOOKUP(Cleaned_data[[#This Row],[Customer_ID]],Customers[S],Customers[Loyalty_Tier])</f>
        <v>Gold</v>
      </c>
      <c r="Y685" s="9">
        <f>_xlfn.XLOOKUP(Cleaned_data[[#This Row],[Customer_ID]],Customers[S],Customers[Signup_Date])</f>
        <v>45680</v>
      </c>
      <c r="Z685" s="12">
        <f>_xlfn.XLOOKUP(Cleaned_data[[#This Row],[SKU]],Products[SKU],Products[Standard_Cost])</f>
        <v>20</v>
      </c>
      <c r="AA685" s="10">
        <f>Cleaned_data[[#This Row],[Quantity]]*Cleaned_data[[#This Row],[Unit_Price]]</f>
        <v>262.77999999999997</v>
      </c>
      <c r="AB685" s="10">
        <f>Cleaned_data[[#This Row],[Unit_Price]]*Cleaned_data[[#This Row],[Discount_Pct]]</f>
        <v>3.3785999999999996</v>
      </c>
      <c r="AC685" s="10">
        <f>Cleaned_data[[#This Row],[Gross Sales]]-Cleaned_data[[#This Row],[Discount amount]]</f>
        <v>259.40139999999997</v>
      </c>
      <c r="AD685" s="10">
        <f>Cleaned_data[[#This Row],[Product Cost]]*Cleaned_data[[#This Row],[Quantity]]</f>
        <v>140</v>
      </c>
      <c r="AE685" s="10">
        <f>Cleaned_data[[#This Row],[Net Sales]]-Cleaned_data[[#This Row],[COGS]]</f>
        <v>119.40139999999997</v>
      </c>
      <c r="AF685" s="11">
        <f>Cleaned_data[[#This Row],[Gross Profit]]/Cleaned_data[[#This Row],[Net Sales]]</f>
        <v>0.46029589662970199</v>
      </c>
      <c r="AG685">
        <f>Cleaned_data[[#This Row],[Ship_Date]]-Cleaned_data[[#This Row],[Order_Date]]</f>
        <v>5</v>
      </c>
      <c r="AH685" t="str">
        <f>IF(Cleaned_data[[#This Row],[Delivery Days]]&gt;10,"late","on time")</f>
        <v>on time</v>
      </c>
      <c r="AI685" t="str">
        <f>TEXT(Cleaned_data[[#This Row],[Order_Date]],"mmmm")</f>
        <v>November</v>
      </c>
      <c r="AJ685" s="9" t="str">
        <f>"Q"&amp;ROUNDUP(MONTH(Cleaned_data[[#This Row],[Order_Date]])/3,0)</f>
        <v>Q4</v>
      </c>
    </row>
    <row r="686" spans="1:36">
      <c r="A686" t="s">
        <v>1181</v>
      </c>
      <c r="B686" s="9">
        <v>45985</v>
      </c>
      <c r="C686" s="9">
        <v>45990</v>
      </c>
      <c r="D686" t="s">
        <v>576</v>
      </c>
      <c r="E686" t="s">
        <v>577</v>
      </c>
      <c r="F686" t="s">
        <v>89</v>
      </c>
      <c r="G686" t="s">
        <v>126</v>
      </c>
      <c r="H686" t="s">
        <v>291</v>
      </c>
      <c r="I686" t="s">
        <v>292</v>
      </c>
      <c r="J686" t="s">
        <v>78</v>
      </c>
      <c r="K686" t="s">
        <v>79</v>
      </c>
      <c r="L686" t="s">
        <v>207</v>
      </c>
      <c r="M686" t="s">
        <v>208</v>
      </c>
      <c r="N686" t="s">
        <v>120</v>
      </c>
      <c r="O686" t="s">
        <v>164</v>
      </c>
      <c r="P686" s="8">
        <v>2</v>
      </c>
      <c r="Q686" s="10">
        <v>1331.43</v>
      </c>
      <c r="R686" s="11">
        <v>0.05</v>
      </c>
      <c r="S686" s="10">
        <v>9.51</v>
      </c>
      <c r="T686" t="s">
        <v>134</v>
      </c>
      <c r="U686" t="s">
        <v>85</v>
      </c>
      <c r="V686" s="8">
        <v>5</v>
      </c>
      <c r="W686" t="s">
        <v>1270</v>
      </c>
      <c r="X686" t="str">
        <f>_xlfn.XLOOKUP(Cleaned_data[[#This Row],[Customer_ID]],Customers[S],Customers[Loyalty_Tier])</f>
        <v>Bronze</v>
      </c>
      <c r="Y686" s="9">
        <f>_xlfn.XLOOKUP(Cleaned_data[[#This Row],[Customer_ID]],Customers[S],Customers[Signup_Date])</f>
        <v>44876</v>
      </c>
      <c r="Z686" s="12">
        <f>_xlfn.XLOOKUP(Cleaned_data[[#This Row],[SKU]],Products[SKU],Products[Standard_Cost])</f>
        <v>885</v>
      </c>
      <c r="AA686" s="10">
        <f>Cleaned_data[[#This Row],[Quantity]]*Cleaned_data[[#This Row],[Unit_Price]]</f>
        <v>2662.86</v>
      </c>
      <c r="AB686" s="10">
        <f>Cleaned_data[[#This Row],[Unit_Price]]*Cleaned_data[[#This Row],[Discount_Pct]]</f>
        <v>66.5715</v>
      </c>
      <c r="AC686" s="10">
        <f>Cleaned_data[[#This Row],[Gross Sales]]-Cleaned_data[[#This Row],[Discount amount]]</f>
        <v>2596.2885000000001</v>
      </c>
      <c r="AD686" s="10">
        <f>Cleaned_data[[#This Row],[Product Cost]]*Cleaned_data[[#This Row],[Quantity]]</f>
        <v>1770</v>
      </c>
      <c r="AE686" s="10">
        <f>Cleaned_data[[#This Row],[Net Sales]]-Cleaned_data[[#This Row],[COGS]]</f>
        <v>826.28850000000011</v>
      </c>
      <c r="AF686" s="11">
        <f>Cleaned_data[[#This Row],[Gross Profit]]/Cleaned_data[[#This Row],[Net Sales]]</f>
        <v>0.31825758192897285</v>
      </c>
      <c r="AG686">
        <f>Cleaned_data[[#This Row],[Ship_Date]]-Cleaned_data[[#This Row],[Order_Date]]</f>
        <v>5</v>
      </c>
      <c r="AH686" t="str">
        <f>IF(Cleaned_data[[#This Row],[Delivery Days]]&gt;10,"late","on time")</f>
        <v>on time</v>
      </c>
      <c r="AI686" t="str">
        <f>TEXT(Cleaned_data[[#This Row],[Order_Date]],"mmmm")</f>
        <v>November</v>
      </c>
      <c r="AJ686" s="9" t="str">
        <f>"Q"&amp;ROUNDUP(MONTH(Cleaned_data[[#This Row],[Order_Date]])/3,0)</f>
        <v>Q4</v>
      </c>
    </row>
    <row r="687" spans="1:36">
      <c r="A687" t="s">
        <v>1182</v>
      </c>
      <c r="B687" s="9">
        <v>45988</v>
      </c>
      <c r="C687" s="9">
        <v>45993</v>
      </c>
      <c r="D687" t="s">
        <v>289</v>
      </c>
      <c r="E687" t="s">
        <v>290</v>
      </c>
      <c r="F687" t="s">
        <v>74</v>
      </c>
      <c r="G687" t="s">
        <v>126</v>
      </c>
      <c r="H687" t="s">
        <v>291</v>
      </c>
      <c r="I687" t="s">
        <v>292</v>
      </c>
      <c r="J687" t="s">
        <v>129</v>
      </c>
      <c r="K687" t="s">
        <v>100</v>
      </c>
      <c r="L687" t="s">
        <v>131</v>
      </c>
      <c r="M687" t="s">
        <v>132</v>
      </c>
      <c r="N687" t="s">
        <v>120</v>
      </c>
      <c r="O687" t="s">
        <v>133</v>
      </c>
      <c r="P687" s="8">
        <v>2</v>
      </c>
      <c r="Q687" s="10">
        <v>88.91</v>
      </c>
      <c r="R687" s="11">
        <v>0.01</v>
      </c>
      <c r="S687" s="10">
        <v>7.93</v>
      </c>
      <c r="T687" t="s">
        <v>84</v>
      </c>
      <c r="U687" t="s">
        <v>85</v>
      </c>
      <c r="W687" t="s">
        <v>1270</v>
      </c>
      <c r="X687" t="str">
        <f>_xlfn.XLOOKUP(Cleaned_data[[#This Row],[Customer_ID]],Customers[S],Customers[Loyalty_Tier])</f>
        <v>Silver</v>
      </c>
      <c r="Y687" s="9">
        <f>_xlfn.XLOOKUP(Cleaned_data[[#This Row],[Customer_ID]],Customers[S],Customers[Signup_Date])</f>
        <v>44734</v>
      </c>
      <c r="Z687" s="12">
        <f>_xlfn.XLOOKUP(Cleaned_data[[#This Row],[SKU]],Products[SKU],Products[Standard_Cost])</f>
        <v>44</v>
      </c>
      <c r="AA687" s="10">
        <f>Cleaned_data[[#This Row],[Quantity]]*Cleaned_data[[#This Row],[Unit_Price]]</f>
        <v>177.82</v>
      </c>
      <c r="AB687" s="10">
        <f>Cleaned_data[[#This Row],[Unit_Price]]*Cleaned_data[[#This Row],[Discount_Pct]]</f>
        <v>0.8891</v>
      </c>
      <c r="AC687" s="10">
        <f>Cleaned_data[[#This Row],[Gross Sales]]-Cleaned_data[[#This Row],[Discount amount]]</f>
        <v>176.93089999999998</v>
      </c>
      <c r="AD687" s="10">
        <f>Cleaned_data[[#This Row],[Product Cost]]*Cleaned_data[[#This Row],[Quantity]]</f>
        <v>88</v>
      </c>
      <c r="AE687" s="10">
        <f>Cleaned_data[[#This Row],[Net Sales]]-Cleaned_data[[#This Row],[COGS]]</f>
        <v>88.93089999999998</v>
      </c>
      <c r="AF687" s="11">
        <f>Cleaned_data[[#This Row],[Gross Profit]]/Cleaned_data[[#This Row],[Net Sales]]</f>
        <v>0.50263068802566424</v>
      </c>
      <c r="AG687">
        <f>Cleaned_data[[#This Row],[Ship_Date]]-Cleaned_data[[#This Row],[Order_Date]]</f>
        <v>5</v>
      </c>
      <c r="AH687" t="str">
        <f>IF(Cleaned_data[[#This Row],[Delivery Days]]&gt;10,"late","on time")</f>
        <v>on time</v>
      </c>
      <c r="AI687" t="str">
        <f>TEXT(Cleaned_data[[#This Row],[Order_Date]],"mmmm")</f>
        <v>November</v>
      </c>
      <c r="AJ687" s="9" t="str">
        <f>"Q"&amp;ROUNDUP(MONTH(Cleaned_data[[#This Row],[Order_Date]])/3,0)</f>
        <v>Q4</v>
      </c>
    </row>
    <row r="688" spans="1:36">
      <c r="A688" t="s">
        <v>1183</v>
      </c>
      <c r="B688" s="9">
        <v>45988</v>
      </c>
      <c r="C688" s="9">
        <v>45990</v>
      </c>
      <c r="D688" t="s">
        <v>396</v>
      </c>
      <c r="E688" t="s">
        <v>397</v>
      </c>
      <c r="F688" t="s">
        <v>152</v>
      </c>
      <c r="G688" t="s">
        <v>138</v>
      </c>
      <c r="H688" t="s">
        <v>186</v>
      </c>
      <c r="I688" t="s">
        <v>187</v>
      </c>
      <c r="J688" t="s">
        <v>129</v>
      </c>
      <c r="K688" t="s">
        <v>168</v>
      </c>
      <c r="L688" t="s">
        <v>431</v>
      </c>
      <c r="M688" t="s">
        <v>432</v>
      </c>
      <c r="N688" t="s">
        <v>103</v>
      </c>
      <c r="O688" t="s">
        <v>251</v>
      </c>
      <c r="P688" s="8">
        <v>9</v>
      </c>
      <c r="Q688" s="10">
        <v>39.39</v>
      </c>
      <c r="R688" s="11">
        <v>0.01</v>
      </c>
      <c r="S688" s="10">
        <v>9.19</v>
      </c>
      <c r="T688" t="s">
        <v>122</v>
      </c>
      <c r="U688" t="s">
        <v>85</v>
      </c>
      <c r="V688" s="8">
        <v>5</v>
      </c>
      <c r="W688" t="s">
        <v>1270</v>
      </c>
      <c r="X688" t="str">
        <f>_xlfn.XLOOKUP(Cleaned_data[[#This Row],[Customer_ID]],Customers[S],Customers[Loyalty_Tier])</f>
        <v>Gold</v>
      </c>
      <c r="Y688" s="9">
        <f>_xlfn.XLOOKUP(Cleaned_data[[#This Row],[Customer_ID]],Customers[S],Customers[Signup_Date])</f>
        <v>44818</v>
      </c>
      <c r="Z688" s="12">
        <f>_xlfn.XLOOKUP(Cleaned_data[[#This Row],[SKU]],Products[SKU],Products[Standard_Cost])</f>
        <v>20</v>
      </c>
      <c r="AA688" s="10">
        <f>Cleaned_data[[#This Row],[Quantity]]*Cleaned_data[[#This Row],[Unit_Price]]</f>
        <v>354.51</v>
      </c>
      <c r="AB688" s="10">
        <f>Cleaned_data[[#This Row],[Unit_Price]]*Cleaned_data[[#This Row],[Discount_Pct]]</f>
        <v>0.39390000000000003</v>
      </c>
      <c r="AC688" s="10">
        <f>Cleaned_data[[#This Row],[Gross Sales]]-Cleaned_data[[#This Row],[Discount amount]]</f>
        <v>354.11610000000002</v>
      </c>
      <c r="AD688" s="10">
        <f>Cleaned_data[[#This Row],[Product Cost]]*Cleaned_data[[#This Row],[Quantity]]</f>
        <v>180</v>
      </c>
      <c r="AE688" s="10">
        <f>Cleaned_data[[#This Row],[Net Sales]]-Cleaned_data[[#This Row],[COGS]]</f>
        <v>174.11610000000002</v>
      </c>
      <c r="AF688" s="11">
        <f>Cleaned_data[[#This Row],[Gross Profit]]/Cleaned_data[[#This Row],[Net Sales]]</f>
        <v>0.49169213147891327</v>
      </c>
      <c r="AG688">
        <f>Cleaned_data[[#This Row],[Ship_Date]]-Cleaned_data[[#This Row],[Order_Date]]</f>
        <v>2</v>
      </c>
      <c r="AH688" t="str">
        <f>IF(Cleaned_data[[#This Row],[Delivery Days]]&gt;10,"late","on time")</f>
        <v>on time</v>
      </c>
      <c r="AI688" t="str">
        <f>TEXT(Cleaned_data[[#This Row],[Order_Date]],"mmmm")</f>
        <v>November</v>
      </c>
      <c r="AJ688" s="9" t="str">
        <f>"Q"&amp;ROUNDUP(MONTH(Cleaned_data[[#This Row],[Order_Date]])/3,0)</f>
        <v>Q4</v>
      </c>
    </row>
    <row r="689" spans="1:36">
      <c r="A689" t="s">
        <v>1184</v>
      </c>
      <c r="B689" s="9">
        <v>45990</v>
      </c>
      <c r="C689" s="9">
        <v>45999</v>
      </c>
      <c r="D689" t="s">
        <v>478</v>
      </c>
      <c r="E689" t="s">
        <v>479</v>
      </c>
      <c r="F689" t="s">
        <v>74</v>
      </c>
      <c r="G689" t="s">
        <v>194</v>
      </c>
      <c r="H689" t="s">
        <v>240</v>
      </c>
      <c r="I689" t="s">
        <v>241</v>
      </c>
      <c r="J689" t="s">
        <v>129</v>
      </c>
      <c r="K689" t="s">
        <v>79</v>
      </c>
      <c r="L689" t="s">
        <v>242</v>
      </c>
      <c r="M689" t="s">
        <v>243</v>
      </c>
      <c r="N689" t="s">
        <v>120</v>
      </c>
      <c r="O689" t="s">
        <v>133</v>
      </c>
      <c r="P689" s="8">
        <v>4</v>
      </c>
      <c r="Q689" s="10">
        <v>185.55</v>
      </c>
      <c r="R689" s="11">
        <v>0.05</v>
      </c>
      <c r="S689" s="10">
        <v>11.72</v>
      </c>
      <c r="T689" t="s">
        <v>134</v>
      </c>
      <c r="U689" t="s">
        <v>85</v>
      </c>
      <c r="W689" t="s">
        <v>1270</v>
      </c>
      <c r="X689" t="str">
        <f>_xlfn.XLOOKUP(Cleaned_data[[#This Row],[Customer_ID]],Customers[S],Customers[Loyalty_Tier])</f>
        <v>Gold</v>
      </c>
      <c r="Y689" s="9">
        <f>_xlfn.XLOOKUP(Cleaned_data[[#This Row],[Customer_ID]],Customers[S],Customers[Signup_Date])</f>
        <v>45756</v>
      </c>
      <c r="Z689" s="12">
        <f>_xlfn.XLOOKUP(Cleaned_data[[#This Row],[SKU]],Products[SKU],Products[Standard_Cost])</f>
        <v>96</v>
      </c>
      <c r="AA689" s="10">
        <f>Cleaned_data[[#This Row],[Quantity]]*Cleaned_data[[#This Row],[Unit_Price]]</f>
        <v>742.2</v>
      </c>
      <c r="AB689" s="10">
        <f>Cleaned_data[[#This Row],[Unit_Price]]*Cleaned_data[[#This Row],[Discount_Pct]]</f>
        <v>9.2775000000000016</v>
      </c>
      <c r="AC689" s="10">
        <f>Cleaned_data[[#This Row],[Gross Sales]]-Cleaned_data[[#This Row],[Discount amount]]</f>
        <v>732.92250000000001</v>
      </c>
      <c r="AD689" s="10">
        <f>Cleaned_data[[#This Row],[Product Cost]]*Cleaned_data[[#This Row],[Quantity]]</f>
        <v>384</v>
      </c>
      <c r="AE689" s="10">
        <f>Cleaned_data[[#This Row],[Net Sales]]-Cleaned_data[[#This Row],[COGS]]</f>
        <v>348.92250000000001</v>
      </c>
      <c r="AF689" s="11">
        <f>Cleaned_data[[#This Row],[Gross Profit]]/Cleaned_data[[#This Row],[Net Sales]]</f>
        <v>0.47607011655393305</v>
      </c>
      <c r="AG689">
        <f>Cleaned_data[[#This Row],[Ship_Date]]-Cleaned_data[[#This Row],[Order_Date]]</f>
        <v>9</v>
      </c>
      <c r="AH689" t="str">
        <f>IF(Cleaned_data[[#This Row],[Delivery Days]]&gt;10,"late","on time")</f>
        <v>on time</v>
      </c>
      <c r="AI689" t="str">
        <f>TEXT(Cleaned_data[[#This Row],[Order_Date]],"mmmm")</f>
        <v>November</v>
      </c>
      <c r="AJ689" s="9" t="str">
        <f>"Q"&amp;ROUNDUP(MONTH(Cleaned_data[[#This Row],[Order_Date]])/3,0)</f>
        <v>Q4</v>
      </c>
    </row>
    <row r="690" spans="1:36">
      <c r="A690" t="s">
        <v>1185</v>
      </c>
      <c r="B690" s="9">
        <v>45992</v>
      </c>
      <c r="C690" s="9">
        <v>45999</v>
      </c>
      <c r="D690" t="s">
        <v>812</v>
      </c>
      <c r="E690" t="s">
        <v>813</v>
      </c>
      <c r="F690" t="s">
        <v>152</v>
      </c>
      <c r="G690" t="s">
        <v>75</v>
      </c>
      <c r="H690" t="s">
        <v>273</v>
      </c>
      <c r="I690" t="s">
        <v>274</v>
      </c>
      <c r="J690" t="s">
        <v>78</v>
      </c>
      <c r="K690" t="s">
        <v>168</v>
      </c>
      <c r="L690" t="s">
        <v>141</v>
      </c>
      <c r="M690" t="s">
        <v>142</v>
      </c>
      <c r="N690" t="s">
        <v>103</v>
      </c>
      <c r="O690" t="s">
        <v>143</v>
      </c>
      <c r="P690" s="8">
        <v>1</v>
      </c>
      <c r="Q690" s="10">
        <v>34.340000000000003</v>
      </c>
      <c r="R690" s="11">
        <v>0.1</v>
      </c>
      <c r="S690" s="10">
        <v>16.809999999999999</v>
      </c>
      <c r="T690" t="s">
        <v>134</v>
      </c>
      <c r="U690" t="s">
        <v>85</v>
      </c>
      <c r="V690" s="8">
        <v>5</v>
      </c>
      <c r="W690" t="s">
        <v>1270</v>
      </c>
      <c r="X690" t="str">
        <f>_xlfn.XLOOKUP(Cleaned_data[[#This Row],[Customer_ID]],Customers[S],Customers[Loyalty_Tier])</f>
        <v>Platinum</v>
      </c>
      <c r="Y690" s="9">
        <f>_xlfn.XLOOKUP(Cleaned_data[[#This Row],[Customer_ID]],Customers[S],Customers[Signup_Date])</f>
        <v>45828</v>
      </c>
      <c r="Z690" s="12">
        <f>_xlfn.XLOOKUP(Cleaned_data[[#This Row],[SKU]],Products[SKU],Products[Standard_Cost])</f>
        <v>18</v>
      </c>
      <c r="AA690" s="10">
        <f>Cleaned_data[[#This Row],[Quantity]]*Cleaned_data[[#This Row],[Unit_Price]]</f>
        <v>34.340000000000003</v>
      </c>
      <c r="AB690" s="10">
        <f>Cleaned_data[[#This Row],[Unit_Price]]*Cleaned_data[[#This Row],[Discount_Pct]]</f>
        <v>3.4340000000000006</v>
      </c>
      <c r="AC690" s="10">
        <f>Cleaned_data[[#This Row],[Gross Sales]]-Cleaned_data[[#This Row],[Discount amount]]</f>
        <v>30.906000000000002</v>
      </c>
      <c r="AD690" s="10">
        <f>Cleaned_data[[#This Row],[Product Cost]]*Cleaned_data[[#This Row],[Quantity]]</f>
        <v>18</v>
      </c>
      <c r="AE690" s="10">
        <f>Cleaned_data[[#This Row],[Net Sales]]-Cleaned_data[[#This Row],[COGS]]</f>
        <v>12.906000000000002</v>
      </c>
      <c r="AF690" s="11">
        <f>Cleaned_data[[#This Row],[Gross Profit]]/Cleaned_data[[#This Row],[Net Sales]]</f>
        <v>0.41758881770529999</v>
      </c>
      <c r="AG690">
        <f>Cleaned_data[[#This Row],[Ship_Date]]-Cleaned_data[[#This Row],[Order_Date]]</f>
        <v>7</v>
      </c>
      <c r="AH690" t="str">
        <f>IF(Cleaned_data[[#This Row],[Delivery Days]]&gt;10,"late","on time")</f>
        <v>on time</v>
      </c>
      <c r="AI690" t="str">
        <f>TEXT(Cleaned_data[[#This Row],[Order_Date]],"mmmm")</f>
        <v>December</v>
      </c>
      <c r="AJ690" s="9" t="str">
        <f>"Q"&amp;ROUNDUP(MONTH(Cleaned_data[[#This Row],[Order_Date]])/3,0)</f>
        <v>Q4</v>
      </c>
    </row>
    <row r="691" spans="1:36">
      <c r="A691" t="s">
        <v>1186</v>
      </c>
      <c r="B691" s="9">
        <v>45992</v>
      </c>
      <c r="C691" s="9">
        <v>46002</v>
      </c>
      <c r="D691" t="s">
        <v>474</v>
      </c>
      <c r="E691" t="s">
        <v>475</v>
      </c>
      <c r="F691" t="s">
        <v>74</v>
      </c>
      <c r="G691" t="s">
        <v>138</v>
      </c>
      <c r="H691" t="s">
        <v>153</v>
      </c>
      <c r="I691" t="s">
        <v>154</v>
      </c>
      <c r="J691" t="s">
        <v>78</v>
      </c>
      <c r="K691" t="s">
        <v>168</v>
      </c>
      <c r="L691" t="s">
        <v>197</v>
      </c>
      <c r="M691" t="s">
        <v>198</v>
      </c>
      <c r="N691" t="s">
        <v>120</v>
      </c>
      <c r="O691" t="s">
        <v>121</v>
      </c>
      <c r="P691" s="8">
        <v>4</v>
      </c>
      <c r="Q691" s="10">
        <v>555.20000000000005</v>
      </c>
      <c r="R691" s="11">
        <v>7.0000000000000007E-2</v>
      </c>
      <c r="S691" s="10">
        <v>15.22</v>
      </c>
      <c r="T691" t="s">
        <v>84</v>
      </c>
      <c r="U691" t="s">
        <v>85</v>
      </c>
      <c r="W691" t="s">
        <v>1270</v>
      </c>
      <c r="X691" t="str">
        <f>_xlfn.XLOOKUP(Cleaned_data[[#This Row],[Customer_ID]],Customers[S],Customers[Loyalty_Tier])</f>
        <v>Platinum</v>
      </c>
      <c r="Y691" s="9">
        <f>_xlfn.XLOOKUP(Cleaned_data[[#This Row],[Customer_ID]],Customers[S],Customers[Signup_Date])</f>
        <v>45020</v>
      </c>
      <c r="Z691" s="12">
        <f>_xlfn.XLOOKUP(Cleaned_data[[#This Row],[SKU]],Products[SKU],Products[Standard_Cost])</f>
        <v>310</v>
      </c>
      <c r="AA691" s="10">
        <f>Cleaned_data[[#This Row],[Quantity]]*Cleaned_data[[#This Row],[Unit_Price]]</f>
        <v>2220.8000000000002</v>
      </c>
      <c r="AB691" s="10">
        <f>Cleaned_data[[#This Row],[Unit_Price]]*Cleaned_data[[#This Row],[Discount_Pct]]</f>
        <v>38.864000000000004</v>
      </c>
      <c r="AC691" s="10">
        <f>Cleaned_data[[#This Row],[Gross Sales]]-Cleaned_data[[#This Row],[Discount amount]]</f>
        <v>2181.9360000000001</v>
      </c>
      <c r="AD691" s="10">
        <f>Cleaned_data[[#This Row],[Product Cost]]*Cleaned_data[[#This Row],[Quantity]]</f>
        <v>1240</v>
      </c>
      <c r="AE691" s="10">
        <f>Cleaned_data[[#This Row],[Net Sales]]-Cleaned_data[[#This Row],[COGS]]</f>
        <v>941.93600000000015</v>
      </c>
      <c r="AF691" s="11">
        <f>Cleaned_data[[#This Row],[Gross Profit]]/Cleaned_data[[#This Row],[Net Sales]]</f>
        <v>0.43169735500949619</v>
      </c>
      <c r="AG691">
        <f>Cleaned_data[[#This Row],[Ship_Date]]-Cleaned_data[[#This Row],[Order_Date]]</f>
        <v>10</v>
      </c>
      <c r="AH691" t="str">
        <f>IF(Cleaned_data[[#This Row],[Delivery Days]]&gt;10,"late","on time")</f>
        <v>on time</v>
      </c>
      <c r="AI691" t="str">
        <f>TEXT(Cleaned_data[[#This Row],[Order_Date]],"mmmm")</f>
        <v>December</v>
      </c>
      <c r="AJ691" s="9" t="str">
        <f>"Q"&amp;ROUNDUP(MONTH(Cleaned_data[[#This Row],[Order_Date]])/3,0)</f>
        <v>Q4</v>
      </c>
    </row>
    <row r="692" spans="1:36">
      <c r="A692" t="s">
        <v>1187</v>
      </c>
      <c r="B692" s="9">
        <v>45992</v>
      </c>
      <c r="C692" s="9">
        <v>46000</v>
      </c>
      <c r="D692" t="s">
        <v>332</v>
      </c>
      <c r="E692" t="s">
        <v>333</v>
      </c>
      <c r="F692" t="s">
        <v>74</v>
      </c>
      <c r="G692" t="s">
        <v>126</v>
      </c>
      <c r="H692" t="s">
        <v>127</v>
      </c>
      <c r="I692" t="s">
        <v>128</v>
      </c>
      <c r="J692" t="s">
        <v>109</v>
      </c>
      <c r="K692" t="s">
        <v>147</v>
      </c>
      <c r="L692" t="s">
        <v>242</v>
      </c>
      <c r="M692" t="s">
        <v>243</v>
      </c>
      <c r="N692" t="s">
        <v>120</v>
      </c>
      <c r="O692" t="s">
        <v>133</v>
      </c>
      <c r="P692" s="8">
        <v>2</v>
      </c>
      <c r="Q692" s="10">
        <v>191.94</v>
      </c>
      <c r="R692" s="11">
        <v>0.11</v>
      </c>
      <c r="S692" s="10">
        <v>10.63</v>
      </c>
      <c r="T692" t="s">
        <v>84</v>
      </c>
      <c r="U692" t="s">
        <v>85</v>
      </c>
      <c r="V692" s="8">
        <v>3</v>
      </c>
      <c r="W692" t="s">
        <v>1270</v>
      </c>
      <c r="X692" t="str">
        <f>_xlfn.XLOOKUP(Cleaned_data[[#This Row],[Customer_ID]],Customers[S],Customers[Loyalty_Tier])</f>
        <v>Silver</v>
      </c>
      <c r="Y692" s="9">
        <f>_xlfn.XLOOKUP(Cleaned_data[[#This Row],[Customer_ID]],Customers[S],Customers[Signup_Date])</f>
        <v>45373</v>
      </c>
      <c r="Z692" s="12">
        <f>_xlfn.XLOOKUP(Cleaned_data[[#This Row],[SKU]],Products[SKU],Products[Standard_Cost])</f>
        <v>96</v>
      </c>
      <c r="AA692" s="10">
        <f>Cleaned_data[[#This Row],[Quantity]]*Cleaned_data[[#This Row],[Unit_Price]]</f>
        <v>383.88</v>
      </c>
      <c r="AB692" s="10">
        <f>Cleaned_data[[#This Row],[Unit_Price]]*Cleaned_data[[#This Row],[Discount_Pct]]</f>
        <v>21.113399999999999</v>
      </c>
      <c r="AC692" s="10">
        <f>Cleaned_data[[#This Row],[Gross Sales]]-Cleaned_data[[#This Row],[Discount amount]]</f>
        <v>362.76659999999998</v>
      </c>
      <c r="AD692" s="10">
        <f>Cleaned_data[[#This Row],[Product Cost]]*Cleaned_data[[#This Row],[Quantity]]</f>
        <v>192</v>
      </c>
      <c r="AE692" s="10">
        <f>Cleaned_data[[#This Row],[Net Sales]]-Cleaned_data[[#This Row],[COGS]]</f>
        <v>170.76659999999998</v>
      </c>
      <c r="AF692" s="11">
        <f>Cleaned_data[[#This Row],[Gross Profit]]/Cleaned_data[[#This Row],[Net Sales]]</f>
        <v>0.47073407529800149</v>
      </c>
      <c r="AG692">
        <f>Cleaned_data[[#This Row],[Ship_Date]]-Cleaned_data[[#This Row],[Order_Date]]</f>
        <v>8</v>
      </c>
      <c r="AH692" t="str">
        <f>IF(Cleaned_data[[#This Row],[Delivery Days]]&gt;10,"late","on time")</f>
        <v>on time</v>
      </c>
      <c r="AI692" t="str">
        <f>TEXT(Cleaned_data[[#This Row],[Order_Date]],"mmmm")</f>
        <v>December</v>
      </c>
      <c r="AJ692" s="9" t="str">
        <f>"Q"&amp;ROUNDUP(MONTH(Cleaned_data[[#This Row],[Order_Date]])/3,0)</f>
        <v>Q4</v>
      </c>
    </row>
    <row r="693" spans="1:36">
      <c r="A693" t="s">
        <v>1188</v>
      </c>
      <c r="B693" s="9">
        <v>45993</v>
      </c>
      <c r="C693" s="9">
        <v>46004</v>
      </c>
      <c r="D693" t="s">
        <v>297</v>
      </c>
      <c r="E693" t="s">
        <v>298</v>
      </c>
      <c r="F693" t="s">
        <v>74</v>
      </c>
      <c r="G693" t="s">
        <v>126</v>
      </c>
      <c r="H693" t="s">
        <v>291</v>
      </c>
      <c r="I693" t="s">
        <v>292</v>
      </c>
      <c r="J693" t="s">
        <v>129</v>
      </c>
      <c r="K693" t="s">
        <v>168</v>
      </c>
      <c r="L693" t="s">
        <v>175</v>
      </c>
      <c r="M693" t="s">
        <v>176</v>
      </c>
      <c r="N693" t="s">
        <v>93</v>
      </c>
      <c r="O693" t="s">
        <v>177</v>
      </c>
      <c r="P693" s="8">
        <v>2</v>
      </c>
      <c r="Q693" s="10">
        <v>164.36</v>
      </c>
      <c r="R693" s="11">
        <v>0.26</v>
      </c>
      <c r="S693" s="10">
        <v>19.43</v>
      </c>
      <c r="T693" t="s">
        <v>134</v>
      </c>
      <c r="U693" t="s">
        <v>85</v>
      </c>
      <c r="W693" t="s">
        <v>1270</v>
      </c>
      <c r="X693" t="str">
        <f>_xlfn.XLOOKUP(Cleaned_data[[#This Row],[Customer_ID]],Customers[S],Customers[Loyalty_Tier])</f>
        <v>Bronze</v>
      </c>
      <c r="Y693" s="9">
        <f>_xlfn.XLOOKUP(Cleaned_data[[#This Row],[Customer_ID]],Customers[S],Customers[Signup_Date])</f>
        <v>44911</v>
      </c>
      <c r="Z693" s="12">
        <f>_xlfn.XLOOKUP(Cleaned_data[[#This Row],[SKU]],Products[SKU],Products[Standard_Cost])</f>
        <v>88</v>
      </c>
      <c r="AA693" s="10">
        <f>Cleaned_data[[#This Row],[Quantity]]*Cleaned_data[[#This Row],[Unit_Price]]</f>
        <v>328.72</v>
      </c>
      <c r="AB693" s="10">
        <f>Cleaned_data[[#This Row],[Unit_Price]]*Cleaned_data[[#This Row],[Discount_Pct]]</f>
        <v>42.733600000000003</v>
      </c>
      <c r="AC693" s="10">
        <f>Cleaned_data[[#This Row],[Gross Sales]]-Cleaned_data[[#This Row],[Discount amount]]</f>
        <v>285.9864</v>
      </c>
      <c r="AD693" s="10">
        <f>Cleaned_data[[#This Row],[Product Cost]]*Cleaned_data[[#This Row],[Quantity]]</f>
        <v>176</v>
      </c>
      <c r="AE693" s="10">
        <f>Cleaned_data[[#This Row],[Net Sales]]-Cleaned_data[[#This Row],[COGS]]</f>
        <v>109.9864</v>
      </c>
      <c r="AF693" s="11">
        <f>Cleaned_data[[#This Row],[Gross Profit]]/Cleaned_data[[#This Row],[Net Sales]]</f>
        <v>0.3845861201791414</v>
      </c>
      <c r="AG693">
        <f>Cleaned_data[[#This Row],[Ship_Date]]-Cleaned_data[[#This Row],[Order_Date]]</f>
        <v>11</v>
      </c>
      <c r="AH693" t="str">
        <f>IF(Cleaned_data[[#This Row],[Delivery Days]]&gt;10,"late","on time")</f>
        <v>late</v>
      </c>
      <c r="AI693" t="str">
        <f>TEXT(Cleaned_data[[#This Row],[Order_Date]],"mmmm")</f>
        <v>December</v>
      </c>
      <c r="AJ693" s="9" t="str">
        <f>"Q"&amp;ROUNDUP(MONTH(Cleaned_data[[#This Row],[Order_Date]])/3,0)</f>
        <v>Q4</v>
      </c>
    </row>
    <row r="694" spans="1:36">
      <c r="A694" t="s">
        <v>1189</v>
      </c>
      <c r="B694" s="9">
        <v>45993</v>
      </c>
      <c r="C694" s="9">
        <v>46001</v>
      </c>
      <c r="D694" t="s">
        <v>72</v>
      </c>
      <c r="E694" t="s">
        <v>73</v>
      </c>
      <c r="F694" t="s">
        <v>74</v>
      </c>
      <c r="G694" t="s">
        <v>75</v>
      </c>
      <c r="H694" t="s">
        <v>76</v>
      </c>
      <c r="I694" t="s">
        <v>77</v>
      </c>
      <c r="J694" t="s">
        <v>129</v>
      </c>
      <c r="K694" t="s">
        <v>79</v>
      </c>
      <c r="L694" t="s">
        <v>91</v>
      </c>
      <c r="M694" t="s">
        <v>92</v>
      </c>
      <c r="N694" t="s">
        <v>93</v>
      </c>
      <c r="O694" t="s">
        <v>94</v>
      </c>
      <c r="P694" s="8">
        <v>2</v>
      </c>
      <c r="Q694" s="10">
        <v>332.09</v>
      </c>
      <c r="R694" s="11">
        <v>0.19</v>
      </c>
      <c r="S694" s="10">
        <v>22.27</v>
      </c>
      <c r="T694" t="s">
        <v>84</v>
      </c>
      <c r="U694" t="s">
        <v>148</v>
      </c>
      <c r="V694" s="8">
        <v>1</v>
      </c>
      <c r="W694" t="s">
        <v>1270</v>
      </c>
      <c r="X694" t="str">
        <f>_xlfn.XLOOKUP(Cleaned_data[[#This Row],[Customer_ID]],Customers[S],Customers[Loyalty_Tier])</f>
        <v>Silver</v>
      </c>
      <c r="Y694" s="9">
        <f>_xlfn.XLOOKUP(Cleaned_data[[#This Row],[Customer_ID]],Customers[S],Customers[Signup_Date])</f>
        <v>45999</v>
      </c>
      <c r="Z694" s="12">
        <f>_xlfn.XLOOKUP(Cleaned_data[[#This Row],[SKU]],Products[SKU],Products[Standard_Cost])</f>
        <v>184</v>
      </c>
      <c r="AA694" s="10">
        <f>Cleaned_data[[#This Row],[Quantity]]*Cleaned_data[[#This Row],[Unit_Price]]</f>
        <v>664.18</v>
      </c>
      <c r="AB694" s="10">
        <f>Cleaned_data[[#This Row],[Unit_Price]]*Cleaned_data[[#This Row],[Discount_Pct]]</f>
        <v>63.097099999999998</v>
      </c>
      <c r="AC694" s="10">
        <f>Cleaned_data[[#This Row],[Gross Sales]]-Cleaned_data[[#This Row],[Discount amount]]</f>
        <v>601.0829</v>
      </c>
      <c r="AD694" s="10">
        <f>Cleaned_data[[#This Row],[Product Cost]]*Cleaned_data[[#This Row],[Quantity]]</f>
        <v>368</v>
      </c>
      <c r="AE694" s="10">
        <f>Cleaned_data[[#This Row],[Net Sales]]-Cleaned_data[[#This Row],[COGS]]</f>
        <v>233.0829</v>
      </c>
      <c r="AF694" s="11">
        <f>Cleaned_data[[#This Row],[Gross Profit]]/Cleaned_data[[#This Row],[Net Sales]]</f>
        <v>0.38777163682413857</v>
      </c>
      <c r="AG694">
        <f>Cleaned_data[[#This Row],[Ship_Date]]-Cleaned_data[[#This Row],[Order_Date]]</f>
        <v>8</v>
      </c>
      <c r="AH694" t="str">
        <f>IF(Cleaned_data[[#This Row],[Delivery Days]]&gt;10,"late","on time")</f>
        <v>on time</v>
      </c>
      <c r="AI694" t="str">
        <f>TEXT(Cleaned_data[[#This Row],[Order_Date]],"mmmm")</f>
        <v>December</v>
      </c>
      <c r="AJ694" s="9" t="str">
        <f>"Q"&amp;ROUNDUP(MONTH(Cleaned_data[[#This Row],[Order_Date]])/3,0)</f>
        <v>Q4</v>
      </c>
    </row>
    <row r="695" spans="1:36">
      <c r="A695" t="s">
        <v>1190</v>
      </c>
      <c r="B695" s="9">
        <v>45997</v>
      </c>
      <c r="C695" s="9">
        <v>46002</v>
      </c>
      <c r="D695" t="s">
        <v>550</v>
      </c>
      <c r="E695" t="s">
        <v>218</v>
      </c>
      <c r="F695" t="s">
        <v>152</v>
      </c>
      <c r="G695" t="s">
        <v>126</v>
      </c>
      <c r="H695" t="s">
        <v>127</v>
      </c>
      <c r="I695" t="s">
        <v>128</v>
      </c>
      <c r="J695" t="s">
        <v>109</v>
      </c>
      <c r="K695" t="s">
        <v>90</v>
      </c>
      <c r="L695" t="s">
        <v>188</v>
      </c>
      <c r="M695" t="s">
        <v>189</v>
      </c>
      <c r="N695" t="s">
        <v>120</v>
      </c>
      <c r="O695" t="s">
        <v>190</v>
      </c>
      <c r="P695" s="8">
        <v>1</v>
      </c>
      <c r="Q695" s="10">
        <v>59.76</v>
      </c>
      <c r="R695" s="11">
        <v>7.0000000000000007E-2</v>
      </c>
      <c r="S695" s="10">
        <v>9.6300000000000008</v>
      </c>
      <c r="T695" t="s">
        <v>134</v>
      </c>
      <c r="U695" t="s">
        <v>85</v>
      </c>
      <c r="V695" s="8">
        <v>2</v>
      </c>
      <c r="W695" t="s">
        <v>1270</v>
      </c>
      <c r="X695" t="str">
        <f>_xlfn.XLOOKUP(Cleaned_data[[#This Row],[Customer_ID]],Customers[S],Customers[Loyalty_Tier])</f>
        <v>Platinum</v>
      </c>
      <c r="Y695" s="9">
        <f>_xlfn.XLOOKUP(Cleaned_data[[#This Row],[Customer_ID]],Customers[S],Customers[Signup_Date])</f>
        <v>44903</v>
      </c>
      <c r="Z695" s="12">
        <f>_xlfn.XLOOKUP(Cleaned_data[[#This Row],[SKU]],Products[SKU],Products[Standard_Cost])</f>
        <v>28</v>
      </c>
      <c r="AA695" s="10">
        <f>Cleaned_data[[#This Row],[Quantity]]*Cleaned_data[[#This Row],[Unit_Price]]</f>
        <v>59.76</v>
      </c>
      <c r="AB695" s="10">
        <f>Cleaned_data[[#This Row],[Unit_Price]]*Cleaned_data[[#This Row],[Discount_Pct]]</f>
        <v>4.1832000000000003</v>
      </c>
      <c r="AC695" s="10">
        <f>Cleaned_data[[#This Row],[Gross Sales]]-Cleaned_data[[#This Row],[Discount amount]]</f>
        <v>55.576799999999999</v>
      </c>
      <c r="AD695" s="10">
        <f>Cleaned_data[[#This Row],[Product Cost]]*Cleaned_data[[#This Row],[Quantity]]</f>
        <v>28</v>
      </c>
      <c r="AE695" s="10">
        <f>Cleaned_data[[#This Row],[Net Sales]]-Cleaned_data[[#This Row],[COGS]]</f>
        <v>27.576799999999999</v>
      </c>
      <c r="AF695" s="11">
        <f>Cleaned_data[[#This Row],[Gross Profit]]/Cleaned_data[[#This Row],[Net Sales]]</f>
        <v>0.49619265592837297</v>
      </c>
      <c r="AG695">
        <f>Cleaned_data[[#This Row],[Ship_Date]]-Cleaned_data[[#This Row],[Order_Date]]</f>
        <v>5</v>
      </c>
      <c r="AH695" t="str">
        <f>IF(Cleaned_data[[#This Row],[Delivery Days]]&gt;10,"late","on time")</f>
        <v>on time</v>
      </c>
      <c r="AI695" t="str">
        <f>TEXT(Cleaned_data[[#This Row],[Order_Date]],"mmmm")</f>
        <v>December</v>
      </c>
      <c r="AJ695" s="9" t="str">
        <f>"Q"&amp;ROUNDUP(MONTH(Cleaned_data[[#This Row],[Order_Date]])/3,0)</f>
        <v>Q4</v>
      </c>
    </row>
    <row r="696" spans="1:36">
      <c r="A696" t="s">
        <v>1191</v>
      </c>
      <c r="B696" s="9">
        <v>45998</v>
      </c>
      <c r="C696" s="9">
        <v>45999</v>
      </c>
      <c r="D696" t="s">
        <v>1272</v>
      </c>
      <c r="E696" t="s">
        <v>146</v>
      </c>
      <c r="F696" t="s">
        <v>89</v>
      </c>
      <c r="G696" t="s">
        <v>194</v>
      </c>
      <c r="H696" t="s">
        <v>195</v>
      </c>
      <c r="I696" t="s">
        <v>196</v>
      </c>
      <c r="J696" t="s">
        <v>219</v>
      </c>
      <c r="K696" t="s">
        <v>168</v>
      </c>
      <c r="L696" t="s">
        <v>249</v>
      </c>
      <c r="M696" t="s">
        <v>250</v>
      </c>
      <c r="N696" t="s">
        <v>103</v>
      </c>
      <c r="O696" t="s">
        <v>251</v>
      </c>
      <c r="P696" s="8">
        <v>8</v>
      </c>
      <c r="Q696" s="10">
        <v>21.55</v>
      </c>
      <c r="R696" s="11">
        <v>0.11</v>
      </c>
      <c r="S696" s="10">
        <v>5.87</v>
      </c>
      <c r="T696" t="s">
        <v>134</v>
      </c>
      <c r="U696" t="s">
        <v>85</v>
      </c>
      <c r="V696" s="8">
        <v>3</v>
      </c>
      <c r="W696" t="s">
        <v>1280</v>
      </c>
      <c r="X696" t="e">
        <f>_xlfn.XLOOKUP(Cleaned_data[[#This Row],[Customer_ID]],Customers[S],Customers[Loyalty_Tier])</f>
        <v>#N/A</v>
      </c>
      <c r="Y696" s="9" t="e">
        <f>_xlfn.XLOOKUP(Cleaned_data[[#This Row],[Customer_ID]],Customers[S],Customers[Signup_Date])</f>
        <v>#N/A</v>
      </c>
      <c r="Z696" s="12">
        <f>_xlfn.XLOOKUP(Cleaned_data[[#This Row],[SKU]],Products[SKU],Products[Standard_Cost])</f>
        <v>10</v>
      </c>
      <c r="AA696" s="10">
        <f>Cleaned_data[[#This Row],[Quantity]]*Cleaned_data[[#This Row],[Unit_Price]]</f>
        <v>172.4</v>
      </c>
      <c r="AB696" s="10">
        <f>Cleaned_data[[#This Row],[Unit_Price]]*Cleaned_data[[#This Row],[Discount_Pct]]</f>
        <v>2.3705000000000003</v>
      </c>
      <c r="AC696" s="10">
        <f>Cleaned_data[[#This Row],[Gross Sales]]-Cleaned_data[[#This Row],[Discount amount]]</f>
        <v>170.02950000000001</v>
      </c>
      <c r="AD696" s="10">
        <f>Cleaned_data[[#This Row],[Product Cost]]*Cleaned_data[[#This Row],[Quantity]]</f>
        <v>80</v>
      </c>
      <c r="AE696" s="10">
        <f>Cleaned_data[[#This Row],[Net Sales]]-Cleaned_data[[#This Row],[COGS]]</f>
        <v>90.029500000000013</v>
      </c>
      <c r="AF696" s="11">
        <f>Cleaned_data[[#This Row],[Gross Profit]]/Cleaned_data[[#This Row],[Net Sales]]</f>
        <v>0.52949341143742712</v>
      </c>
      <c r="AG696">
        <f>Cleaned_data[[#This Row],[Ship_Date]]-Cleaned_data[[#This Row],[Order_Date]]</f>
        <v>1</v>
      </c>
      <c r="AH696" t="str">
        <f>IF(Cleaned_data[[#This Row],[Delivery Days]]&gt;10,"late","on time")</f>
        <v>on time</v>
      </c>
      <c r="AI696" t="str">
        <f>TEXT(Cleaned_data[[#This Row],[Order_Date]],"mmmm")</f>
        <v>December</v>
      </c>
      <c r="AJ696" s="9" t="str">
        <f>"Q"&amp;ROUNDUP(MONTH(Cleaned_data[[#This Row],[Order_Date]])/3,0)</f>
        <v>Q4</v>
      </c>
    </row>
    <row r="697" spans="1:36">
      <c r="A697" t="s">
        <v>1192</v>
      </c>
      <c r="B697" s="9">
        <v>45998</v>
      </c>
      <c r="C697" s="9">
        <v>46001</v>
      </c>
      <c r="D697" t="s">
        <v>253</v>
      </c>
      <c r="E697" t="s">
        <v>167</v>
      </c>
      <c r="F697" t="s">
        <v>152</v>
      </c>
      <c r="G697" t="s">
        <v>75</v>
      </c>
      <c r="H697" t="s">
        <v>212</v>
      </c>
      <c r="I697" t="s">
        <v>213</v>
      </c>
      <c r="J697" t="s">
        <v>109</v>
      </c>
      <c r="K697" t="s">
        <v>79</v>
      </c>
      <c r="L697" t="s">
        <v>91</v>
      </c>
      <c r="M697" t="s">
        <v>92</v>
      </c>
      <c r="N697" t="s">
        <v>93</v>
      </c>
      <c r="O697" t="s">
        <v>94</v>
      </c>
      <c r="P697" s="8">
        <v>4</v>
      </c>
      <c r="Q697" s="10">
        <v>342.11</v>
      </c>
      <c r="R697" s="11">
        <v>0.09</v>
      </c>
      <c r="S697" s="10">
        <v>25.83</v>
      </c>
      <c r="T697" t="s">
        <v>134</v>
      </c>
      <c r="U697" t="s">
        <v>85</v>
      </c>
      <c r="V697" s="8">
        <v>5</v>
      </c>
      <c r="W697" t="s">
        <v>1270</v>
      </c>
      <c r="X697" t="str">
        <f>_xlfn.XLOOKUP(Cleaned_data[[#This Row],[Customer_ID]],Customers[S],Customers[Loyalty_Tier])</f>
        <v>Silver</v>
      </c>
      <c r="Y697" s="9">
        <f>_xlfn.XLOOKUP(Cleaned_data[[#This Row],[Customer_ID]],Customers[S],Customers[Signup_Date])</f>
        <v>45243</v>
      </c>
      <c r="Z697" s="12">
        <f>_xlfn.XLOOKUP(Cleaned_data[[#This Row],[SKU]],Products[SKU],Products[Standard_Cost])</f>
        <v>184</v>
      </c>
      <c r="AA697" s="10">
        <f>Cleaned_data[[#This Row],[Quantity]]*Cleaned_data[[#This Row],[Unit_Price]]</f>
        <v>1368.44</v>
      </c>
      <c r="AB697" s="10">
        <f>Cleaned_data[[#This Row],[Unit_Price]]*Cleaned_data[[#This Row],[Discount_Pct]]</f>
        <v>30.789899999999999</v>
      </c>
      <c r="AC697" s="10">
        <f>Cleaned_data[[#This Row],[Gross Sales]]-Cleaned_data[[#This Row],[Discount amount]]</f>
        <v>1337.6501000000001</v>
      </c>
      <c r="AD697" s="10">
        <f>Cleaned_data[[#This Row],[Product Cost]]*Cleaned_data[[#This Row],[Quantity]]</f>
        <v>736</v>
      </c>
      <c r="AE697" s="10">
        <f>Cleaned_data[[#This Row],[Net Sales]]-Cleaned_data[[#This Row],[COGS]]</f>
        <v>601.65010000000007</v>
      </c>
      <c r="AF697" s="11">
        <f>Cleaned_data[[#This Row],[Gross Profit]]/Cleaned_data[[#This Row],[Net Sales]]</f>
        <v>0.44978137406785229</v>
      </c>
      <c r="AG697">
        <f>Cleaned_data[[#This Row],[Ship_Date]]-Cleaned_data[[#This Row],[Order_Date]]</f>
        <v>3</v>
      </c>
      <c r="AH697" t="str">
        <f>IF(Cleaned_data[[#This Row],[Delivery Days]]&gt;10,"late","on time")</f>
        <v>on time</v>
      </c>
      <c r="AI697" t="str">
        <f>TEXT(Cleaned_data[[#This Row],[Order_Date]],"mmmm")</f>
        <v>December</v>
      </c>
      <c r="AJ697" s="9" t="str">
        <f>"Q"&amp;ROUNDUP(MONTH(Cleaned_data[[#This Row],[Order_Date]])/3,0)</f>
        <v>Q4</v>
      </c>
    </row>
    <row r="698" spans="1:36">
      <c r="A698" t="s">
        <v>1193</v>
      </c>
      <c r="B698" s="9">
        <v>46000</v>
      </c>
      <c r="C698" s="9">
        <v>46003</v>
      </c>
      <c r="D698" t="s">
        <v>210</v>
      </c>
      <c r="E698" t="s">
        <v>211</v>
      </c>
      <c r="F698" t="s">
        <v>89</v>
      </c>
      <c r="G698" t="s">
        <v>75</v>
      </c>
      <c r="H698" t="s">
        <v>212</v>
      </c>
      <c r="I698" t="s">
        <v>213</v>
      </c>
      <c r="J698" t="s">
        <v>109</v>
      </c>
      <c r="K698" t="s">
        <v>168</v>
      </c>
      <c r="L698" t="s">
        <v>249</v>
      </c>
      <c r="M698" t="s">
        <v>250</v>
      </c>
      <c r="N698" t="s">
        <v>103</v>
      </c>
      <c r="O698" t="s">
        <v>251</v>
      </c>
      <c r="P698" s="8">
        <v>8</v>
      </c>
      <c r="Q698" s="10">
        <v>22.56</v>
      </c>
      <c r="R698" s="11">
        <v>0.11</v>
      </c>
      <c r="S698" s="10">
        <v>10.72</v>
      </c>
      <c r="T698" t="s">
        <v>134</v>
      </c>
      <c r="U698" t="s">
        <v>85</v>
      </c>
      <c r="V698" s="8">
        <v>2</v>
      </c>
      <c r="W698" t="s">
        <v>1270</v>
      </c>
      <c r="X698" t="str">
        <f>_xlfn.XLOOKUP(Cleaned_data[[#This Row],[Customer_ID]],Customers[S],Customers[Loyalty_Tier])</f>
        <v>Platinum</v>
      </c>
      <c r="Y698" s="9">
        <f>_xlfn.XLOOKUP(Cleaned_data[[#This Row],[Customer_ID]],Customers[S],Customers[Signup_Date])</f>
        <v>45059</v>
      </c>
      <c r="Z698" s="12">
        <f>_xlfn.XLOOKUP(Cleaned_data[[#This Row],[SKU]],Products[SKU],Products[Standard_Cost])</f>
        <v>10</v>
      </c>
      <c r="AA698" s="10">
        <f>Cleaned_data[[#This Row],[Quantity]]*Cleaned_data[[#This Row],[Unit_Price]]</f>
        <v>180.48</v>
      </c>
      <c r="AB698" s="10">
        <f>Cleaned_data[[#This Row],[Unit_Price]]*Cleaned_data[[#This Row],[Discount_Pct]]</f>
        <v>2.4815999999999998</v>
      </c>
      <c r="AC698" s="10">
        <f>Cleaned_data[[#This Row],[Gross Sales]]-Cleaned_data[[#This Row],[Discount amount]]</f>
        <v>177.9984</v>
      </c>
      <c r="AD698" s="10">
        <f>Cleaned_data[[#This Row],[Product Cost]]*Cleaned_data[[#This Row],[Quantity]]</f>
        <v>80</v>
      </c>
      <c r="AE698" s="10">
        <f>Cleaned_data[[#This Row],[Net Sales]]-Cleaned_data[[#This Row],[COGS]]</f>
        <v>97.998400000000004</v>
      </c>
      <c r="AF698" s="11">
        <f>Cleaned_data[[#This Row],[Gross Profit]]/Cleaned_data[[#This Row],[Net Sales]]</f>
        <v>0.55055775782254224</v>
      </c>
      <c r="AG698">
        <f>Cleaned_data[[#This Row],[Ship_Date]]-Cleaned_data[[#This Row],[Order_Date]]</f>
        <v>3</v>
      </c>
      <c r="AH698" t="str">
        <f>IF(Cleaned_data[[#This Row],[Delivery Days]]&gt;10,"late","on time")</f>
        <v>on time</v>
      </c>
      <c r="AI698" t="str">
        <f>TEXT(Cleaned_data[[#This Row],[Order_Date]],"mmmm")</f>
        <v>December</v>
      </c>
      <c r="AJ698" s="9" t="str">
        <f>"Q"&amp;ROUNDUP(MONTH(Cleaned_data[[#This Row],[Order_Date]])/3,0)</f>
        <v>Q4</v>
      </c>
    </row>
    <row r="699" spans="1:36">
      <c r="A699" t="s">
        <v>1194</v>
      </c>
      <c r="B699" s="9">
        <v>46000</v>
      </c>
      <c r="C699" s="9">
        <v>46003</v>
      </c>
      <c r="D699" t="s">
        <v>1195</v>
      </c>
      <c r="E699" t="s">
        <v>1196</v>
      </c>
      <c r="F699" t="s">
        <v>89</v>
      </c>
      <c r="G699" t="s">
        <v>126</v>
      </c>
      <c r="H699" t="s">
        <v>784</v>
      </c>
      <c r="I699" t="s">
        <v>785</v>
      </c>
      <c r="J699" t="s">
        <v>78</v>
      </c>
      <c r="K699" t="s">
        <v>168</v>
      </c>
      <c r="L699" t="s">
        <v>359</v>
      </c>
      <c r="M699" t="s">
        <v>360</v>
      </c>
      <c r="N699" t="s">
        <v>93</v>
      </c>
      <c r="O699" t="s">
        <v>94</v>
      </c>
      <c r="P699" s="8">
        <v>2</v>
      </c>
      <c r="Q699" s="10">
        <v>468.2</v>
      </c>
      <c r="R699" s="11">
        <v>0.06</v>
      </c>
      <c r="S699" s="10">
        <v>29.5</v>
      </c>
      <c r="T699" t="s">
        <v>84</v>
      </c>
      <c r="U699" t="s">
        <v>85</v>
      </c>
      <c r="V699" s="8">
        <v>5</v>
      </c>
      <c r="W699" t="s">
        <v>1270</v>
      </c>
      <c r="X699" t="str">
        <f>_xlfn.XLOOKUP(Cleaned_data[[#This Row],[Customer_ID]],Customers[S],Customers[Loyalty_Tier])</f>
        <v>Silver</v>
      </c>
      <c r="Y699" s="9">
        <f>_xlfn.XLOOKUP(Cleaned_data[[#This Row],[Customer_ID]],Customers[S],Customers[Signup_Date])</f>
        <v>44755</v>
      </c>
      <c r="Z699" s="12">
        <f>_xlfn.XLOOKUP(Cleaned_data[[#This Row],[SKU]],Products[SKU],Products[Standard_Cost])</f>
        <v>265</v>
      </c>
      <c r="AA699" s="10">
        <f>Cleaned_data[[#This Row],[Quantity]]*Cleaned_data[[#This Row],[Unit_Price]]</f>
        <v>936.4</v>
      </c>
      <c r="AB699" s="10">
        <f>Cleaned_data[[#This Row],[Unit_Price]]*Cleaned_data[[#This Row],[Discount_Pct]]</f>
        <v>28.091999999999999</v>
      </c>
      <c r="AC699" s="10">
        <f>Cleaned_data[[#This Row],[Gross Sales]]-Cleaned_data[[#This Row],[Discount amount]]</f>
        <v>908.30799999999999</v>
      </c>
      <c r="AD699" s="10">
        <f>Cleaned_data[[#This Row],[Product Cost]]*Cleaned_data[[#This Row],[Quantity]]</f>
        <v>530</v>
      </c>
      <c r="AE699" s="10">
        <f>Cleaned_data[[#This Row],[Net Sales]]-Cleaned_data[[#This Row],[COGS]]</f>
        <v>378.30799999999999</v>
      </c>
      <c r="AF699" s="11">
        <f>Cleaned_data[[#This Row],[Gross Profit]]/Cleaned_data[[#This Row],[Net Sales]]</f>
        <v>0.41649748763635241</v>
      </c>
      <c r="AG699">
        <f>Cleaned_data[[#This Row],[Ship_Date]]-Cleaned_data[[#This Row],[Order_Date]]</f>
        <v>3</v>
      </c>
      <c r="AH699" t="str">
        <f>IF(Cleaned_data[[#This Row],[Delivery Days]]&gt;10,"late","on time")</f>
        <v>on time</v>
      </c>
      <c r="AI699" t="str">
        <f>TEXT(Cleaned_data[[#This Row],[Order_Date]],"mmmm")</f>
        <v>December</v>
      </c>
      <c r="AJ699" s="9" t="str">
        <f>"Q"&amp;ROUNDUP(MONTH(Cleaned_data[[#This Row],[Order_Date]])/3,0)</f>
        <v>Q4</v>
      </c>
    </row>
    <row r="700" spans="1:36">
      <c r="A700" t="s">
        <v>1197</v>
      </c>
      <c r="B700" s="9">
        <v>46002</v>
      </c>
      <c r="C700" s="9">
        <v>46010</v>
      </c>
      <c r="D700" t="s">
        <v>456</v>
      </c>
      <c r="E700" t="s">
        <v>369</v>
      </c>
      <c r="F700" t="s">
        <v>89</v>
      </c>
      <c r="G700" t="s">
        <v>138</v>
      </c>
      <c r="H700" t="s">
        <v>457</v>
      </c>
      <c r="I700" t="s">
        <v>458</v>
      </c>
      <c r="J700" t="s">
        <v>219</v>
      </c>
      <c r="K700" t="s">
        <v>168</v>
      </c>
      <c r="L700" t="s">
        <v>242</v>
      </c>
      <c r="M700" t="s">
        <v>243</v>
      </c>
      <c r="N700" t="s">
        <v>120</v>
      </c>
      <c r="O700" t="s">
        <v>133</v>
      </c>
      <c r="P700" s="8">
        <v>4</v>
      </c>
      <c r="Q700" s="10">
        <v>185.28</v>
      </c>
      <c r="R700" s="11">
        <v>0.01</v>
      </c>
      <c r="S700" s="10">
        <v>19.27</v>
      </c>
      <c r="T700" t="s">
        <v>134</v>
      </c>
      <c r="U700" t="s">
        <v>85</v>
      </c>
      <c r="V700" s="8">
        <v>4</v>
      </c>
      <c r="W700" t="s">
        <v>1270</v>
      </c>
      <c r="X700" t="str">
        <f>_xlfn.XLOOKUP(Cleaned_data[[#This Row],[Customer_ID]],Customers[S],Customers[Loyalty_Tier])</f>
        <v>Bronze</v>
      </c>
      <c r="Y700" s="9">
        <f>_xlfn.XLOOKUP(Cleaned_data[[#This Row],[Customer_ID]],Customers[S],Customers[Signup_Date])</f>
        <v>44735</v>
      </c>
      <c r="Z700" s="12">
        <f>_xlfn.XLOOKUP(Cleaned_data[[#This Row],[SKU]],Products[SKU],Products[Standard_Cost])</f>
        <v>96</v>
      </c>
      <c r="AA700" s="10">
        <f>Cleaned_data[[#This Row],[Quantity]]*Cleaned_data[[#This Row],[Unit_Price]]</f>
        <v>741.12</v>
      </c>
      <c r="AB700" s="10">
        <f>Cleaned_data[[#This Row],[Unit_Price]]*Cleaned_data[[#This Row],[Discount_Pct]]</f>
        <v>1.8528</v>
      </c>
      <c r="AC700" s="10">
        <f>Cleaned_data[[#This Row],[Gross Sales]]-Cleaned_data[[#This Row],[Discount amount]]</f>
        <v>739.2672</v>
      </c>
      <c r="AD700" s="10">
        <f>Cleaned_data[[#This Row],[Product Cost]]*Cleaned_data[[#This Row],[Quantity]]</f>
        <v>384</v>
      </c>
      <c r="AE700" s="10">
        <f>Cleaned_data[[#This Row],[Net Sales]]-Cleaned_data[[#This Row],[COGS]]</f>
        <v>355.2672</v>
      </c>
      <c r="AF700" s="11">
        <f>Cleaned_data[[#This Row],[Gross Profit]]/Cleaned_data[[#This Row],[Net Sales]]</f>
        <v>0.48056670172841431</v>
      </c>
      <c r="AG700">
        <f>Cleaned_data[[#This Row],[Ship_Date]]-Cleaned_data[[#This Row],[Order_Date]]</f>
        <v>8</v>
      </c>
      <c r="AH700" t="str">
        <f>IF(Cleaned_data[[#This Row],[Delivery Days]]&gt;10,"late","on time")</f>
        <v>on time</v>
      </c>
      <c r="AI700" t="str">
        <f>TEXT(Cleaned_data[[#This Row],[Order_Date]],"mmmm")</f>
        <v>December</v>
      </c>
      <c r="AJ700" s="9" t="str">
        <f>"Q"&amp;ROUNDUP(MONTH(Cleaned_data[[#This Row],[Order_Date]])/3,0)</f>
        <v>Q4</v>
      </c>
    </row>
    <row r="701" spans="1:36">
      <c r="A701" t="s">
        <v>1198</v>
      </c>
      <c r="B701" s="9">
        <v>46004</v>
      </c>
      <c r="C701" s="9">
        <v>46010</v>
      </c>
      <c r="D701" t="s">
        <v>594</v>
      </c>
      <c r="E701" t="s">
        <v>595</v>
      </c>
      <c r="F701" t="s">
        <v>74</v>
      </c>
      <c r="G701" t="s">
        <v>75</v>
      </c>
      <c r="H701" t="s">
        <v>76</v>
      </c>
      <c r="I701" t="s">
        <v>77</v>
      </c>
      <c r="J701" t="s">
        <v>219</v>
      </c>
      <c r="K701" t="s">
        <v>100</v>
      </c>
      <c r="L701" t="s">
        <v>207</v>
      </c>
      <c r="M701" t="s">
        <v>208</v>
      </c>
      <c r="N701" t="s">
        <v>120</v>
      </c>
      <c r="O701" t="s">
        <v>164</v>
      </c>
      <c r="P701" s="8">
        <v>4</v>
      </c>
      <c r="Q701" s="10">
        <v>1346.88</v>
      </c>
      <c r="R701" s="11">
        <v>0.1</v>
      </c>
      <c r="S701" s="10">
        <v>12.09</v>
      </c>
      <c r="T701" t="s">
        <v>105</v>
      </c>
      <c r="U701" t="s">
        <v>85</v>
      </c>
      <c r="V701" s="8">
        <v>1</v>
      </c>
      <c r="W701" t="s">
        <v>1270</v>
      </c>
      <c r="X701" t="str">
        <f>_xlfn.XLOOKUP(Cleaned_data[[#This Row],[Customer_ID]],Customers[S],Customers[Loyalty_Tier])</f>
        <v>Gold</v>
      </c>
      <c r="Y701" s="9">
        <f>_xlfn.XLOOKUP(Cleaned_data[[#This Row],[Customer_ID]],Customers[S],Customers[Signup_Date])</f>
        <v>44818</v>
      </c>
      <c r="Z701" s="12">
        <f>_xlfn.XLOOKUP(Cleaned_data[[#This Row],[SKU]],Products[SKU],Products[Standard_Cost])</f>
        <v>885</v>
      </c>
      <c r="AA701" s="10">
        <f>Cleaned_data[[#This Row],[Quantity]]*Cleaned_data[[#This Row],[Unit_Price]]</f>
        <v>5387.52</v>
      </c>
      <c r="AB701" s="10">
        <f>Cleaned_data[[#This Row],[Unit_Price]]*Cleaned_data[[#This Row],[Discount_Pct]]</f>
        <v>134.68800000000002</v>
      </c>
      <c r="AC701" s="10">
        <f>Cleaned_data[[#This Row],[Gross Sales]]-Cleaned_data[[#This Row],[Discount amount]]</f>
        <v>5252.8320000000003</v>
      </c>
      <c r="AD701" s="10">
        <f>Cleaned_data[[#This Row],[Product Cost]]*Cleaned_data[[#This Row],[Quantity]]</f>
        <v>3540</v>
      </c>
      <c r="AE701" s="10">
        <f>Cleaned_data[[#This Row],[Net Sales]]-Cleaned_data[[#This Row],[COGS]]</f>
        <v>1712.8320000000003</v>
      </c>
      <c r="AF701" s="11">
        <f>Cleaned_data[[#This Row],[Gross Profit]]/Cleaned_data[[#This Row],[Net Sales]]</f>
        <v>0.32607781859385571</v>
      </c>
      <c r="AG701">
        <f>Cleaned_data[[#This Row],[Ship_Date]]-Cleaned_data[[#This Row],[Order_Date]]</f>
        <v>6</v>
      </c>
      <c r="AH701" t="str">
        <f>IF(Cleaned_data[[#This Row],[Delivery Days]]&gt;10,"late","on time")</f>
        <v>on time</v>
      </c>
      <c r="AI701" t="str">
        <f>TEXT(Cleaned_data[[#This Row],[Order_Date]],"mmmm")</f>
        <v>December</v>
      </c>
      <c r="AJ701" s="9" t="str">
        <f>"Q"&amp;ROUNDUP(MONTH(Cleaned_data[[#This Row],[Order_Date]])/3,0)</f>
        <v>Q4</v>
      </c>
    </row>
    <row r="702" spans="1:36">
      <c r="A702" t="s">
        <v>1199</v>
      </c>
      <c r="B702" s="9">
        <v>46005</v>
      </c>
      <c r="C702" s="9">
        <v>46018</v>
      </c>
      <c r="D702" t="s">
        <v>309</v>
      </c>
      <c r="E702" t="s">
        <v>310</v>
      </c>
      <c r="F702" t="s">
        <v>89</v>
      </c>
      <c r="G702" t="s">
        <v>75</v>
      </c>
      <c r="H702" t="s">
        <v>76</v>
      </c>
      <c r="I702" t="s">
        <v>77</v>
      </c>
      <c r="J702" t="s">
        <v>78</v>
      </c>
      <c r="K702" t="s">
        <v>79</v>
      </c>
      <c r="L702" t="s">
        <v>284</v>
      </c>
      <c r="M702" t="s">
        <v>285</v>
      </c>
      <c r="N702" t="s">
        <v>103</v>
      </c>
      <c r="O702" t="s">
        <v>143</v>
      </c>
      <c r="P702" s="8">
        <v>8</v>
      </c>
      <c r="Q702" s="10">
        <v>28.22</v>
      </c>
      <c r="R702" s="11">
        <v>0.08</v>
      </c>
      <c r="S702" s="10">
        <v>6.68</v>
      </c>
      <c r="T702" t="s">
        <v>84</v>
      </c>
      <c r="U702" t="s">
        <v>85</v>
      </c>
      <c r="V702" s="8">
        <v>3</v>
      </c>
      <c r="W702" t="s">
        <v>1270</v>
      </c>
      <c r="X702" t="str">
        <f>_xlfn.XLOOKUP(Cleaned_data[[#This Row],[Customer_ID]],Customers[S],Customers[Loyalty_Tier])</f>
        <v>Platinum</v>
      </c>
      <c r="Y702" s="9">
        <f>_xlfn.XLOOKUP(Cleaned_data[[#This Row],[Customer_ID]],Customers[S],Customers[Signup_Date])</f>
        <v>44518</v>
      </c>
      <c r="Z702" s="12">
        <f>_xlfn.XLOOKUP(Cleaned_data[[#This Row],[SKU]],Products[SKU],Products[Standard_Cost])</f>
        <v>14</v>
      </c>
      <c r="AA702" s="10">
        <f>Cleaned_data[[#This Row],[Quantity]]*Cleaned_data[[#This Row],[Unit_Price]]</f>
        <v>225.76</v>
      </c>
      <c r="AB702" s="10">
        <f>Cleaned_data[[#This Row],[Unit_Price]]*Cleaned_data[[#This Row],[Discount_Pct]]</f>
        <v>2.2576000000000001</v>
      </c>
      <c r="AC702" s="10">
        <f>Cleaned_data[[#This Row],[Gross Sales]]-Cleaned_data[[#This Row],[Discount amount]]</f>
        <v>223.50239999999999</v>
      </c>
      <c r="AD702" s="10">
        <f>Cleaned_data[[#This Row],[Product Cost]]*Cleaned_data[[#This Row],[Quantity]]</f>
        <v>112</v>
      </c>
      <c r="AE702" s="10">
        <f>Cleaned_data[[#This Row],[Net Sales]]-Cleaned_data[[#This Row],[COGS]]</f>
        <v>111.50239999999999</v>
      </c>
      <c r="AF702" s="11">
        <f>Cleaned_data[[#This Row],[Gross Profit]]/Cleaned_data[[#This Row],[Net Sales]]</f>
        <v>0.49888681284854208</v>
      </c>
      <c r="AG702">
        <f>Cleaned_data[[#This Row],[Ship_Date]]-Cleaned_data[[#This Row],[Order_Date]]</f>
        <v>13</v>
      </c>
      <c r="AH702" t="str">
        <f>IF(Cleaned_data[[#This Row],[Delivery Days]]&gt;10,"late","on time")</f>
        <v>late</v>
      </c>
      <c r="AI702" t="str">
        <f>TEXT(Cleaned_data[[#This Row],[Order_Date]],"mmmm")</f>
        <v>December</v>
      </c>
      <c r="AJ702" s="9" t="str">
        <f>"Q"&amp;ROUNDUP(MONTH(Cleaned_data[[#This Row],[Order_Date]])/3,0)</f>
        <v>Q4</v>
      </c>
    </row>
    <row r="703" spans="1:36">
      <c r="A703" t="s">
        <v>1200</v>
      </c>
      <c r="B703" s="9">
        <v>46006</v>
      </c>
      <c r="C703" s="9">
        <v>46015</v>
      </c>
      <c r="D703" t="s">
        <v>451</v>
      </c>
      <c r="E703" t="s">
        <v>452</v>
      </c>
      <c r="F703" t="s">
        <v>89</v>
      </c>
      <c r="G703" t="s">
        <v>126</v>
      </c>
      <c r="H703" t="s">
        <v>160</v>
      </c>
      <c r="I703" t="s">
        <v>161</v>
      </c>
      <c r="J703" t="s">
        <v>109</v>
      </c>
      <c r="K703" t="s">
        <v>168</v>
      </c>
      <c r="L703" t="s">
        <v>301</v>
      </c>
      <c r="M703" t="s">
        <v>302</v>
      </c>
      <c r="N703" t="s">
        <v>120</v>
      </c>
      <c r="O703" t="s">
        <v>190</v>
      </c>
      <c r="P703" s="8">
        <v>1</v>
      </c>
      <c r="Q703" s="10">
        <v>146.9</v>
      </c>
      <c r="R703" s="11">
        <v>0.09</v>
      </c>
      <c r="S703" s="10">
        <v>7.17</v>
      </c>
      <c r="T703" t="s">
        <v>105</v>
      </c>
      <c r="U703" t="s">
        <v>148</v>
      </c>
      <c r="V703" s="8">
        <v>1</v>
      </c>
      <c r="W703" t="s">
        <v>1270</v>
      </c>
      <c r="X703" t="str">
        <f>_xlfn.XLOOKUP(Cleaned_data[[#This Row],[Customer_ID]],Customers[S],Customers[Loyalty_Tier])</f>
        <v>Silver</v>
      </c>
      <c r="Y703" s="9">
        <f>_xlfn.XLOOKUP(Cleaned_data[[#This Row],[Customer_ID]],Customers[S],Customers[Signup_Date])</f>
        <v>45495</v>
      </c>
      <c r="Z703" s="12">
        <f>_xlfn.XLOOKUP(Cleaned_data[[#This Row],[SKU]],Products[SKU],Products[Standard_Cost])</f>
        <v>72</v>
      </c>
      <c r="AA703" s="10">
        <f>Cleaned_data[[#This Row],[Quantity]]*Cleaned_data[[#This Row],[Unit_Price]]</f>
        <v>146.9</v>
      </c>
      <c r="AB703" s="10">
        <f>Cleaned_data[[#This Row],[Unit_Price]]*Cleaned_data[[#This Row],[Discount_Pct]]</f>
        <v>13.221</v>
      </c>
      <c r="AC703" s="10">
        <f>Cleaned_data[[#This Row],[Gross Sales]]-Cleaned_data[[#This Row],[Discount amount]]</f>
        <v>133.679</v>
      </c>
      <c r="AD703" s="10">
        <f>Cleaned_data[[#This Row],[Product Cost]]*Cleaned_data[[#This Row],[Quantity]]</f>
        <v>72</v>
      </c>
      <c r="AE703" s="10">
        <f>Cleaned_data[[#This Row],[Net Sales]]-Cleaned_data[[#This Row],[COGS]]</f>
        <v>61.679000000000002</v>
      </c>
      <c r="AF703" s="11">
        <f>Cleaned_data[[#This Row],[Gross Profit]]/Cleaned_data[[#This Row],[Net Sales]]</f>
        <v>0.46139633001443758</v>
      </c>
      <c r="AG703">
        <f>Cleaned_data[[#This Row],[Ship_Date]]-Cleaned_data[[#This Row],[Order_Date]]</f>
        <v>9</v>
      </c>
      <c r="AH703" t="str">
        <f>IF(Cleaned_data[[#This Row],[Delivery Days]]&gt;10,"late","on time")</f>
        <v>on time</v>
      </c>
      <c r="AI703" t="str">
        <f>TEXT(Cleaned_data[[#This Row],[Order_Date]],"mmmm")</f>
        <v>December</v>
      </c>
      <c r="AJ703" s="9" t="str">
        <f>"Q"&amp;ROUNDUP(MONTH(Cleaned_data[[#This Row],[Order_Date]])/3,0)</f>
        <v>Q4</v>
      </c>
    </row>
    <row r="704" spans="1:36">
      <c r="A704" t="s">
        <v>1201</v>
      </c>
      <c r="B704" s="9">
        <v>46006</v>
      </c>
      <c r="C704" s="9">
        <v>46010</v>
      </c>
      <c r="D704" t="s">
        <v>570</v>
      </c>
      <c r="E704" t="s">
        <v>571</v>
      </c>
      <c r="F704" t="s">
        <v>152</v>
      </c>
      <c r="G704" t="s">
        <v>126</v>
      </c>
      <c r="H704" t="s">
        <v>160</v>
      </c>
      <c r="I704" t="s">
        <v>182</v>
      </c>
      <c r="J704" t="s">
        <v>78</v>
      </c>
      <c r="K704" t="s">
        <v>100</v>
      </c>
      <c r="L704" t="s">
        <v>175</v>
      </c>
      <c r="M704" t="s">
        <v>176</v>
      </c>
      <c r="N704" t="s">
        <v>93</v>
      </c>
      <c r="O704" t="s">
        <v>177</v>
      </c>
      <c r="P704" s="8">
        <v>4</v>
      </c>
      <c r="Q704" s="10">
        <v>165.93</v>
      </c>
      <c r="R704" s="11">
        <v>0.06</v>
      </c>
      <c r="S704" s="10">
        <v>25.27</v>
      </c>
      <c r="T704" t="s">
        <v>84</v>
      </c>
      <c r="U704" t="s">
        <v>85</v>
      </c>
      <c r="V704" s="8">
        <v>5</v>
      </c>
      <c r="W704" t="s">
        <v>1270</v>
      </c>
      <c r="X704" t="str">
        <f>_xlfn.XLOOKUP(Cleaned_data[[#This Row],[Customer_ID]],Customers[S],Customers[Loyalty_Tier])</f>
        <v>Silver</v>
      </c>
      <c r="Y704" s="9">
        <f>_xlfn.XLOOKUP(Cleaned_data[[#This Row],[Customer_ID]],Customers[S],Customers[Signup_Date])</f>
        <v>44870</v>
      </c>
      <c r="Z704" s="12">
        <f>_xlfn.XLOOKUP(Cleaned_data[[#This Row],[SKU]],Products[SKU],Products[Standard_Cost])</f>
        <v>88</v>
      </c>
      <c r="AA704" s="10">
        <f>Cleaned_data[[#This Row],[Quantity]]*Cleaned_data[[#This Row],[Unit_Price]]</f>
        <v>663.72</v>
      </c>
      <c r="AB704" s="10">
        <f>Cleaned_data[[#This Row],[Unit_Price]]*Cleaned_data[[#This Row],[Discount_Pct]]</f>
        <v>9.9558</v>
      </c>
      <c r="AC704" s="10">
        <f>Cleaned_data[[#This Row],[Gross Sales]]-Cleaned_data[[#This Row],[Discount amount]]</f>
        <v>653.76420000000007</v>
      </c>
      <c r="AD704" s="10">
        <f>Cleaned_data[[#This Row],[Product Cost]]*Cleaned_data[[#This Row],[Quantity]]</f>
        <v>352</v>
      </c>
      <c r="AE704" s="10">
        <f>Cleaned_data[[#This Row],[Net Sales]]-Cleaned_data[[#This Row],[COGS]]</f>
        <v>301.76420000000007</v>
      </c>
      <c r="AF704" s="11">
        <f>Cleaned_data[[#This Row],[Gross Profit]]/Cleaned_data[[#This Row],[Net Sales]]</f>
        <v>0.46157957257372006</v>
      </c>
      <c r="AG704">
        <f>Cleaned_data[[#This Row],[Ship_Date]]-Cleaned_data[[#This Row],[Order_Date]]</f>
        <v>4</v>
      </c>
      <c r="AH704" t="str">
        <f>IF(Cleaned_data[[#This Row],[Delivery Days]]&gt;10,"late","on time")</f>
        <v>on time</v>
      </c>
      <c r="AI704" t="str">
        <f>TEXT(Cleaned_data[[#This Row],[Order_Date]],"mmmm")</f>
        <v>December</v>
      </c>
      <c r="AJ704" s="9" t="str">
        <f>"Q"&amp;ROUNDUP(MONTH(Cleaned_data[[#This Row],[Order_Date]])/3,0)</f>
        <v>Q4</v>
      </c>
    </row>
    <row r="705" spans="1:36">
      <c r="A705" t="s">
        <v>1202</v>
      </c>
      <c r="B705" s="9">
        <v>46008</v>
      </c>
      <c r="C705" s="9">
        <v>46014</v>
      </c>
      <c r="D705" t="s">
        <v>586</v>
      </c>
      <c r="E705" t="s">
        <v>587</v>
      </c>
      <c r="F705" t="s">
        <v>89</v>
      </c>
      <c r="G705" t="s">
        <v>138</v>
      </c>
      <c r="H705" t="s">
        <v>139</v>
      </c>
      <c r="I705" t="s">
        <v>140</v>
      </c>
      <c r="J705" t="s">
        <v>109</v>
      </c>
      <c r="K705" t="s">
        <v>90</v>
      </c>
      <c r="L705" t="s">
        <v>249</v>
      </c>
      <c r="M705" t="s">
        <v>250</v>
      </c>
      <c r="N705" t="s">
        <v>103</v>
      </c>
      <c r="O705" t="s">
        <v>251</v>
      </c>
      <c r="P705" s="8">
        <v>6</v>
      </c>
      <c r="Q705" s="10">
        <v>22.53</v>
      </c>
      <c r="R705" s="11">
        <v>0.05</v>
      </c>
      <c r="S705" s="10">
        <v>14.17</v>
      </c>
      <c r="T705" t="s">
        <v>84</v>
      </c>
      <c r="U705" t="s">
        <v>85</v>
      </c>
      <c r="V705" s="8">
        <v>1</v>
      </c>
      <c r="W705" t="s">
        <v>1270</v>
      </c>
      <c r="X705" t="str">
        <f>_xlfn.XLOOKUP(Cleaned_data[[#This Row],[Customer_ID]],Customers[S],Customers[Loyalty_Tier])</f>
        <v>Silver</v>
      </c>
      <c r="Y705" s="9">
        <f>_xlfn.XLOOKUP(Cleaned_data[[#This Row],[Customer_ID]],Customers[S],Customers[Signup_Date])</f>
        <v>45201</v>
      </c>
      <c r="Z705" s="12">
        <f>_xlfn.XLOOKUP(Cleaned_data[[#This Row],[SKU]],Products[SKU],Products[Standard_Cost])</f>
        <v>10</v>
      </c>
      <c r="AA705" s="10">
        <f>Cleaned_data[[#This Row],[Quantity]]*Cleaned_data[[#This Row],[Unit_Price]]</f>
        <v>135.18</v>
      </c>
      <c r="AB705" s="10">
        <f>Cleaned_data[[#This Row],[Unit_Price]]*Cleaned_data[[#This Row],[Discount_Pct]]</f>
        <v>1.1265000000000001</v>
      </c>
      <c r="AC705" s="10">
        <f>Cleaned_data[[#This Row],[Gross Sales]]-Cleaned_data[[#This Row],[Discount amount]]</f>
        <v>134.05350000000001</v>
      </c>
      <c r="AD705" s="10">
        <f>Cleaned_data[[#This Row],[Product Cost]]*Cleaned_data[[#This Row],[Quantity]]</f>
        <v>60</v>
      </c>
      <c r="AE705" s="10">
        <f>Cleaned_data[[#This Row],[Net Sales]]-Cleaned_data[[#This Row],[COGS]]</f>
        <v>74.053500000000014</v>
      </c>
      <c r="AF705" s="11">
        <f>Cleaned_data[[#This Row],[Gross Profit]]/Cleaned_data[[#This Row],[Net Sales]]</f>
        <v>0.55241750495138142</v>
      </c>
      <c r="AG705">
        <f>Cleaned_data[[#This Row],[Ship_Date]]-Cleaned_data[[#This Row],[Order_Date]]</f>
        <v>6</v>
      </c>
      <c r="AH705" t="str">
        <f>IF(Cleaned_data[[#This Row],[Delivery Days]]&gt;10,"late","on time")</f>
        <v>on time</v>
      </c>
      <c r="AI705" t="str">
        <f>TEXT(Cleaned_data[[#This Row],[Order_Date]],"mmmm")</f>
        <v>December</v>
      </c>
      <c r="AJ705" s="9" t="str">
        <f>"Q"&amp;ROUNDUP(MONTH(Cleaned_data[[#This Row],[Order_Date]])/3,0)</f>
        <v>Q4</v>
      </c>
    </row>
    <row r="706" spans="1:36">
      <c r="A706" t="s">
        <v>1203</v>
      </c>
      <c r="B706" s="9">
        <v>46011</v>
      </c>
      <c r="C706" s="9">
        <v>46020</v>
      </c>
      <c r="D706" t="s">
        <v>514</v>
      </c>
      <c r="E706" t="s">
        <v>515</v>
      </c>
      <c r="F706" t="s">
        <v>74</v>
      </c>
      <c r="G706" t="s">
        <v>75</v>
      </c>
      <c r="H706" t="s">
        <v>212</v>
      </c>
      <c r="I706" t="s">
        <v>213</v>
      </c>
      <c r="J706" t="s">
        <v>109</v>
      </c>
      <c r="K706" t="s">
        <v>90</v>
      </c>
      <c r="L706" t="s">
        <v>188</v>
      </c>
      <c r="M706" t="s">
        <v>189</v>
      </c>
      <c r="N706" t="s">
        <v>120</v>
      </c>
      <c r="O706" t="s">
        <v>190</v>
      </c>
      <c r="P706" s="8">
        <v>1</v>
      </c>
      <c r="Q706" s="10">
        <v>57.46</v>
      </c>
      <c r="R706" s="11">
        <v>0.12</v>
      </c>
      <c r="S706" s="10">
        <v>6.67</v>
      </c>
      <c r="T706" t="s">
        <v>134</v>
      </c>
      <c r="U706" t="s">
        <v>85</v>
      </c>
      <c r="W706" t="s">
        <v>1270</v>
      </c>
      <c r="X706" t="str">
        <f>_xlfn.XLOOKUP(Cleaned_data[[#This Row],[Customer_ID]],Customers[S],Customers[Loyalty_Tier])</f>
        <v>Silver</v>
      </c>
      <c r="Y706" s="9">
        <f>_xlfn.XLOOKUP(Cleaned_data[[#This Row],[Customer_ID]],Customers[S],Customers[Signup_Date])</f>
        <v>44271</v>
      </c>
      <c r="Z706" s="12">
        <f>_xlfn.XLOOKUP(Cleaned_data[[#This Row],[SKU]],Products[SKU],Products[Standard_Cost])</f>
        <v>28</v>
      </c>
      <c r="AA706" s="10">
        <f>Cleaned_data[[#This Row],[Quantity]]*Cleaned_data[[#This Row],[Unit_Price]]</f>
        <v>57.46</v>
      </c>
      <c r="AB706" s="10">
        <f>Cleaned_data[[#This Row],[Unit_Price]]*Cleaned_data[[#This Row],[Discount_Pct]]</f>
        <v>6.8952</v>
      </c>
      <c r="AC706" s="10">
        <f>Cleaned_data[[#This Row],[Gross Sales]]-Cleaned_data[[#This Row],[Discount amount]]</f>
        <v>50.564799999999998</v>
      </c>
      <c r="AD706" s="10">
        <f>Cleaned_data[[#This Row],[Product Cost]]*Cleaned_data[[#This Row],[Quantity]]</f>
        <v>28</v>
      </c>
      <c r="AE706" s="10">
        <f>Cleaned_data[[#This Row],[Net Sales]]-Cleaned_data[[#This Row],[COGS]]</f>
        <v>22.564799999999998</v>
      </c>
      <c r="AF706" s="11">
        <f>Cleaned_data[[#This Row],[Gross Profit]]/Cleaned_data[[#This Row],[Net Sales]]</f>
        <v>0.44625510236369964</v>
      </c>
      <c r="AG706">
        <f>Cleaned_data[[#This Row],[Ship_Date]]-Cleaned_data[[#This Row],[Order_Date]]</f>
        <v>9</v>
      </c>
      <c r="AH706" t="str">
        <f>IF(Cleaned_data[[#This Row],[Delivery Days]]&gt;10,"late","on time")</f>
        <v>on time</v>
      </c>
      <c r="AI706" t="str">
        <f>TEXT(Cleaned_data[[#This Row],[Order_Date]],"mmmm")</f>
        <v>December</v>
      </c>
      <c r="AJ706" s="9" t="str">
        <f>"Q"&amp;ROUNDUP(MONTH(Cleaned_data[[#This Row],[Order_Date]])/3,0)</f>
        <v>Q4</v>
      </c>
    </row>
    <row r="707" spans="1:36">
      <c r="A707" t="s">
        <v>1204</v>
      </c>
      <c r="B707" s="9">
        <v>46011</v>
      </c>
      <c r="C707" s="9">
        <v>46017</v>
      </c>
      <c r="D707" t="s">
        <v>72</v>
      </c>
      <c r="E707" t="s">
        <v>73</v>
      </c>
      <c r="F707" t="s">
        <v>74</v>
      </c>
      <c r="G707" t="s">
        <v>75</v>
      </c>
      <c r="H707" t="s">
        <v>76</v>
      </c>
      <c r="I707" t="s">
        <v>77</v>
      </c>
      <c r="J707" t="s">
        <v>219</v>
      </c>
      <c r="K707" t="s">
        <v>90</v>
      </c>
      <c r="L707" t="s">
        <v>188</v>
      </c>
      <c r="M707" t="s">
        <v>189</v>
      </c>
      <c r="N707" t="s">
        <v>120</v>
      </c>
      <c r="O707" t="s">
        <v>190</v>
      </c>
      <c r="P707" s="8">
        <v>2</v>
      </c>
      <c r="Q707" s="10">
        <v>59.66</v>
      </c>
      <c r="R707" s="11">
        <v>0.03</v>
      </c>
      <c r="S707" s="10">
        <v>16.07</v>
      </c>
      <c r="T707" t="s">
        <v>134</v>
      </c>
      <c r="U707" t="s">
        <v>85</v>
      </c>
      <c r="W707" t="s">
        <v>1270</v>
      </c>
      <c r="X707" t="str">
        <f>_xlfn.XLOOKUP(Cleaned_data[[#This Row],[Customer_ID]],Customers[S],Customers[Loyalty_Tier])</f>
        <v>Silver</v>
      </c>
      <c r="Y707" s="9">
        <f>_xlfn.XLOOKUP(Cleaned_data[[#This Row],[Customer_ID]],Customers[S],Customers[Signup_Date])</f>
        <v>45999</v>
      </c>
      <c r="Z707" s="12">
        <f>_xlfn.XLOOKUP(Cleaned_data[[#This Row],[SKU]],Products[SKU],Products[Standard_Cost])</f>
        <v>28</v>
      </c>
      <c r="AA707" s="10">
        <f>Cleaned_data[[#This Row],[Quantity]]*Cleaned_data[[#This Row],[Unit_Price]]</f>
        <v>119.32</v>
      </c>
      <c r="AB707" s="10">
        <f>Cleaned_data[[#This Row],[Unit_Price]]*Cleaned_data[[#This Row],[Discount_Pct]]</f>
        <v>1.7897999999999998</v>
      </c>
      <c r="AC707" s="10">
        <f>Cleaned_data[[#This Row],[Gross Sales]]-Cleaned_data[[#This Row],[Discount amount]]</f>
        <v>117.53019999999999</v>
      </c>
      <c r="AD707" s="10">
        <f>Cleaned_data[[#This Row],[Product Cost]]*Cleaned_data[[#This Row],[Quantity]]</f>
        <v>56</v>
      </c>
      <c r="AE707" s="10">
        <f>Cleaned_data[[#This Row],[Net Sales]]-Cleaned_data[[#This Row],[COGS]]</f>
        <v>61.530199999999994</v>
      </c>
      <c r="AF707" s="11">
        <f>Cleaned_data[[#This Row],[Gross Profit]]/Cleaned_data[[#This Row],[Net Sales]]</f>
        <v>0.52352671909007209</v>
      </c>
      <c r="AG707">
        <f>Cleaned_data[[#This Row],[Ship_Date]]-Cleaned_data[[#This Row],[Order_Date]]</f>
        <v>6</v>
      </c>
      <c r="AH707" t="str">
        <f>IF(Cleaned_data[[#This Row],[Delivery Days]]&gt;10,"late","on time")</f>
        <v>on time</v>
      </c>
      <c r="AI707" t="str">
        <f>TEXT(Cleaned_data[[#This Row],[Order_Date]],"mmmm")</f>
        <v>December</v>
      </c>
      <c r="AJ707" s="9" t="str">
        <f>"Q"&amp;ROUNDUP(MONTH(Cleaned_data[[#This Row],[Order_Date]])/3,0)</f>
        <v>Q4</v>
      </c>
    </row>
    <row r="708" spans="1:36">
      <c r="A708" t="s">
        <v>1205</v>
      </c>
      <c r="B708" s="9">
        <v>46012</v>
      </c>
      <c r="C708" s="9">
        <v>46020</v>
      </c>
      <c r="D708" t="s">
        <v>613</v>
      </c>
      <c r="E708" t="s">
        <v>614</v>
      </c>
      <c r="F708" t="s">
        <v>74</v>
      </c>
      <c r="G708" t="s">
        <v>194</v>
      </c>
      <c r="H708" t="s">
        <v>195</v>
      </c>
      <c r="I708" t="s">
        <v>196</v>
      </c>
      <c r="J708" t="s">
        <v>109</v>
      </c>
      <c r="K708" t="s">
        <v>79</v>
      </c>
      <c r="L708" t="s">
        <v>118</v>
      </c>
      <c r="M708" t="s">
        <v>119</v>
      </c>
      <c r="N708" t="s">
        <v>120</v>
      </c>
      <c r="O708" t="s">
        <v>121</v>
      </c>
      <c r="P708" s="8">
        <v>3</v>
      </c>
      <c r="Q708" s="10">
        <v>276.61</v>
      </c>
      <c r="R708" s="11">
        <v>0.09</v>
      </c>
      <c r="S708" s="10">
        <v>11.38</v>
      </c>
      <c r="T708" t="s">
        <v>122</v>
      </c>
      <c r="U708" t="s">
        <v>85</v>
      </c>
      <c r="V708" s="8">
        <v>4</v>
      </c>
      <c r="W708" t="s">
        <v>1270</v>
      </c>
      <c r="X708" t="str">
        <f>_xlfn.XLOOKUP(Cleaned_data[[#This Row],[Customer_ID]],Customers[S],Customers[Loyalty_Tier])</f>
        <v>Platinum</v>
      </c>
      <c r="Y708" s="9">
        <f>_xlfn.XLOOKUP(Cleaned_data[[#This Row],[Customer_ID]],Customers[S],Customers[Signup_Date])</f>
        <v>44454</v>
      </c>
      <c r="Z708" s="12">
        <f>_xlfn.XLOOKUP(Cleaned_data[[#This Row],[SKU]],Products[SKU],Products[Standard_Cost])</f>
        <v>168</v>
      </c>
      <c r="AA708" s="10">
        <f>Cleaned_data[[#This Row],[Quantity]]*Cleaned_data[[#This Row],[Unit_Price]]</f>
        <v>829.83</v>
      </c>
      <c r="AB708" s="10">
        <f>Cleaned_data[[#This Row],[Unit_Price]]*Cleaned_data[[#This Row],[Discount_Pct]]</f>
        <v>24.8949</v>
      </c>
      <c r="AC708" s="10">
        <f>Cleaned_data[[#This Row],[Gross Sales]]-Cleaned_data[[#This Row],[Discount amount]]</f>
        <v>804.93510000000003</v>
      </c>
      <c r="AD708" s="10">
        <f>Cleaned_data[[#This Row],[Product Cost]]*Cleaned_data[[#This Row],[Quantity]]</f>
        <v>504</v>
      </c>
      <c r="AE708" s="10">
        <f>Cleaned_data[[#This Row],[Net Sales]]-Cleaned_data[[#This Row],[COGS]]</f>
        <v>300.93510000000003</v>
      </c>
      <c r="AF708" s="11">
        <f>Cleaned_data[[#This Row],[Gross Profit]]/Cleaned_data[[#This Row],[Net Sales]]</f>
        <v>0.37386256357810715</v>
      </c>
      <c r="AG708">
        <f>Cleaned_data[[#This Row],[Ship_Date]]-Cleaned_data[[#This Row],[Order_Date]]</f>
        <v>8</v>
      </c>
      <c r="AH708" t="str">
        <f>IF(Cleaned_data[[#This Row],[Delivery Days]]&gt;10,"late","on time")</f>
        <v>on time</v>
      </c>
      <c r="AI708" t="str">
        <f>TEXT(Cleaned_data[[#This Row],[Order_Date]],"mmmm")</f>
        <v>December</v>
      </c>
      <c r="AJ708" s="9" t="str">
        <f>"Q"&amp;ROUNDUP(MONTH(Cleaned_data[[#This Row],[Order_Date]])/3,0)</f>
        <v>Q4</v>
      </c>
    </row>
    <row r="709" spans="1:36">
      <c r="A709" t="s">
        <v>1206</v>
      </c>
      <c r="B709" s="9">
        <v>46012</v>
      </c>
      <c r="C709" s="9">
        <v>46016</v>
      </c>
      <c r="D709" t="s">
        <v>258</v>
      </c>
      <c r="E709" t="s">
        <v>259</v>
      </c>
      <c r="F709" t="s">
        <v>152</v>
      </c>
      <c r="G709" t="s">
        <v>194</v>
      </c>
      <c r="H709" t="s">
        <v>225</v>
      </c>
      <c r="I709" t="s">
        <v>226</v>
      </c>
      <c r="J709" t="s">
        <v>78</v>
      </c>
      <c r="K709" t="s">
        <v>79</v>
      </c>
      <c r="L709" t="s">
        <v>284</v>
      </c>
      <c r="M709" t="s">
        <v>285</v>
      </c>
      <c r="N709" t="s">
        <v>103</v>
      </c>
      <c r="O709" t="s">
        <v>143</v>
      </c>
      <c r="P709" s="8">
        <v>8</v>
      </c>
      <c r="Q709" s="10">
        <v>28.28</v>
      </c>
      <c r="R709" s="11">
        <v>7.0000000000000007E-2</v>
      </c>
      <c r="S709" s="10">
        <v>6.98</v>
      </c>
      <c r="T709" t="s">
        <v>134</v>
      </c>
      <c r="U709" t="s">
        <v>85</v>
      </c>
      <c r="V709" s="8">
        <v>3</v>
      </c>
      <c r="W709" t="s">
        <v>1270</v>
      </c>
      <c r="X709" t="str">
        <f>_xlfn.XLOOKUP(Cleaned_data[[#This Row],[Customer_ID]],Customers[S],Customers[Loyalty_Tier])</f>
        <v>Gold</v>
      </c>
      <c r="Y709" s="9">
        <f>_xlfn.XLOOKUP(Cleaned_data[[#This Row],[Customer_ID]],Customers[S],Customers[Signup_Date])</f>
        <v>45514</v>
      </c>
      <c r="Z709" s="12">
        <f>_xlfn.XLOOKUP(Cleaned_data[[#This Row],[SKU]],Products[SKU],Products[Standard_Cost])</f>
        <v>14</v>
      </c>
      <c r="AA709" s="10">
        <f>Cleaned_data[[#This Row],[Quantity]]*Cleaned_data[[#This Row],[Unit_Price]]</f>
        <v>226.24</v>
      </c>
      <c r="AB709" s="10">
        <f>Cleaned_data[[#This Row],[Unit_Price]]*Cleaned_data[[#This Row],[Discount_Pct]]</f>
        <v>1.9796000000000002</v>
      </c>
      <c r="AC709" s="10">
        <f>Cleaned_data[[#This Row],[Gross Sales]]-Cleaned_data[[#This Row],[Discount amount]]</f>
        <v>224.2604</v>
      </c>
      <c r="AD709" s="10">
        <f>Cleaned_data[[#This Row],[Product Cost]]*Cleaned_data[[#This Row],[Quantity]]</f>
        <v>112</v>
      </c>
      <c r="AE709" s="10">
        <f>Cleaned_data[[#This Row],[Net Sales]]-Cleaned_data[[#This Row],[COGS]]</f>
        <v>112.2604</v>
      </c>
      <c r="AF709" s="11">
        <f>Cleaned_data[[#This Row],[Gross Profit]]/Cleaned_data[[#This Row],[Net Sales]]</f>
        <v>0.5005805750814678</v>
      </c>
      <c r="AG709">
        <f>Cleaned_data[[#This Row],[Ship_Date]]-Cleaned_data[[#This Row],[Order_Date]]</f>
        <v>4</v>
      </c>
      <c r="AH709" t="str">
        <f>IF(Cleaned_data[[#This Row],[Delivery Days]]&gt;10,"late","on time")</f>
        <v>on time</v>
      </c>
      <c r="AI709" t="str">
        <f>TEXT(Cleaned_data[[#This Row],[Order_Date]],"mmmm")</f>
        <v>December</v>
      </c>
      <c r="AJ709" s="9" t="str">
        <f>"Q"&amp;ROUNDUP(MONTH(Cleaned_data[[#This Row],[Order_Date]])/3,0)</f>
        <v>Q4</v>
      </c>
    </row>
    <row r="710" spans="1:36">
      <c r="A710" t="s">
        <v>1207</v>
      </c>
      <c r="B710" s="9">
        <v>46013</v>
      </c>
      <c r="C710" s="9">
        <v>46021</v>
      </c>
      <c r="D710" t="s">
        <v>378</v>
      </c>
      <c r="E710" t="s">
        <v>379</v>
      </c>
      <c r="F710" t="s">
        <v>152</v>
      </c>
      <c r="G710" t="s">
        <v>126</v>
      </c>
      <c r="H710" t="s">
        <v>160</v>
      </c>
      <c r="I710" t="s">
        <v>161</v>
      </c>
      <c r="J710" t="s">
        <v>129</v>
      </c>
      <c r="K710" t="s">
        <v>90</v>
      </c>
      <c r="L710" t="s">
        <v>162</v>
      </c>
      <c r="M710" t="s">
        <v>163</v>
      </c>
      <c r="N710" t="s">
        <v>93</v>
      </c>
      <c r="O710" t="s">
        <v>164</v>
      </c>
      <c r="P710" s="8">
        <v>1</v>
      </c>
      <c r="Q710" s="10">
        <v>895.64</v>
      </c>
      <c r="R710" s="11">
        <v>7.0000000000000007E-2</v>
      </c>
      <c r="S710" s="10">
        <v>7.8</v>
      </c>
      <c r="T710" t="s">
        <v>105</v>
      </c>
      <c r="U710" t="s">
        <v>85</v>
      </c>
      <c r="V710" s="8">
        <v>3</v>
      </c>
      <c r="W710" t="s">
        <v>1270</v>
      </c>
      <c r="X710" t="str">
        <f>_xlfn.XLOOKUP(Cleaned_data[[#This Row],[Customer_ID]],Customers[S],Customers[Loyalty_Tier])</f>
        <v>Gold</v>
      </c>
      <c r="Y710" s="9">
        <f>_xlfn.XLOOKUP(Cleaned_data[[#This Row],[Customer_ID]],Customers[S],Customers[Signup_Date])</f>
        <v>45713</v>
      </c>
      <c r="Z710" s="12">
        <f>_xlfn.XLOOKUP(Cleaned_data[[#This Row],[SKU]],Products[SKU],Products[Standard_Cost])</f>
        <v>585</v>
      </c>
      <c r="AA710" s="10">
        <f>Cleaned_data[[#This Row],[Quantity]]*Cleaned_data[[#This Row],[Unit_Price]]</f>
        <v>895.64</v>
      </c>
      <c r="AB710" s="10">
        <f>Cleaned_data[[#This Row],[Unit_Price]]*Cleaned_data[[#This Row],[Discount_Pct]]</f>
        <v>62.694800000000008</v>
      </c>
      <c r="AC710" s="10">
        <f>Cleaned_data[[#This Row],[Gross Sales]]-Cleaned_data[[#This Row],[Discount amount]]</f>
        <v>832.9452</v>
      </c>
      <c r="AD710" s="10">
        <f>Cleaned_data[[#This Row],[Product Cost]]*Cleaned_data[[#This Row],[Quantity]]</f>
        <v>585</v>
      </c>
      <c r="AE710" s="10">
        <f>Cleaned_data[[#This Row],[Net Sales]]-Cleaned_data[[#This Row],[COGS]]</f>
        <v>247.9452</v>
      </c>
      <c r="AF710" s="11">
        <f>Cleaned_data[[#This Row],[Gross Profit]]/Cleaned_data[[#This Row],[Net Sales]]</f>
        <v>0.29767288412250892</v>
      </c>
      <c r="AG710">
        <f>Cleaned_data[[#This Row],[Ship_Date]]-Cleaned_data[[#This Row],[Order_Date]]</f>
        <v>8</v>
      </c>
      <c r="AH710" t="str">
        <f>IF(Cleaned_data[[#This Row],[Delivery Days]]&gt;10,"late","on time")</f>
        <v>on time</v>
      </c>
      <c r="AI710" t="str">
        <f>TEXT(Cleaned_data[[#This Row],[Order_Date]],"mmmm")</f>
        <v>December</v>
      </c>
      <c r="AJ710" s="9" t="str">
        <f>"Q"&amp;ROUNDUP(MONTH(Cleaned_data[[#This Row],[Order_Date]])/3,0)</f>
        <v>Q4</v>
      </c>
    </row>
    <row r="711" spans="1:36">
      <c r="A711" t="s">
        <v>1208</v>
      </c>
      <c r="B711" s="9">
        <v>46013</v>
      </c>
      <c r="C711" s="9">
        <v>46023</v>
      </c>
      <c r="D711" t="s">
        <v>904</v>
      </c>
      <c r="E711" t="s">
        <v>449</v>
      </c>
      <c r="F711" t="s">
        <v>152</v>
      </c>
      <c r="G711" t="s">
        <v>75</v>
      </c>
      <c r="H711" t="s">
        <v>212</v>
      </c>
      <c r="I711" t="s">
        <v>213</v>
      </c>
      <c r="J711" t="s">
        <v>129</v>
      </c>
      <c r="K711" t="s">
        <v>147</v>
      </c>
      <c r="L711" t="s">
        <v>188</v>
      </c>
      <c r="M711" t="s">
        <v>189</v>
      </c>
      <c r="N711" t="s">
        <v>120</v>
      </c>
      <c r="O711" t="s">
        <v>190</v>
      </c>
      <c r="P711" s="8">
        <v>4</v>
      </c>
      <c r="Q711" s="10">
        <v>61.8</v>
      </c>
      <c r="R711" s="11">
        <v>0.12</v>
      </c>
      <c r="S711" s="10">
        <v>5.91</v>
      </c>
      <c r="T711" t="s">
        <v>134</v>
      </c>
      <c r="U711" t="s">
        <v>85</v>
      </c>
      <c r="V711" s="8">
        <v>5</v>
      </c>
      <c r="W711" t="s">
        <v>1277</v>
      </c>
      <c r="X711" t="str">
        <f>_xlfn.XLOOKUP(Cleaned_data[[#This Row],[Customer_ID]],Customers[S],Customers[Loyalty_Tier])</f>
        <v>Silver</v>
      </c>
      <c r="Y711" s="9">
        <f>_xlfn.XLOOKUP(Cleaned_data[[#This Row],[Customer_ID]],Customers[S],Customers[Signup_Date])</f>
        <v>44735</v>
      </c>
      <c r="Z711" s="12">
        <f>_xlfn.XLOOKUP(Cleaned_data[[#This Row],[SKU]],Products[SKU],Products[Standard_Cost])</f>
        <v>28</v>
      </c>
      <c r="AA711" s="10">
        <f>Cleaned_data[[#This Row],[Quantity]]*Cleaned_data[[#This Row],[Unit_Price]]</f>
        <v>247.2</v>
      </c>
      <c r="AB711" s="10">
        <f>Cleaned_data[[#This Row],[Unit_Price]]*Cleaned_data[[#This Row],[Discount_Pct]]</f>
        <v>7.4159999999999995</v>
      </c>
      <c r="AC711" s="10">
        <f>Cleaned_data[[#This Row],[Gross Sales]]-Cleaned_data[[#This Row],[Discount amount]]</f>
        <v>239.78399999999999</v>
      </c>
      <c r="AD711" s="10">
        <f>Cleaned_data[[#This Row],[Product Cost]]*Cleaned_data[[#This Row],[Quantity]]</f>
        <v>112</v>
      </c>
      <c r="AE711" s="10">
        <f>Cleaned_data[[#This Row],[Net Sales]]-Cleaned_data[[#This Row],[COGS]]</f>
        <v>127.78399999999999</v>
      </c>
      <c r="AF711" s="11">
        <f>Cleaned_data[[#This Row],[Gross Profit]]/Cleaned_data[[#This Row],[Net Sales]]</f>
        <v>0.53291295499282687</v>
      </c>
      <c r="AG711">
        <f>Cleaned_data[[#This Row],[Ship_Date]]-Cleaned_data[[#This Row],[Order_Date]]</f>
        <v>10</v>
      </c>
      <c r="AH711" t="str">
        <f>IF(Cleaned_data[[#This Row],[Delivery Days]]&gt;10,"late","on time")</f>
        <v>on time</v>
      </c>
      <c r="AI711" t="str">
        <f>TEXT(Cleaned_data[[#This Row],[Order_Date]],"mmmm")</f>
        <v>December</v>
      </c>
      <c r="AJ711" s="9" t="str">
        <f>"Q"&amp;ROUNDUP(MONTH(Cleaned_data[[#This Row],[Order_Date]])/3,0)</f>
        <v>Q4</v>
      </c>
    </row>
    <row r="712" spans="1:36">
      <c r="A712" t="s">
        <v>1209</v>
      </c>
      <c r="B712" s="9">
        <v>46014</v>
      </c>
      <c r="C712" s="9">
        <v>46018</v>
      </c>
      <c r="D712" t="s">
        <v>547</v>
      </c>
      <c r="E712" t="s">
        <v>548</v>
      </c>
      <c r="F712" t="s">
        <v>152</v>
      </c>
      <c r="G712" t="s">
        <v>75</v>
      </c>
      <c r="H712" t="s">
        <v>116</v>
      </c>
      <c r="I712" t="s">
        <v>117</v>
      </c>
      <c r="J712" t="s">
        <v>109</v>
      </c>
      <c r="K712" t="s">
        <v>100</v>
      </c>
      <c r="L712" t="s">
        <v>175</v>
      </c>
      <c r="M712" t="s">
        <v>176</v>
      </c>
      <c r="N712" t="s">
        <v>93</v>
      </c>
      <c r="O712" t="s">
        <v>177</v>
      </c>
      <c r="P712" s="8">
        <v>2</v>
      </c>
      <c r="Q712" s="10">
        <v>177.53</v>
      </c>
      <c r="R712" s="11">
        <v>0.12</v>
      </c>
      <c r="S712" s="10">
        <v>28.72</v>
      </c>
      <c r="T712" t="s">
        <v>122</v>
      </c>
      <c r="U712" t="s">
        <v>85</v>
      </c>
      <c r="V712" s="8">
        <v>2</v>
      </c>
      <c r="W712" t="s">
        <v>1270</v>
      </c>
      <c r="X712" t="str">
        <f>_xlfn.XLOOKUP(Cleaned_data[[#This Row],[Customer_ID]],Customers[S],Customers[Loyalty_Tier])</f>
        <v>Platinum</v>
      </c>
      <c r="Y712" s="9">
        <f>_xlfn.XLOOKUP(Cleaned_data[[#This Row],[Customer_ID]],Customers[S],Customers[Signup_Date])</f>
        <v>45512</v>
      </c>
      <c r="Z712" s="12">
        <f>_xlfn.XLOOKUP(Cleaned_data[[#This Row],[SKU]],Products[SKU],Products[Standard_Cost])</f>
        <v>88</v>
      </c>
      <c r="AA712" s="10">
        <f>Cleaned_data[[#This Row],[Quantity]]*Cleaned_data[[#This Row],[Unit_Price]]</f>
        <v>355.06</v>
      </c>
      <c r="AB712" s="10">
        <f>Cleaned_data[[#This Row],[Unit_Price]]*Cleaned_data[[#This Row],[Discount_Pct]]</f>
        <v>21.303599999999999</v>
      </c>
      <c r="AC712" s="10">
        <f>Cleaned_data[[#This Row],[Gross Sales]]-Cleaned_data[[#This Row],[Discount amount]]</f>
        <v>333.75639999999999</v>
      </c>
      <c r="AD712" s="10">
        <f>Cleaned_data[[#This Row],[Product Cost]]*Cleaned_data[[#This Row],[Quantity]]</f>
        <v>176</v>
      </c>
      <c r="AE712" s="10">
        <f>Cleaned_data[[#This Row],[Net Sales]]-Cleaned_data[[#This Row],[COGS]]</f>
        <v>157.75639999999999</v>
      </c>
      <c r="AF712" s="11">
        <f>Cleaned_data[[#This Row],[Gross Profit]]/Cleaned_data[[#This Row],[Net Sales]]</f>
        <v>0.47266928813949333</v>
      </c>
      <c r="AG712">
        <f>Cleaned_data[[#This Row],[Ship_Date]]-Cleaned_data[[#This Row],[Order_Date]]</f>
        <v>4</v>
      </c>
      <c r="AH712" t="str">
        <f>IF(Cleaned_data[[#This Row],[Delivery Days]]&gt;10,"late","on time")</f>
        <v>on time</v>
      </c>
      <c r="AI712" t="str">
        <f>TEXT(Cleaned_data[[#This Row],[Order_Date]],"mmmm")</f>
        <v>December</v>
      </c>
      <c r="AJ712" s="9" t="str">
        <f>"Q"&amp;ROUNDUP(MONTH(Cleaned_data[[#This Row],[Order_Date]])/3,0)</f>
        <v>Q4</v>
      </c>
    </row>
    <row r="713" spans="1:36">
      <c r="A713" t="s">
        <v>1210</v>
      </c>
      <c r="B713" s="9">
        <v>46014</v>
      </c>
      <c r="C713" s="9">
        <v>46017</v>
      </c>
      <c r="D713" t="s">
        <v>264</v>
      </c>
      <c r="E713" t="s">
        <v>265</v>
      </c>
      <c r="F713" t="s">
        <v>74</v>
      </c>
      <c r="G713" t="s">
        <v>194</v>
      </c>
      <c r="H713" t="s">
        <v>230</v>
      </c>
      <c r="I713" t="s">
        <v>231</v>
      </c>
      <c r="J713" t="s">
        <v>129</v>
      </c>
      <c r="K713" t="s">
        <v>79</v>
      </c>
      <c r="L713" t="s">
        <v>131</v>
      </c>
      <c r="M713" t="s">
        <v>132</v>
      </c>
      <c r="N713" t="s">
        <v>120</v>
      </c>
      <c r="O713" t="s">
        <v>133</v>
      </c>
      <c r="P713" s="8">
        <v>1</v>
      </c>
      <c r="Q713" s="10">
        <v>84.44</v>
      </c>
      <c r="R713" s="11">
        <v>0.09</v>
      </c>
      <c r="S713" s="10">
        <v>5.88</v>
      </c>
      <c r="T713" t="s">
        <v>105</v>
      </c>
      <c r="U713" t="s">
        <v>85</v>
      </c>
      <c r="V713" s="8">
        <v>4</v>
      </c>
      <c r="W713" t="s">
        <v>1270</v>
      </c>
      <c r="X713" t="str">
        <f>_xlfn.XLOOKUP(Cleaned_data[[#This Row],[Customer_ID]],Customers[S],Customers[Loyalty_Tier])</f>
        <v>Silver</v>
      </c>
      <c r="Y713" s="9">
        <f>_xlfn.XLOOKUP(Cleaned_data[[#This Row],[Customer_ID]],Customers[S],Customers[Signup_Date])</f>
        <v>45913</v>
      </c>
      <c r="Z713" s="12">
        <f>_xlfn.XLOOKUP(Cleaned_data[[#This Row],[SKU]],Products[SKU],Products[Standard_Cost])</f>
        <v>44</v>
      </c>
      <c r="AA713" s="10">
        <f>Cleaned_data[[#This Row],[Quantity]]*Cleaned_data[[#This Row],[Unit_Price]]</f>
        <v>84.44</v>
      </c>
      <c r="AB713" s="10">
        <f>Cleaned_data[[#This Row],[Unit_Price]]*Cleaned_data[[#This Row],[Discount_Pct]]</f>
        <v>7.5995999999999997</v>
      </c>
      <c r="AC713" s="10">
        <f>Cleaned_data[[#This Row],[Gross Sales]]-Cleaned_data[[#This Row],[Discount amount]]</f>
        <v>76.840400000000002</v>
      </c>
      <c r="AD713" s="10">
        <f>Cleaned_data[[#This Row],[Product Cost]]*Cleaned_data[[#This Row],[Quantity]]</f>
        <v>44</v>
      </c>
      <c r="AE713" s="10">
        <f>Cleaned_data[[#This Row],[Net Sales]]-Cleaned_data[[#This Row],[COGS]]</f>
        <v>32.840400000000002</v>
      </c>
      <c r="AF713" s="11">
        <f>Cleaned_data[[#This Row],[Gross Profit]]/Cleaned_data[[#This Row],[Net Sales]]</f>
        <v>0.42738455291747574</v>
      </c>
      <c r="AG713">
        <f>Cleaned_data[[#This Row],[Ship_Date]]-Cleaned_data[[#This Row],[Order_Date]]</f>
        <v>3</v>
      </c>
      <c r="AH713" t="str">
        <f>IF(Cleaned_data[[#This Row],[Delivery Days]]&gt;10,"late","on time")</f>
        <v>on time</v>
      </c>
      <c r="AI713" t="str">
        <f>TEXT(Cleaned_data[[#This Row],[Order_Date]],"mmmm")</f>
        <v>December</v>
      </c>
      <c r="AJ713" s="9" t="str">
        <f>"Q"&amp;ROUNDUP(MONTH(Cleaned_data[[#This Row],[Order_Date]])/3,0)</f>
        <v>Q4</v>
      </c>
    </row>
    <row r="714" spans="1:36">
      <c r="A714" t="s">
        <v>1211</v>
      </c>
      <c r="B714" s="9">
        <v>46018</v>
      </c>
      <c r="C714" s="9">
        <v>46019</v>
      </c>
      <c r="D714" t="s">
        <v>529</v>
      </c>
      <c r="E714" t="s">
        <v>397</v>
      </c>
      <c r="F714" t="s">
        <v>89</v>
      </c>
      <c r="G714" t="s">
        <v>194</v>
      </c>
      <c r="H714" t="s">
        <v>240</v>
      </c>
      <c r="I714" t="s">
        <v>241</v>
      </c>
      <c r="J714" t="s">
        <v>78</v>
      </c>
      <c r="K714" t="s">
        <v>147</v>
      </c>
      <c r="L714" t="s">
        <v>118</v>
      </c>
      <c r="M714" t="s">
        <v>119</v>
      </c>
      <c r="N714" t="s">
        <v>120</v>
      </c>
      <c r="O714" t="s">
        <v>121</v>
      </c>
      <c r="P714" s="8">
        <v>2</v>
      </c>
      <c r="Q714" s="10">
        <v>281</v>
      </c>
      <c r="R714" s="11">
        <v>0.11</v>
      </c>
      <c r="S714" s="10">
        <v>18.899999999999999</v>
      </c>
      <c r="T714" t="s">
        <v>105</v>
      </c>
      <c r="U714" t="s">
        <v>85</v>
      </c>
      <c r="V714" s="8">
        <v>5</v>
      </c>
      <c r="W714" t="s">
        <v>1270</v>
      </c>
      <c r="X714" t="str">
        <f>_xlfn.XLOOKUP(Cleaned_data[[#This Row],[Customer_ID]],Customers[S],Customers[Loyalty_Tier])</f>
        <v>Bronze</v>
      </c>
      <c r="Y714" s="9">
        <f>_xlfn.XLOOKUP(Cleaned_data[[#This Row],[Customer_ID]],Customers[S],Customers[Signup_Date])</f>
        <v>45274</v>
      </c>
      <c r="Z714" s="12">
        <f>_xlfn.XLOOKUP(Cleaned_data[[#This Row],[SKU]],Products[SKU],Products[Standard_Cost])</f>
        <v>168</v>
      </c>
      <c r="AA714" s="10">
        <f>Cleaned_data[[#This Row],[Quantity]]*Cleaned_data[[#This Row],[Unit_Price]]</f>
        <v>562</v>
      </c>
      <c r="AB714" s="10">
        <f>Cleaned_data[[#This Row],[Unit_Price]]*Cleaned_data[[#This Row],[Discount_Pct]]</f>
        <v>30.91</v>
      </c>
      <c r="AC714" s="10">
        <f>Cleaned_data[[#This Row],[Gross Sales]]-Cleaned_data[[#This Row],[Discount amount]]</f>
        <v>531.09</v>
      </c>
      <c r="AD714" s="10">
        <f>Cleaned_data[[#This Row],[Product Cost]]*Cleaned_data[[#This Row],[Quantity]]</f>
        <v>336</v>
      </c>
      <c r="AE714" s="10">
        <f>Cleaned_data[[#This Row],[Net Sales]]-Cleaned_data[[#This Row],[COGS]]</f>
        <v>195.09000000000003</v>
      </c>
      <c r="AF714" s="11">
        <f>Cleaned_data[[#This Row],[Gross Profit]]/Cleaned_data[[#This Row],[Net Sales]]</f>
        <v>0.36733886911822861</v>
      </c>
      <c r="AG714">
        <f>Cleaned_data[[#This Row],[Ship_Date]]-Cleaned_data[[#This Row],[Order_Date]]</f>
        <v>1</v>
      </c>
      <c r="AH714" t="str">
        <f>IF(Cleaned_data[[#This Row],[Delivery Days]]&gt;10,"late","on time")</f>
        <v>on time</v>
      </c>
      <c r="AI714" t="str">
        <f>TEXT(Cleaned_data[[#This Row],[Order_Date]],"mmmm")</f>
        <v>December</v>
      </c>
      <c r="AJ714" s="9" t="str">
        <f>"Q"&amp;ROUNDUP(MONTH(Cleaned_data[[#This Row],[Order_Date]])/3,0)</f>
        <v>Q4</v>
      </c>
    </row>
    <row r="715" spans="1:36">
      <c r="A715" t="s">
        <v>1212</v>
      </c>
      <c r="B715" s="9">
        <v>46018</v>
      </c>
      <c r="C715" s="9">
        <v>46023</v>
      </c>
      <c r="D715" t="s">
        <v>720</v>
      </c>
      <c r="E715" t="s">
        <v>721</v>
      </c>
      <c r="F715" t="s">
        <v>89</v>
      </c>
      <c r="G715" t="s">
        <v>75</v>
      </c>
      <c r="H715" t="s">
        <v>212</v>
      </c>
      <c r="I715" t="s">
        <v>213</v>
      </c>
      <c r="J715" t="s">
        <v>129</v>
      </c>
      <c r="K715" t="s">
        <v>168</v>
      </c>
      <c r="L715" t="s">
        <v>155</v>
      </c>
      <c r="M715" t="s">
        <v>156</v>
      </c>
      <c r="N715" t="s">
        <v>82</v>
      </c>
      <c r="O715" t="s">
        <v>112</v>
      </c>
      <c r="P715" s="8">
        <v>6</v>
      </c>
      <c r="Q715" s="10">
        <v>177.8</v>
      </c>
      <c r="R715" s="11">
        <v>0.05</v>
      </c>
      <c r="S715" s="10">
        <v>13.18</v>
      </c>
      <c r="T715" t="s">
        <v>84</v>
      </c>
      <c r="U715" t="s">
        <v>85</v>
      </c>
      <c r="V715" s="8">
        <v>1</v>
      </c>
      <c r="W715" t="s">
        <v>1277</v>
      </c>
      <c r="X715" t="str">
        <f>_xlfn.XLOOKUP(Cleaned_data[[#This Row],[Customer_ID]],Customers[S],Customers[Loyalty_Tier])</f>
        <v>Gold</v>
      </c>
      <c r="Y715" s="9">
        <f>_xlfn.XLOOKUP(Cleaned_data[[#This Row],[Customer_ID]],Customers[S],Customers[Signup_Date])</f>
        <v>44538</v>
      </c>
      <c r="Z715" s="12">
        <f>_xlfn.XLOOKUP(Cleaned_data[[#This Row],[SKU]],Products[SKU],Products[Standard_Cost])</f>
        <v>82</v>
      </c>
      <c r="AA715" s="10">
        <f>Cleaned_data[[#This Row],[Quantity]]*Cleaned_data[[#This Row],[Unit_Price]]</f>
        <v>1066.8000000000002</v>
      </c>
      <c r="AB715" s="10">
        <f>Cleaned_data[[#This Row],[Unit_Price]]*Cleaned_data[[#This Row],[Discount_Pct]]</f>
        <v>8.89</v>
      </c>
      <c r="AC715" s="10">
        <f>Cleaned_data[[#This Row],[Gross Sales]]-Cleaned_data[[#This Row],[Discount amount]]</f>
        <v>1057.9100000000001</v>
      </c>
      <c r="AD715" s="10">
        <f>Cleaned_data[[#This Row],[Product Cost]]*Cleaned_data[[#This Row],[Quantity]]</f>
        <v>492</v>
      </c>
      <c r="AE715" s="10">
        <f>Cleaned_data[[#This Row],[Net Sales]]-Cleaned_data[[#This Row],[COGS]]</f>
        <v>565.91000000000008</v>
      </c>
      <c r="AF715" s="11">
        <f>Cleaned_data[[#This Row],[Gross Profit]]/Cleaned_data[[#This Row],[Net Sales]]</f>
        <v>0.53493208306944828</v>
      </c>
      <c r="AG715">
        <f>Cleaned_data[[#This Row],[Ship_Date]]-Cleaned_data[[#This Row],[Order_Date]]</f>
        <v>5</v>
      </c>
      <c r="AH715" t="str">
        <f>IF(Cleaned_data[[#This Row],[Delivery Days]]&gt;10,"late","on time")</f>
        <v>on time</v>
      </c>
      <c r="AI715" t="str">
        <f>TEXT(Cleaned_data[[#This Row],[Order_Date]],"mmmm")</f>
        <v>December</v>
      </c>
      <c r="AJ715" s="9" t="str">
        <f>"Q"&amp;ROUNDUP(MONTH(Cleaned_data[[#This Row],[Order_Date]])/3,0)</f>
        <v>Q4</v>
      </c>
    </row>
    <row r="716" spans="1:36">
      <c r="A716" t="s">
        <v>1213</v>
      </c>
      <c r="B716" s="9">
        <v>46018</v>
      </c>
      <c r="C716" s="9">
        <v>46022</v>
      </c>
      <c r="D716" t="s">
        <v>454</v>
      </c>
      <c r="E716" t="s">
        <v>329</v>
      </c>
      <c r="F716" t="s">
        <v>89</v>
      </c>
      <c r="G716" t="s">
        <v>75</v>
      </c>
      <c r="H716" t="s">
        <v>212</v>
      </c>
      <c r="I716" t="s">
        <v>213</v>
      </c>
      <c r="J716" t="s">
        <v>78</v>
      </c>
      <c r="K716" t="s">
        <v>90</v>
      </c>
      <c r="L716" t="s">
        <v>249</v>
      </c>
      <c r="M716" t="s">
        <v>250</v>
      </c>
      <c r="N716" t="s">
        <v>103</v>
      </c>
      <c r="O716" t="s">
        <v>251</v>
      </c>
      <c r="P716" s="8">
        <v>10</v>
      </c>
      <c r="Q716" s="10">
        <v>23.17</v>
      </c>
      <c r="R716" s="11">
        <v>0.1</v>
      </c>
      <c r="S716" s="10">
        <v>14.85</v>
      </c>
      <c r="T716" t="s">
        <v>84</v>
      </c>
      <c r="U716" t="s">
        <v>85</v>
      </c>
      <c r="V716" s="8">
        <v>5</v>
      </c>
      <c r="W716" t="s">
        <v>1270</v>
      </c>
      <c r="X716" t="str">
        <f>_xlfn.XLOOKUP(Cleaned_data[[#This Row],[Customer_ID]],Customers[S],Customers[Loyalty_Tier])</f>
        <v>Gold</v>
      </c>
      <c r="Y716" s="9">
        <f>_xlfn.XLOOKUP(Cleaned_data[[#This Row],[Customer_ID]],Customers[S],Customers[Signup_Date])</f>
        <v>45538</v>
      </c>
      <c r="Z716" s="12">
        <f>_xlfn.XLOOKUP(Cleaned_data[[#This Row],[SKU]],Products[SKU],Products[Standard_Cost])</f>
        <v>10</v>
      </c>
      <c r="AA716" s="10">
        <f>Cleaned_data[[#This Row],[Quantity]]*Cleaned_data[[#This Row],[Unit_Price]]</f>
        <v>231.70000000000002</v>
      </c>
      <c r="AB716" s="10">
        <f>Cleaned_data[[#This Row],[Unit_Price]]*Cleaned_data[[#This Row],[Discount_Pct]]</f>
        <v>2.3170000000000002</v>
      </c>
      <c r="AC716" s="10">
        <f>Cleaned_data[[#This Row],[Gross Sales]]-Cleaned_data[[#This Row],[Discount amount]]</f>
        <v>229.38300000000001</v>
      </c>
      <c r="AD716" s="10">
        <f>Cleaned_data[[#This Row],[Product Cost]]*Cleaned_data[[#This Row],[Quantity]]</f>
        <v>100</v>
      </c>
      <c r="AE716" s="10">
        <f>Cleaned_data[[#This Row],[Net Sales]]-Cleaned_data[[#This Row],[COGS]]</f>
        <v>129.38300000000001</v>
      </c>
      <c r="AF716" s="11">
        <f>Cleaned_data[[#This Row],[Gross Profit]]/Cleaned_data[[#This Row],[Net Sales]]</f>
        <v>0.56404790241648251</v>
      </c>
      <c r="AG716">
        <f>Cleaned_data[[#This Row],[Ship_Date]]-Cleaned_data[[#This Row],[Order_Date]]</f>
        <v>4</v>
      </c>
      <c r="AH716" t="str">
        <f>IF(Cleaned_data[[#This Row],[Delivery Days]]&gt;10,"late","on time")</f>
        <v>on time</v>
      </c>
      <c r="AI716" t="str">
        <f>TEXT(Cleaned_data[[#This Row],[Order_Date]],"mmmm")</f>
        <v>December</v>
      </c>
      <c r="AJ716" s="9" t="str">
        <f>"Q"&amp;ROUNDUP(MONTH(Cleaned_data[[#This Row],[Order_Date]])/3,0)</f>
        <v>Q4</v>
      </c>
    </row>
    <row r="717" spans="1:36">
      <c r="A717" t="s">
        <v>1214</v>
      </c>
      <c r="B717" s="9">
        <v>46020</v>
      </c>
      <c r="C717" s="9">
        <v>46030</v>
      </c>
      <c r="D717" t="s">
        <v>305</v>
      </c>
      <c r="E717" t="s">
        <v>306</v>
      </c>
      <c r="F717" t="s">
        <v>152</v>
      </c>
      <c r="G717" t="s">
        <v>138</v>
      </c>
      <c r="H717" t="s">
        <v>186</v>
      </c>
      <c r="I717" t="s">
        <v>187</v>
      </c>
      <c r="J717" t="s">
        <v>109</v>
      </c>
      <c r="K717" t="s">
        <v>168</v>
      </c>
      <c r="L717" t="s">
        <v>214</v>
      </c>
      <c r="M717" t="s">
        <v>215</v>
      </c>
      <c r="N717" t="s">
        <v>103</v>
      </c>
      <c r="O717" t="s">
        <v>171</v>
      </c>
      <c r="P717" s="8">
        <v>9</v>
      </c>
      <c r="Q717" s="10">
        <v>11.47</v>
      </c>
      <c r="R717" s="11">
        <v>0.11</v>
      </c>
      <c r="S717" s="10">
        <v>8.4499999999999993</v>
      </c>
      <c r="T717" t="s">
        <v>84</v>
      </c>
      <c r="U717" t="s">
        <v>85</v>
      </c>
      <c r="W717" t="s">
        <v>1277</v>
      </c>
      <c r="X717" t="str">
        <f>_xlfn.XLOOKUP(Cleaned_data[[#This Row],[Customer_ID]],Customers[S],Customers[Loyalty_Tier])</f>
        <v>Gold</v>
      </c>
      <c r="Y717" s="9">
        <f>_xlfn.XLOOKUP(Cleaned_data[[#This Row],[Customer_ID]],Customers[S],Customers[Signup_Date])</f>
        <v>45333</v>
      </c>
      <c r="Z717" s="12">
        <f>_xlfn.XLOOKUP(Cleaned_data[[#This Row],[SKU]],Products[SKU],Products[Standard_Cost])</f>
        <v>5</v>
      </c>
      <c r="AA717" s="10">
        <f>Cleaned_data[[#This Row],[Quantity]]*Cleaned_data[[#This Row],[Unit_Price]]</f>
        <v>103.23</v>
      </c>
      <c r="AB717" s="10">
        <f>Cleaned_data[[#This Row],[Unit_Price]]*Cleaned_data[[#This Row],[Discount_Pct]]</f>
        <v>1.2617</v>
      </c>
      <c r="AC717" s="10">
        <f>Cleaned_data[[#This Row],[Gross Sales]]-Cleaned_data[[#This Row],[Discount amount]]</f>
        <v>101.9683</v>
      </c>
      <c r="AD717" s="10">
        <f>Cleaned_data[[#This Row],[Product Cost]]*Cleaned_data[[#This Row],[Quantity]]</f>
        <v>45</v>
      </c>
      <c r="AE717" s="10">
        <f>Cleaned_data[[#This Row],[Net Sales]]-Cleaned_data[[#This Row],[COGS]]</f>
        <v>56.968299999999999</v>
      </c>
      <c r="AF717" s="11">
        <f>Cleaned_data[[#This Row],[Gross Profit]]/Cleaned_data[[#This Row],[Net Sales]]</f>
        <v>0.55868637606001081</v>
      </c>
      <c r="AG717">
        <f>Cleaned_data[[#This Row],[Ship_Date]]-Cleaned_data[[#This Row],[Order_Date]]</f>
        <v>10</v>
      </c>
      <c r="AH717" t="str">
        <f>IF(Cleaned_data[[#This Row],[Delivery Days]]&gt;10,"late","on time")</f>
        <v>on time</v>
      </c>
      <c r="AI717" t="str">
        <f>TEXT(Cleaned_data[[#This Row],[Order_Date]],"mmmm")</f>
        <v>December</v>
      </c>
      <c r="AJ717" s="9" t="str">
        <f>"Q"&amp;ROUNDUP(MONTH(Cleaned_data[[#This Row],[Order_Date]])/3,0)</f>
        <v>Q4</v>
      </c>
    </row>
    <row r="718" spans="1:36">
      <c r="A718" t="s">
        <v>1215</v>
      </c>
      <c r="B718" s="9">
        <v>46020</v>
      </c>
      <c r="C718" s="9">
        <v>46021</v>
      </c>
      <c r="D718" t="s">
        <v>158</v>
      </c>
      <c r="E718" t="s">
        <v>159</v>
      </c>
      <c r="F718" t="s">
        <v>89</v>
      </c>
      <c r="G718" t="s">
        <v>126</v>
      </c>
      <c r="H718" t="s">
        <v>160</v>
      </c>
      <c r="I718" t="s">
        <v>161</v>
      </c>
      <c r="J718" t="s">
        <v>129</v>
      </c>
      <c r="K718" t="s">
        <v>130</v>
      </c>
      <c r="L718" t="s">
        <v>175</v>
      </c>
      <c r="M718" t="s">
        <v>176</v>
      </c>
      <c r="N718" t="s">
        <v>93</v>
      </c>
      <c r="O718" t="s">
        <v>177</v>
      </c>
      <c r="P718" s="8">
        <v>1</v>
      </c>
      <c r="Q718" s="10">
        <v>159.16999999999999</v>
      </c>
      <c r="R718" s="11">
        <v>0.01</v>
      </c>
      <c r="S718" s="10">
        <v>23.54</v>
      </c>
      <c r="T718" t="s">
        <v>122</v>
      </c>
      <c r="U718" t="s">
        <v>85</v>
      </c>
      <c r="V718" s="8">
        <v>2</v>
      </c>
      <c r="W718" t="s">
        <v>1270</v>
      </c>
      <c r="X718" t="str">
        <f>_xlfn.XLOOKUP(Cleaned_data[[#This Row],[Customer_ID]],Customers[S],Customers[Loyalty_Tier])</f>
        <v>Silver</v>
      </c>
      <c r="Y718" s="9">
        <f>_xlfn.XLOOKUP(Cleaned_data[[#This Row],[Customer_ID]],Customers[S],Customers[Signup_Date])</f>
        <v>44476</v>
      </c>
      <c r="Z718" s="12">
        <f>_xlfn.XLOOKUP(Cleaned_data[[#This Row],[SKU]],Products[SKU],Products[Standard_Cost])</f>
        <v>88</v>
      </c>
      <c r="AA718" s="10">
        <f>Cleaned_data[[#This Row],[Quantity]]*Cleaned_data[[#This Row],[Unit_Price]]</f>
        <v>159.16999999999999</v>
      </c>
      <c r="AB718" s="10">
        <f>Cleaned_data[[#This Row],[Unit_Price]]*Cleaned_data[[#This Row],[Discount_Pct]]</f>
        <v>1.5916999999999999</v>
      </c>
      <c r="AC718" s="10">
        <f>Cleaned_data[[#This Row],[Gross Sales]]-Cleaned_data[[#This Row],[Discount amount]]</f>
        <v>157.57829999999998</v>
      </c>
      <c r="AD718" s="10">
        <f>Cleaned_data[[#This Row],[Product Cost]]*Cleaned_data[[#This Row],[Quantity]]</f>
        <v>88</v>
      </c>
      <c r="AE718" s="10">
        <f>Cleaned_data[[#This Row],[Net Sales]]-Cleaned_data[[#This Row],[COGS]]</f>
        <v>69.578299999999984</v>
      </c>
      <c r="AF718" s="11">
        <f>Cleaned_data[[#This Row],[Gross Profit]]/Cleaned_data[[#This Row],[Net Sales]]</f>
        <v>0.44154747195521205</v>
      </c>
      <c r="AG718">
        <f>Cleaned_data[[#This Row],[Ship_Date]]-Cleaned_data[[#This Row],[Order_Date]]</f>
        <v>1</v>
      </c>
      <c r="AH718" t="str">
        <f>IF(Cleaned_data[[#This Row],[Delivery Days]]&gt;10,"late","on time")</f>
        <v>on time</v>
      </c>
      <c r="AI718" t="str">
        <f>TEXT(Cleaned_data[[#This Row],[Order_Date]],"mmmm")</f>
        <v>December</v>
      </c>
      <c r="AJ718" s="9" t="str">
        <f>"Q"&amp;ROUNDUP(MONTH(Cleaned_data[[#This Row],[Order_Date]])/3,0)</f>
        <v>Q4</v>
      </c>
    </row>
    <row r="719" spans="1:36">
      <c r="A719" t="s">
        <v>1216</v>
      </c>
      <c r="B719" s="9">
        <v>46021</v>
      </c>
      <c r="C719" s="9">
        <v>46024</v>
      </c>
      <c r="D719" t="s">
        <v>787</v>
      </c>
      <c r="E719" t="s">
        <v>660</v>
      </c>
      <c r="F719" t="s">
        <v>152</v>
      </c>
      <c r="G719" t="s">
        <v>194</v>
      </c>
      <c r="H719" t="s">
        <v>202</v>
      </c>
      <c r="I719" t="s">
        <v>203</v>
      </c>
      <c r="J719" t="s">
        <v>129</v>
      </c>
      <c r="K719" t="s">
        <v>130</v>
      </c>
      <c r="L719" t="s">
        <v>175</v>
      </c>
      <c r="M719" t="s">
        <v>176</v>
      </c>
      <c r="N719" t="s">
        <v>93</v>
      </c>
      <c r="O719" t="s">
        <v>177</v>
      </c>
      <c r="P719" s="8">
        <v>3</v>
      </c>
      <c r="Q719" s="10">
        <v>175.18</v>
      </c>
      <c r="R719" s="11">
        <v>0.08</v>
      </c>
      <c r="S719" s="10">
        <v>20.34</v>
      </c>
      <c r="T719" t="s">
        <v>122</v>
      </c>
      <c r="U719" t="s">
        <v>148</v>
      </c>
      <c r="W719" t="s">
        <v>1277</v>
      </c>
      <c r="X719" t="str">
        <f>_xlfn.XLOOKUP(Cleaned_data[[#This Row],[Customer_ID]],Customers[S],Customers[Loyalty_Tier])</f>
        <v>Gold</v>
      </c>
      <c r="Y719" s="9">
        <f>_xlfn.XLOOKUP(Cleaned_data[[#This Row],[Customer_ID]],Customers[S],Customers[Signup_Date])</f>
        <v>44524</v>
      </c>
      <c r="Z719" s="12">
        <f>_xlfn.XLOOKUP(Cleaned_data[[#This Row],[SKU]],Products[SKU],Products[Standard_Cost])</f>
        <v>88</v>
      </c>
      <c r="AA719" s="10">
        <f>Cleaned_data[[#This Row],[Quantity]]*Cleaned_data[[#This Row],[Unit_Price]]</f>
        <v>525.54</v>
      </c>
      <c r="AB719" s="10">
        <f>Cleaned_data[[#This Row],[Unit_Price]]*Cleaned_data[[#This Row],[Discount_Pct]]</f>
        <v>14.0144</v>
      </c>
      <c r="AC719" s="10">
        <f>Cleaned_data[[#This Row],[Gross Sales]]-Cleaned_data[[#This Row],[Discount amount]]</f>
        <v>511.52559999999994</v>
      </c>
      <c r="AD719" s="10">
        <f>Cleaned_data[[#This Row],[Product Cost]]*Cleaned_data[[#This Row],[Quantity]]</f>
        <v>264</v>
      </c>
      <c r="AE719" s="10">
        <f>Cleaned_data[[#This Row],[Net Sales]]-Cleaned_data[[#This Row],[COGS]]</f>
        <v>247.52559999999994</v>
      </c>
      <c r="AF719" s="11">
        <f>Cleaned_data[[#This Row],[Gross Profit]]/Cleaned_data[[#This Row],[Net Sales]]</f>
        <v>0.48389679812701453</v>
      </c>
      <c r="AG719">
        <f>Cleaned_data[[#This Row],[Ship_Date]]-Cleaned_data[[#This Row],[Order_Date]]</f>
        <v>3</v>
      </c>
      <c r="AH719" t="str">
        <f>IF(Cleaned_data[[#This Row],[Delivery Days]]&gt;10,"late","on time")</f>
        <v>on time</v>
      </c>
      <c r="AI719" t="str">
        <f>TEXT(Cleaned_data[[#This Row],[Order_Date]],"mmmm")</f>
        <v>December</v>
      </c>
      <c r="AJ719" s="9" t="str">
        <f>"Q"&amp;ROUNDUP(MONTH(Cleaned_data[[#This Row],[Order_Date]])/3,0)</f>
        <v>Q4</v>
      </c>
    </row>
    <row r="720" spans="1:36">
      <c r="A720" t="s">
        <v>1217</v>
      </c>
      <c r="B720" s="9">
        <v>46021</v>
      </c>
      <c r="C720" s="9">
        <v>46025</v>
      </c>
      <c r="D720" t="s">
        <v>627</v>
      </c>
      <c r="E720" t="s">
        <v>542</v>
      </c>
      <c r="F720" t="s">
        <v>152</v>
      </c>
      <c r="G720" t="s">
        <v>194</v>
      </c>
      <c r="H720" t="s">
        <v>240</v>
      </c>
      <c r="I720" t="s">
        <v>241</v>
      </c>
      <c r="J720" t="s">
        <v>129</v>
      </c>
      <c r="K720" t="s">
        <v>130</v>
      </c>
      <c r="L720" t="s">
        <v>261</v>
      </c>
      <c r="M720" t="s">
        <v>262</v>
      </c>
      <c r="N720" t="s">
        <v>103</v>
      </c>
      <c r="O720" t="s">
        <v>104</v>
      </c>
      <c r="P720" s="8">
        <v>5</v>
      </c>
      <c r="Q720" s="10">
        <v>27.64</v>
      </c>
      <c r="R720" s="11">
        <v>7.0000000000000007E-2</v>
      </c>
      <c r="S720" s="10">
        <v>7.56</v>
      </c>
      <c r="T720" t="s">
        <v>134</v>
      </c>
      <c r="U720" t="s">
        <v>85</v>
      </c>
      <c r="V720" s="8">
        <v>2</v>
      </c>
      <c r="W720" t="s">
        <v>1277</v>
      </c>
      <c r="X720" t="str">
        <f>_xlfn.XLOOKUP(Cleaned_data[[#This Row],[Customer_ID]],Customers[S],Customers[Loyalty_Tier])</f>
        <v>Gold</v>
      </c>
      <c r="Y720" s="9">
        <f>_xlfn.XLOOKUP(Cleaned_data[[#This Row],[Customer_ID]],Customers[S],Customers[Signup_Date])</f>
        <v>44610</v>
      </c>
      <c r="Z720" s="12">
        <f>_xlfn.XLOOKUP(Cleaned_data[[#This Row],[SKU]],Products[SKU],Products[Standard_Cost])</f>
        <v>12</v>
      </c>
      <c r="AA720" s="10">
        <f>Cleaned_data[[#This Row],[Quantity]]*Cleaned_data[[#This Row],[Unit_Price]]</f>
        <v>138.19999999999999</v>
      </c>
      <c r="AB720" s="10">
        <f>Cleaned_data[[#This Row],[Unit_Price]]*Cleaned_data[[#This Row],[Discount_Pct]]</f>
        <v>1.9348000000000003</v>
      </c>
      <c r="AC720" s="10">
        <f>Cleaned_data[[#This Row],[Gross Sales]]-Cleaned_data[[#This Row],[Discount amount]]</f>
        <v>136.26519999999999</v>
      </c>
      <c r="AD720" s="10">
        <f>Cleaned_data[[#This Row],[Product Cost]]*Cleaned_data[[#This Row],[Quantity]]</f>
        <v>60</v>
      </c>
      <c r="AE720" s="10">
        <f>Cleaned_data[[#This Row],[Net Sales]]-Cleaned_data[[#This Row],[COGS]]</f>
        <v>76.265199999999993</v>
      </c>
      <c r="AF720" s="11">
        <f>Cleaned_data[[#This Row],[Gross Profit]]/Cleaned_data[[#This Row],[Net Sales]]</f>
        <v>0.55968214922078419</v>
      </c>
      <c r="AG720">
        <f>Cleaned_data[[#This Row],[Ship_Date]]-Cleaned_data[[#This Row],[Order_Date]]</f>
        <v>4</v>
      </c>
      <c r="AH720" t="str">
        <f>IF(Cleaned_data[[#This Row],[Delivery Days]]&gt;10,"late","on time")</f>
        <v>on time</v>
      </c>
      <c r="AI720" t="str">
        <f>TEXT(Cleaned_data[[#This Row],[Order_Date]],"mmmm")</f>
        <v>December</v>
      </c>
      <c r="AJ720" s="9" t="str">
        <f>"Q"&amp;ROUNDUP(MONTH(Cleaned_data[[#This Row],[Order_Date]])/3,0)</f>
        <v>Q4</v>
      </c>
    </row>
    <row r="721" spans="1:36">
      <c r="A721" t="s">
        <v>1218</v>
      </c>
      <c r="B721" s="9">
        <v>46021</v>
      </c>
      <c r="C721" s="9">
        <v>46022</v>
      </c>
      <c r="D721" t="s">
        <v>173</v>
      </c>
      <c r="E721" t="s">
        <v>174</v>
      </c>
      <c r="F721" t="s">
        <v>89</v>
      </c>
      <c r="G721" t="s">
        <v>126</v>
      </c>
      <c r="H721" t="s">
        <v>127</v>
      </c>
      <c r="I721" t="s">
        <v>128</v>
      </c>
      <c r="J721" t="s">
        <v>129</v>
      </c>
      <c r="K721" t="s">
        <v>79</v>
      </c>
      <c r="L721" t="s">
        <v>242</v>
      </c>
      <c r="M721" t="s">
        <v>243</v>
      </c>
      <c r="N721" t="s">
        <v>120</v>
      </c>
      <c r="O721" t="s">
        <v>133</v>
      </c>
      <c r="P721" s="8">
        <v>2</v>
      </c>
      <c r="Q721" s="10">
        <v>193.89</v>
      </c>
      <c r="R721" s="11">
        <v>0.05</v>
      </c>
      <c r="S721" s="10">
        <v>22.07</v>
      </c>
      <c r="T721" t="s">
        <v>84</v>
      </c>
      <c r="U721" t="s">
        <v>85</v>
      </c>
      <c r="V721" s="8">
        <v>2</v>
      </c>
      <c r="W721" t="s">
        <v>1270</v>
      </c>
      <c r="X721" t="str">
        <f>_xlfn.XLOOKUP(Cleaned_data[[#This Row],[Customer_ID]],Customers[S],Customers[Loyalty_Tier])</f>
        <v>Gold</v>
      </c>
      <c r="Y721" s="9">
        <f>_xlfn.XLOOKUP(Cleaned_data[[#This Row],[Customer_ID]],Customers[S],Customers[Signup_Date])</f>
        <v>44543</v>
      </c>
      <c r="Z721" s="12">
        <f>_xlfn.XLOOKUP(Cleaned_data[[#This Row],[SKU]],Products[SKU],Products[Standard_Cost])</f>
        <v>96</v>
      </c>
      <c r="AA721" s="10">
        <f>Cleaned_data[[#This Row],[Quantity]]*Cleaned_data[[#This Row],[Unit_Price]]</f>
        <v>387.78</v>
      </c>
      <c r="AB721" s="10">
        <f>Cleaned_data[[#This Row],[Unit_Price]]*Cleaned_data[[#This Row],[Discount_Pct]]</f>
        <v>9.6944999999999997</v>
      </c>
      <c r="AC721" s="10">
        <f>Cleaned_data[[#This Row],[Gross Sales]]-Cleaned_data[[#This Row],[Discount amount]]</f>
        <v>378.08549999999997</v>
      </c>
      <c r="AD721" s="10">
        <f>Cleaned_data[[#This Row],[Product Cost]]*Cleaned_data[[#This Row],[Quantity]]</f>
        <v>192</v>
      </c>
      <c r="AE721" s="10">
        <f>Cleaned_data[[#This Row],[Net Sales]]-Cleaned_data[[#This Row],[COGS]]</f>
        <v>186.08549999999997</v>
      </c>
      <c r="AF721" s="11">
        <f>Cleaned_data[[#This Row],[Gross Profit]]/Cleaned_data[[#This Row],[Net Sales]]</f>
        <v>0.49217835648285901</v>
      </c>
      <c r="AG721">
        <f>Cleaned_data[[#This Row],[Ship_Date]]-Cleaned_data[[#This Row],[Order_Date]]</f>
        <v>1</v>
      </c>
      <c r="AH721" t="str">
        <f>IF(Cleaned_data[[#This Row],[Delivery Days]]&gt;10,"late","on time")</f>
        <v>on time</v>
      </c>
      <c r="AI721" t="str">
        <f>TEXT(Cleaned_data[[#This Row],[Order_Date]],"mmmm")</f>
        <v>December</v>
      </c>
      <c r="AJ721" s="9" t="str">
        <f>"Q"&amp;ROUNDUP(MONTH(Cleaned_data[[#This Row],[Order_Date]])/3,0)</f>
        <v>Q4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9ACE6-80EB-46FE-8CFD-38616F3B8EF6}">
  <dimension ref="A1:B8"/>
  <sheetViews>
    <sheetView workbookViewId="0">
      <selection activeCell="C5" sqref="C5"/>
    </sheetView>
  </sheetViews>
  <sheetFormatPr defaultRowHeight="13.8"/>
  <cols>
    <col min="1" max="1" width="23.19921875" bestFit="1" customWidth="1"/>
    <col min="2" max="2" width="14.69921875" customWidth="1"/>
  </cols>
  <sheetData>
    <row r="1" spans="1:2">
      <c r="A1" t="s">
        <v>1296</v>
      </c>
      <c r="B1" t="s">
        <v>1297</v>
      </c>
    </row>
    <row r="2" spans="1:2">
      <c r="A2" t="s">
        <v>1298</v>
      </c>
      <c r="B2" s="10">
        <f>SUM(Cleaned_data[Net Sales])</f>
        <v>506166.6503000001</v>
      </c>
    </row>
    <row r="3" spans="1:2">
      <c r="A3" t="s">
        <v>1299</v>
      </c>
      <c r="B3" s="10">
        <f>SUM(Cleaned_data[Gross Profit])</f>
        <v>210146.65029999989</v>
      </c>
    </row>
    <row r="4" spans="1:2">
      <c r="A4" t="s">
        <v>1300</v>
      </c>
      <c r="B4" s="11">
        <f>B3/B2</f>
        <v>0.41517284905168683</v>
      </c>
    </row>
    <row r="5" spans="1:2">
      <c r="A5" t="s">
        <v>1301</v>
      </c>
      <c r="B5">
        <f>COUNTA(Cleaned_data[Order_ID])</f>
        <v>720</v>
      </c>
    </row>
    <row r="6" spans="1:2">
      <c r="A6" t="s">
        <v>1302</v>
      </c>
      <c r="B6" s="10">
        <f>B2/B5</f>
        <v>703.00923652777794</v>
      </c>
    </row>
    <row r="7" spans="1:2">
      <c r="A7" t="s">
        <v>1303</v>
      </c>
      <c r="B7" s="13">
        <f>COUNTIFS(Cleaned_data[Returned],"Yes")/SUM(COUNTIFS(Cleaned_data[Returned],"Yes"),COUNTIFS(Cleaned_data[Returned],"No"))</f>
        <v>5.0139275766016712E-2</v>
      </c>
    </row>
    <row r="8" spans="1:2">
      <c r="A8" t="s">
        <v>1304</v>
      </c>
      <c r="B8" s="13">
        <f>COUNTIFS(Cleaned_data[Late Shipment],"late")/SUM(COUNTIFS(Cleaned_data[Late Shipment],"late"),COUNTIFS(Cleaned_data[Late Shipment],"on time"))</f>
        <v>4.7222222222222221E-2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726"/>
  <sheetViews>
    <sheetView showGridLines="0" topLeftCell="J1" workbookViewId="0">
      <selection activeCell="N720" sqref="N720"/>
    </sheetView>
  </sheetViews>
  <sheetFormatPr defaultRowHeight="13.8"/>
  <cols>
    <col min="1" max="1" width="11.5" customWidth="1"/>
    <col min="2" max="2" width="10.8984375" bestFit="1" customWidth="1"/>
    <col min="3" max="3" width="10.09765625" bestFit="1" customWidth="1"/>
    <col min="4" max="4" width="12.19921875" customWidth="1"/>
    <col min="5" max="5" width="18.09765625" customWidth="1"/>
    <col min="6" max="6" width="13.69921875" customWidth="1"/>
    <col min="7" max="7" width="11.19921875" customWidth="1"/>
    <col min="8" max="8" width="8.69921875" customWidth="1"/>
    <col min="9" max="10" width="15" customWidth="1"/>
    <col min="11" max="11" width="16.19921875" customWidth="1"/>
    <col min="12" max="12" width="13.09765625" customWidth="1"/>
    <col min="13" max="13" width="26.19921875" customWidth="1"/>
    <col min="14" max="14" width="16.19921875" customWidth="1"/>
    <col min="15" max="15" width="15" customWidth="1"/>
    <col min="16" max="16" width="10.19921875" customWidth="1"/>
    <col min="17" max="17" width="11.5" customWidth="1"/>
    <col min="18" max="18" width="14.796875" bestFit="1" customWidth="1"/>
    <col min="19" max="19" width="12.5" customWidth="1"/>
    <col min="20" max="20" width="13.09765625" customWidth="1"/>
    <col min="21" max="21" width="10" customWidth="1"/>
    <col min="22" max="22" width="13.09765625" customWidth="1"/>
  </cols>
  <sheetData>
    <row r="1" spans="1:22" ht="27.6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</row>
    <row r="2" spans="1:22">
      <c r="A2" t="s">
        <v>71</v>
      </c>
      <c r="B2" s="3">
        <v>45296</v>
      </c>
      <c r="C2" s="3">
        <v>45299</v>
      </c>
      <c r="D2" t="s">
        <v>72</v>
      </c>
      <c r="E2" t="s">
        <v>73</v>
      </c>
      <c r="F2" t="s">
        <v>74</v>
      </c>
      <c r="G2" t="s">
        <v>75</v>
      </c>
      <c r="H2" t="s">
        <v>76</v>
      </c>
      <c r="I2" t="s">
        <v>77</v>
      </c>
      <c r="J2" t="s">
        <v>78</v>
      </c>
      <c r="K2" t="s">
        <v>79</v>
      </c>
      <c r="L2" t="s">
        <v>80</v>
      </c>
      <c r="M2" t="s">
        <v>81</v>
      </c>
      <c r="N2" t="s">
        <v>82</v>
      </c>
      <c r="O2" t="s">
        <v>83</v>
      </c>
      <c r="P2">
        <v>6</v>
      </c>
      <c r="Q2" s="4">
        <v>229.85</v>
      </c>
      <c r="R2" s="5">
        <v>0.09</v>
      </c>
      <c r="S2" s="4">
        <v>12.62</v>
      </c>
      <c r="T2" t="s">
        <v>84</v>
      </c>
      <c r="U2" t="s">
        <v>85</v>
      </c>
      <c r="V2">
        <v>3</v>
      </c>
    </row>
    <row r="3" spans="1:22">
      <c r="A3" t="s">
        <v>86</v>
      </c>
      <c r="B3" s="3">
        <v>45296</v>
      </c>
      <c r="C3" s="3">
        <v>45306</v>
      </c>
      <c r="D3" t="s">
        <v>87</v>
      </c>
      <c r="E3" t="s">
        <v>88</v>
      </c>
      <c r="F3" t="s">
        <v>89</v>
      </c>
      <c r="G3" t="s">
        <v>75</v>
      </c>
      <c r="H3" t="s">
        <v>76</v>
      </c>
      <c r="I3" t="s">
        <v>77</v>
      </c>
      <c r="J3" t="s">
        <v>78</v>
      </c>
      <c r="K3" t="s">
        <v>90</v>
      </c>
      <c r="L3" t="s">
        <v>91</v>
      </c>
      <c r="M3" t="s">
        <v>92</v>
      </c>
      <c r="N3" t="s">
        <v>93</v>
      </c>
      <c r="O3" t="s">
        <v>94</v>
      </c>
      <c r="P3">
        <v>3</v>
      </c>
      <c r="Q3" s="4">
        <v>309.35000000000002</v>
      </c>
      <c r="R3" s="5">
        <v>0.01</v>
      </c>
      <c r="S3" s="4">
        <v>25.73</v>
      </c>
      <c r="T3" t="s">
        <v>84</v>
      </c>
      <c r="U3" t="s">
        <v>85</v>
      </c>
    </row>
    <row r="4" spans="1:22">
      <c r="A4" t="s">
        <v>95</v>
      </c>
      <c r="B4" s="3">
        <v>45297</v>
      </c>
      <c r="C4" s="3">
        <v>45315</v>
      </c>
      <c r="D4" t="s">
        <v>96</v>
      </c>
      <c r="E4" t="s">
        <v>97</v>
      </c>
      <c r="F4" t="s">
        <v>74</v>
      </c>
      <c r="G4" t="s">
        <v>75</v>
      </c>
      <c r="H4" t="s">
        <v>98</v>
      </c>
      <c r="I4" t="s">
        <v>99</v>
      </c>
      <c r="J4" t="s">
        <v>78</v>
      </c>
      <c r="K4" t="s">
        <v>100</v>
      </c>
      <c r="L4" t="s">
        <v>101</v>
      </c>
      <c r="M4" t="s">
        <v>102</v>
      </c>
      <c r="N4" t="s">
        <v>103</v>
      </c>
      <c r="O4" t="s">
        <v>104</v>
      </c>
      <c r="P4">
        <v>10</v>
      </c>
      <c r="Q4" s="4">
        <v>76.11</v>
      </c>
      <c r="R4" s="5">
        <v>0.11</v>
      </c>
      <c r="S4" s="4">
        <v>6.28</v>
      </c>
      <c r="T4" t="s">
        <v>105</v>
      </c>
      <c r="U4" t="s">
        <v>85</v>
      </c>
    </row>
    <row r="5" spans="1:22">
      <c r="A5" t="s">
        <v>106</v>
      </c>
      <c r="B5" s="3">
        <v>45297</v>
      </c>
      <c r="C5" s="3">
        <v>45314</v>
      </c>
      <c r="D5" t="s">
        <v>107</v>
      </c>
      <c r="E5" t="s">
        <v>108</v>
      </c>
      <c r="F5" t="s">
        <v>74</v>
      </c>
      <c r="G5" t="s">
        <v>75</v>
      </c>
      <c r="H5" t="s">
        <v>98</v>
      </c>
      <c r="I5" t="s">
        <v>99</v>
      </c>
      <c r="J5" t="s">
        <v>109</v>
      </c>
      <c r="K5" t="s">
        <v>79</v>
      </c>
      <c r="L5" t="s">
        <v>110</v>
      </c>
      <c r="M5" t="s">
        <v>111</v>
      </c>
      <c r="N5" t="s">
        <v>82</v>
      </c>
      <c r="O5" t="s">
        <v>112</v>
      </c>
      <c r="P5">
        <v>5</v>
      </c>
      <c r="Q5" s="4">
        <v>319.14999999999998</v>
      </c>
      <c r="R5" s="5">
        <v>0</v>
      </c>
      <c r="S5" s="4">
        <v>5.12</v>
      </c>
      <c r="T5" t="s">
        <v>105</v>
      </c>
      <c r="U5" t="s">
        <v>85</v>
      </c>
      <c r="V5">
        <v>5</v>
      </c>
    </row>
    <row r="6" spans="1:22">
      <c r="A6" t="s">
        <v>113</v>
      </c>
      <c r="B6" s="3">
        <v>45299</v>
      </c>
      <c r="C6" s="3">
        <v>45305</v>
      </c>
      <c r="D6" t="s">
        <v>114</v>
      </c>
      <c r="E6" t="s">
        <v>115</v>
      </c>
      <c r="F6" t="s">
        <v>89</v>
      </c>
      <c r="G6" t="s">
        <v>75</v>
      </c>
      <c r="H6" t="s">
        <v>116</v>
      </c>
      <c r="I6" t="s">
        <v>117</v>
      </c>
      <c r="J6" t="s">
        <v>109</v>
      </c>
      <c r="K6" t="s">
        <v>90</v>
      </c>
      <c r="L6" t="s">
        <v>118</v>
      </c>
      <c r="M6" t="s">
        <v>119</v>
      </c>
      <c r="N6" t="s">
        <v>120</v>
      </c>
      <c r="O6" t="s">
        <v>121</v>
      </c>
      <c r="P6">
        <v>1</v>
      </c>
      <c r="Q6" s="4">
        <v>288.93</v>
      </c>
      <c r="R6" s="5">
        <v>0.02</v>
      </c>
      <c r="S6" s="4">
        <v>18.28</v>
      </c>
      <c r="T6" t="s">
        <v>122</v>
      </c>
      <c r="U6" t="s">
        <v>85</v>
      </c>
      <c r="V6">
        <v>3</v>
      </c>
    </row>
    <row r="7" spans="1:22">
      <c r="A7" t="s">
        <v>123</v>
      </c>
      <c r="B7" s="3">
        <v>45300</v>
      </c>
      <c r="C7" s="3">
        <v>45307</v>
      </c>
      <c r="D7" t="s">
        <v>124</v>
      </c>
      <c r="E7" t="s">
        <v>125</v>
      </c>
      <c r="F7" t="s">
        <v>74</v>
      </c>
      <c r="G7" t="s">
        <v>126</v>
      </c>
      <c r="H7" t="s">
        <v>127</v>
      </c>
      <c r="I7" t="s">
        <v>128</v>
      </c>
      <c r="J7" t="s">
        <v>129</v>
      </c>
      <c r="K7" t="s">
        <v>130</v>
      </c>
      <c r="L7" t="s">
        <v>131</v>
      </c>
      <c r="M7" t="s">
        <v>132</v>
      </c>
      <c r="N7" t="s">
        <v>120</v>
      </c>
      <c r="O7" t="s">
        <v>133</v>
      </c>
      <c r="P7">
        <v>1</v>
      </c>
      <c r="Q7" s="4">
        <v>88</v>
      </c>
      <c r="R7" s="5">
        <v>0.02</v>
      </c>
      <c r="S7" s="4">
        <v>11.18</v>
      </c>
      <c r="T7" t="s">
        <v>134</v>
      </c>
      <c r="U7" t="s">
        <v>85</v>
      </c>
      <c r="V7">
        <v>5</v>
      </c>
    </row>
    <row r="8" spans="1:22">
      <c r="A8" t="s">
        <v>135</v>
      </c>
      <c r="B8" s="3">
        <v>45300</v>
      </c>
      <c r="C8" s="3">
        <v>45303</v>
      </c>
      <c r="D8" t="s">
        <v>136</v>
      </c>
      <c r="E8" t="s">
        <v>137</v>
      </c>
      <c r="F8" t="s">
        <v>74</v>
      </c>
      <c r="G8" t="s">
        <v>138</v>
      </c>
      <c r="H8" t="s">
        <v>139</v>
      </c>
      <c r="I8" t="s">
        <v>140</v>
      </c>
      <c r="J8" t="s">
        <v>78</v>
      </c>
      <c r="K8" t="s">
        <v>79</v>
      </c>
      <c r="L8" t="s">
        <v>141</v>
      </c>
      <c r="M8" t="s">
        <v>142</v>
      </c>
      <c r="N8" t="s">
        <v>103</v>
      </c>
      <c r="O8" t="s">
        <v>143</v>
      </c>
      <c r="P8">
        <v>9</v>
      </c>
      <c r="Q8" s="4">
        <v>36.770000000000003</v>
      </c>
      <c r="R8" s="5">
        <v>0.01</v>
      </c>
      <c r="S8" s="4">
        <v>15.4</v>
      </c>
      <c r="T8" t="s">
        <v>122</v>
      </c>
      <c r="U8" t="s">
        <v>85</v>
      </c>
      <c r="V8">
        <v>3</v>
      </c>
    </row>
    <row r="9" spans="1:22">
      <c r="A9" t="s">
        <v>144</v>
      </c>
      <c r="B9" s="3">
        <v>45301</v>
      </c>
      <c r="C9" s="3">
        <v>45303</v>
      </c>
      <c r="D9" t="s">
        <v>145</v>
      </c>
      <c r="E9" t="s">
        <v>146</v>
      </c>
      <c r="F9" t="s">
        <v>74</v>
      </c>
      <c r="G9" t="s">
        <v>75</v>
      </c>
      <c r="H9" t="s">
        <v>116</v>
      </c>
      <c r="I9" t="s">
        <v>117</v>
      </c>
      <c r="J9" t="s">
        <v>109</v>
      </c>
      <c r="K9" t="s">
        <v>147</v>
      </c>
      <c r="L9" t="s">
        <v>80</v>
      </c>
      <c r="M9" t="s">
        <v>81</v>
      </c>
      <c r="N9" t="s">
        <v>82</v>
      </c>
      <c r="O9" t="s">
        <v>83</v>
      </c>
      <c r="P9">
        <v>10</v>
      </c>
      <c r="Q9" s="4">
        <v>246.67</v>
      </c>
      <c r="R9" s="5">
        <v>0.21</v>
      </c>
      <c r="S9" s="4">
        <v>16.760000000000002</v>
      </c>
      <c r="T9" t="s">
        <v>122</v>
      </c>
      <c r="U9" t="s">
        <v>148</v>
      </c>
      <c r="V9">
        <v>1</v>
      </c>
    </row>
    <row r="10" spans="1:22">
      <c r="A10" t="s">
        <v>149</v>
      </c>
      <c r="B10" s="3">
        <v>45301</v>
      </c>
      <c r="C10" s="3">
        <v>45308</v>
      </c>
      <c r="D10" t="s">
        <v>150</v>
      </c>
      <c r="E10" t="s">
        <v>151</v>
      </c>
      <c r="F10" t="s">
        <v>152</v>
      </c>
      <c r="G10" t="s">
        <v>138</v>
      </c>
      <c r="H10" t="s">
        <v>153</v>
      </c>
      <c r="I10" t="s">
        <v>154</v>
      </c>
      <c r="J10" t="s">
        <v>129</v>
      </c>
      <c r="K10" t="s">
        <v>79</v>
      </c>
      <c r="L10" t="s">
        <v>155</v>
      </c>
      <c r="M10" t="s">
        <v>156</v>
      </c>
      <c r="N10" t="s">
        <v>82</v>
      </c>
      <c r="O10" t="s">
        <v>112</v>
      </c>
      <c r="P10">
        <v>8</v>
      </c>
      <c r="Q10" s="4">
        <v>164.77</v>
      </c>
      <c r="R10" s="5">
        <v>0.12</v>
      </c>
      <c r="S10" s="4">
        <v>16.670000000000002</v>
      </c>
      <c r="T10" t="s">
        <v>134</v>
      </c>
      <c r="U10" t="s">
        <v>85</v>
      </c>
      <c r="V10">
        <v>3</v>
      </c>
    </row>
    <row r="11" spans="1:22">
      <c r="A11" t="s">
        <v>157</v>
      </c>
      <c r="B11" s="3">
        <v>45302</v>
      </c>
      <c r="C11" s="3">
        <v>45309</v>
      </c>
      <c r="D11" t="s">
        <v>158</v>
      </c>
      <c r="E11" t="s">
        <v>159</v>
      </c>
      <c r="F11" t="s">
        <v>89</v>
      </c>
      <c r="G11" t="s">
        <v>126</v>
      </c>
      <c r="H11" t="s">
        <v>160</v>
      </c>
      <c r="I11" t="s">
        <v>161</v>
      </c>
      <c r="J11" t="s">
        <v>109</v>
      </c>
      <c r="K11" t="s">
        <v>100</v>
      </c>
      <c r="L11" t="s">
        <v>162</v>
      </c>
      <c r="M11" t="s">
        <v>163</v>
      </c>
      <c r="N11" t="s">
        <v>120</v>
      </c>
      <c r="O11" t="s">
        <v>164</v>
      </c>
      <c r="P11">
        <v>3</v>
      </c>
      <c r="Q11" s="4">
        <v>876.03</v>
      </c>
      <c r="R11" s="5">
        <v>0</v>
      </c>
      <c r="S11" s="4">
        <v>12.08</v>
      </c>
      <c r="T11" t="s">
        <v>84</v>
      </c>
      <c r="U11" t="s">
        <v>85</v>
      </c>
      <c r="V11">
        <v>3</v>
      </c>
    </row>
    <row r="12" spans="1:22">
      <c r="A12" t="s">
        <v>165</v>
      </c>
      <c r="B12" s="3">
        <v>45302</v>
      </c>
      <c r="C12" s="3">
        <v>45305</v>
      </c>
      <c r="D12" t="s">
        <v>166</v>
      </c>
      <c r="E12" t="s">
        <v>167</v>
      </c>
      <c r="F12" t="s">
        <v>74</v>
      </c>
      <c r="G12" t="s">
        <v>75</v>
      </c>
      <c r="H12" t="s">
        <v>116</v>
      </c>
      <c r="I12" t="s">
        <v>117</v>
      </c>
      <c r="J12" t="s">
        <v>129</v>
      </c>
      <c r="K12" t="s">
        <v>168</v>
      </c>
      <c r="L12" t="s">
        <v>169</v>
      </c>
      <c r="M12" t="s">
        <v>170</v>
      </c>
      <c r="N12" t="s">
        <v>103</v>
      </c>
      <c r="O12" t="s">
        <v>171</v>
      </c>
      <c r="P12">
        <v>10</v>
      </c>
      <c r="Q12" s="4">
        <v>15.53</v>
      </c>
      <c r="R12" s="5">
        <v>0.1</v>
      </c>
      <c r="S12" s="4">
        <v>10.77</v>
      </c>
      <c r="T12" t="s">
        <v>105</v>
      </c>
      <c r="U12" t="s">
        <v>85</v>
      </c>
      <c r="V12">
        <v>3</v>
      </c>
    </row>
    <row r="13" spans="1:22">
      <c r="A13" t="s">
        <v>172</v>
      </c>
      <c r="B13" s="3">
        <v>45303</v>
      </c>
      <c r="C13" s="3">
        <v>45310</v>
      </c>
      <c r="D13" t="s">
        <v>173</v>
      </c>
      <c r="E13" t="s">
        <v>174</v>
      </c>
      <c r="F13" t="s">
        <v>89</v>
      </c>
      <c r="G13" t="s">
        <v>126</v>
      </c>
      <c r="H13" t="s">
        <v>127</v>
      </c>
      <c r="I13" t="s">
        <v>128</v>
      </c>
      <c r="J13" t="s">
        <v>78</v>
      </c>
      <c r="K13" t="s">
        <v>90</v>
      </c>
      <c r="L13" t="s">
        <v>175</v>
      </c>
      <c r="M13" t="s">
        <v>176</v>
      </c>
      <c r="N13" t="s">
        <v>93</v>
      </c>
      <c r="O13" t="s">
        <v>177</v>
      </c>
      <c r="P13">
        <v>3</v>
      </c>
      <c r="Q13" s="4">
        <v>178.71</v>
      </c>
      <c r="R13" s="5">
        <v>0.19</v>
      </c>
      <c r="S13" s="4">
        <v>28.13</v>
      </c>
      <c r="T13" t="s">
        <v>134</v>
      </c>
      <c r="U13" t="s">
        <v>85</v>
      </c>
      <c r="V13">
        <v>5</v>
      </c>
    </row>
    <row r="14" spans="1:22">
      <c r="A14" t="s">
        <v>178</v>
      </c>
      <c r="B14" s="3">
        <v>45305</v>
      </c>
      <c r="C14" s="3">
        <v>45307</v>
      </c>
      <c r="D14" t="s">
        <v>145</v>
      </c>
      <c r="E14" t="s">
        <v>146</v>
      </c>
      <c r="F14" t="s">
        <v>74</v>
      </c>
      <c r="G14" t="s">
        <v>75</v>
      </c>
      <c r="H14" t="s">
        <v>116</v>
      </c>
      <c r="I14" t="s">
        <v>117</v>
      </c>
      <c r="J14" t="s">
        <v>129</v>
      </c>
      <c r="K14" t="s">
        <v>147</v>
      </c>
      <c r="L14" t="s">
        <v>80</v>
      </c>
      <c r="M14" t="s">
        <v>81</v>
      </c>
      <c r="N14" t="s">
        <v>82</v>
      </c>
      <c r="O14" t="s">
        <v>83</v>
      </c>
      <c r="P14">
        <v>9</v>
      </c>
      <c r="Q14" s="4">
        <v>233.25</v>
      </c>
      <c r="R14" s="5">
        <v>0.09</v>
      </c>
      <c r="S14" s="4">
        <v>11.73</v>
      </c>
      <c r="T14" t="s">
        <v>105</v>
      </c>
      <c r="U14" t="s">
        <v>85</v>
      </c>
      <c r="V14">
        <v>4</v>
      </c>
    </row>
    <row r="15" spans="1:22">
      <c r="A15" t="s">
        <v>179</v>
      </c>
      <c r="B15" s="3">
        <v>45306</v>
      </c>
      <c r="C15" s="3">
        <v>45310</v>
      </c>
      <c r="D15" t="s">
        <v>180</v>
      </c>
      <c r="E15" t="s">
        <v>181</v>
      </c>
      <c r="F15" t="s">
        <v>74</v>
      </c>
      <c r="G15" t="s">
        <v>126</v>
      </c>
      <c r="H15" t="s">
        <v>160</v>
      </c>
      <c r="I15" t="s">
        <v>182</v>
      </c>
      <c r="J15" t="s">
        <v>78</v>
      </c>
      <c r="K15" t="s">
        <v>147</v>
      </c>
      <c r="L15" t="s">
        <v>101</v>
      </c>
      <c r="M15" t="s">
        <v>102</v>
      </c>
      <c r="N15" t="s">
        <v>103</v>
      </c>
      <c r="O15" t="s">
        <v>104</v>
      </c>
      <c r="P15">
        <v>7</v>
      </c>
      <c r="Q15" s="4">
        <v>71.64</v>
      </c>
      <c r="R15" s="5">
        <v>0.11</v>
      </c>
      <c r="S15" s="4">
        <v>8.27</v>
      </c>
      <c r="T15" t="s">
        <v>122</v>
      </c>
      <c r="U15" t="s">
        <v>85</v>
      </c>
      <c r="V15">
        <v>2</v>
      </c>
    </row>
    <row r="16" spans="1:22">
      <c r="A16" t="s">
        <v>183</v>
      </c>
      <c r="B16" s="3">
        <v>45308</v>
      </c>
      <c r="C16" s="3">
        <v>45316</v>
      </c>
      <c r="D16" t="s">
        <v>184</v>
      </c>
      <c r="E16" t="s">
        <v>185</v>
      </c>
      <c r="F16" t="s">
        <v>74</v>
      </c>
      <c r="G16" t="s">
        <v>138</v>
      </c>
      <c r="H16" t="s">
        <v>186</v>
      </c>
      <c r="I16" t="s">
        <v>187</v>
      </c>
      <c r="J16" t="s">
        <v>78</v>
      </c>
      <c r="K16" t="s">
        <v>100</v>
      </c>
      <c r="L16" t="s">
        <v>188</v>
      </c>
      <c r="M16" t="s">
        <v>189</v>
      </c>
      <c r="N16" t="s">
        <v>120</v>
      </c>
      <c r="O16" t="s">
        <v>190</v>
      </c>
      <c r="P16">
        <v>4</v>
      </c>
      <c r="Q16" s="4">
        <v>56.41</v>
      </c>
      <c r="R16" s="5">
        <v>0.1</v>
      </c>
      <c r="S16" s="4">
        <v>21.22</v>
      </c>
      <c r="T16" t="s">
        <v>122</v>
      </c>
      <c r="U16" t="s">
        <v>85</v>
      </c>
      <c r="V16">
        <v>5</v>
      </c>
    </row>
    <row r="17" spans="1:22">
      <c r="A17" t="s">
        <v>191</v>
      </c>
      <c r="B17" s="3">
        <v>45308</v>
      </c>
      <c r="C17" s="3">
        <v>45316</v>
      </c>
      <c r="D17" t="s">
        <v>192</v>
      </c>
      <c r="E17" t="s">
        <v>193</v>
      </c>
      <c r="F17" t="s">
        <v>89</v>
      </c>
      <c r="G17" t="s">
        <v>194</v>
      </c>
      <c r="H17" t="s">
        <v>195</v>
      </c>
      <c r="I17" t="s">
        <v>196</v>
      </c>
      <c r="J17" t="s">
        <v>78</v>
      </c>
      <c r="K17" t="s">
        <v>168</v>
      </c>
      <c r="L17" t="s">
        <v>197</v>
      </c>
      <c r="M17" t="s">
        <v>198</v>
      </c>
      <c r="N17" t="s">
        <v>120</v>
      </c>
      <c r="O17" t="s">
        <v>121</v>
      </c>
      <c r="P17">
        <v>3</v>
      </c>
      <c r="Q17" s="4">
        <v>522.48</v>
      </c>
      <c r="R17" s="5">
        <v>0.11</v>
      </c>
      <c r="S17" s="4">
        <v>7.39</v>
      </c>
      <c r="T17" t="s">
        <v>84</v>
      </c>
      <c r="U17" t="s">
        <v>85</v>
      </c>
      <c r="V17">
        <v>1</v>
      </c>
    </row>
    <row r="18" spans="1:22">
      <c r="A18" t="s">
        <v>199</v>
      </c>
      <c r="B18" s="3">
        <v>45309</v>
      </c>
      <c r="C18" s="3">
        <v>45318</v>
      </c>
      <c r="D18" t="s">
        <v>200</v>
      </c>
      <c r="E18" t="s">
        <v>201</v>
      </c>
      <c r="F18" t="s">
        <v>74</v>
      </c>
      <c r="G18" t="s">
        <v>194</v>
      </c>
      <c r="H18" t="s">
        <v>202</v>
      </c>
      <c r="I18" t="s">
        <v>203</v>
      </c>
      <c r="J18" t="s">
        <v>78</v>
      </c>
      <c r="K18" t="s">
        <v>130</v>
      </c>
      <c r="L18" t="s">
        <v>91</v>
      </c>
      <c r="M18" t="s">
        <v>92</v>
      </c>
      <c r="N18" t="s">
        <v>93</v>
      </c>
      <c r="O18" t="s">
        <v>94</v>
      </c>
      <c r="P18">
        <v>2</v>
      </c>
      <c r="Q18" s="4">
        <v>329.84</v>
      </c>
      <c r="R18" s="5">
        <v>0.06</v>
      </c>
      <c r="S18" s="4">
        <v>18.829999999999998</v>
      </c>
      <c r="T18" t="s">
        <v>134</v>
      </c>
      <c r="U18" t="s">
        <v>85</v>
      </c>
    </row>
    <row r="19" spans="1:22">
      <c r="A19" t="s">
        <v>204</v>
      </c>
      <c r="B19" s="3">
        <v>45309</v>
      </c>
      <c r="C19" s="3">
        <v>45318</v>
      </c>
      <c r="D19" t="s">
        <v>205</v>
      </c>
      <c r="E19" t="s">
        <v>206</v>
      </c>
      <c r="F19" t="s">
        <v>74</v>
      </c>
      <c r="G19" t="s">
        <v>194</v>
      </c>
      <c r="H19" t="s">
        <v>202</v>
      </c>
      <c r="I19" t="s">
        <v>203</v>
      </c>
      <c r="J19" t="s">
        <v>109</v>
      </c>
      <c r="K19" t="s">
        <v>100</v>
      </c>
      <c r="L19" t="s">
        <v>207</v>
      </c>
      <c r="M19" t="s">
        <v>208</v>
      </c>
      <c r="N19" t="s">
        <v>120</v>
      </c>
      <c r="O19" t="s">
        <v>164</v>
      </c>
      <c r="P19">
        <v>4</v>
      </c>
      <c r="Q19" s="4">
        <v>1324.74</v>
      </c>
      <c r="R19" s="5">
        <v>0.11</v>
      </c>
      <c r="S19" s="4">
        <v>16.059999999999999</v>
      </c>
      <c r="T19" t="s">
        <v>134</v>
      </c>
      <c r="U19" t="s">
        <v>85</v>
      </c>
      <c r="V19">
        <v>1</v>
      </c>
    </row>
    <row r="20" spans="1:22">
      <c r="A20" t="s">
        <v>209</v>
      </c>
      <c r="B20" s="3">
        <v>45310</v>
      </c>
      <c r="C20" s="3">
        <v>45315</v>
      </c>
      <c r="D20" t="s">
        <v>210</v>
      </c>
      <c r="E20" t="s">
        <v>211</v>
      </c>
      <c r="F20" t="s">
        <v>89</v>
      </c>
      <c r="G20" t="s">
        <v>75</v>
      </c>
      <c r="H20" t="s">
        <v>212</v>
      </c>
      <c r="I20" t="s">
        <v>213</v>
      </c>
      <c r="J20" t="s">
        <v>78</v>
      </c>
      <c r="K20" t="s">
        <v>168</v>
      </c>
      <c r="L20" t="s">
        <v>214</v>
      </c>
      <c r="M20" t="s">
        <v>215</v>
      </c>
      <c r="N20" t="s">
        <v>103</v>
      </c>
      <c r="O20" t="s">
        <v>171</v>
      </c>
      <c r="P20">
        <v>3</v>
      </c>
      <c r="Q20" s="4">
        <v>12.47</v>
      </c>
      <c r="R20" s="5">
        <v>7.0000000000000007E-2</v>
      </c>
      <c r="S20" s="4">
        <v>7.01</v>
      </c>
      <c r="T20" t="s">
        <v>122</v>
      </c>
      <c r="U20" t="s">
        <v>85</v>
      </c>
      <c r="V20">
        <v>4</v>
      </c>
    </row>
    <row r="21" spans="1:22">
      <c r="A21" t="s">
        <v>216</v>
      </c>
      <c r="B21" s="3">
        <v>45311</v>
      </c>
      <c r="C21" s="3">
        <v>45314</v>
      </c>
      <c r="D21" t="s">
        <v>217</v>
      </c>
      <c r="E21" t="s">
        <v>218</v>
      </c>
      <c r="F21" t="s">
        <v>89</v>
      </c>
      <c r="G21" t="s">
        <v>75</v>
      </c>
      <c r="H21" t="s">
        <v>98</v>
      </c>
      <c r="I21" t="s">
        <v>99</v>
      </c>
      <c r="J21" t="s">
        <v>219</v>
      </c>
      <c r="K21" t="s">
        <v>168</v>
      </c>
      <c r="L21" t="s">
        <v>220</v>
      </c>
      <c r="M21" t="s">
        <v>221</v>
      </c>
      <c r="N21" t="s">
        <v>93</v>
      </c>
      <c r="O21" t="s">
        <v>177</v>
      </c>
      <c r="P21">
        <v>1</v>
      </c>
      <c r="Q21" s="4">
        <v>218</v>
      </c>
      <c r="R21" s="5">
        <v>0.11</v>
      </c>
      <c r="S21" s="4">
        <v>24.18</v>
      </c>
      <c r="T21" t="s">
        <v>134</v>
      </c>
      <c r="U21" t="s">
        <v>148</v>
      </c>
      <c r="V21">
        <v>4</v>
      </c>
    </row>
    <row r="22" spans="1:22">
      <c r="A22" t="s">
        <v>222</v>
      </c>
      <c r="B22" s="3">
        <v>45311</v>
      </c>
      <c r="C22" s="3">
        <v>45312</v>
      </c>
      <c r="D22" t="s">
        <v>223</v>
      </c>
      <c r="E22" t="s">
        <v>224</v>
      </c>
      <c r="F22" t="s">
        <v>152</v>
      </c>
      <c r="G22" t="s">
        <v>194</v>
      </c>
      <c r="H22" t="s">
        <v>225</v>
      </c>
      <c r="I22" t="s">
        <v>226</v>
      </c>
      <c r="J22" t="s">
        <v>219</v>
      </c>
      <c r="K22" t="s">
        <v>79</v>
      </c>
      <c r="L22" t="s">
        <v>80</v>
      </c>
      <c r="M22" t="s">
        <v>81</v>
      </c>
      <c r="N22" t="s">
        <v>82</v>
      </c>
      <c r="O22" t="s">
        <v>83</v>
      </c>
      <c r="P22">
        <v>4</v>
      </c>
      <c r="Q22" s="4">
        <v>236.71</v>
      </c>
      <c r="R22" s="5">
        <v>0.09</v>
      </c>
      <c r="S22" s="4">
        <v>16.760000000000002</v>
      </c>
      <c r="T22" t="s">
        <v>122</v>
      </c>
      <c r="U22" t="s">
        <v>85</v>
      </c>
      <c r="V22">
        <v>4</v>
      </c>
    </row>
    <row r="23" spans="1:22">
      <c r="A23" t="s">
        <v>227</v>
      </c>
      <c r="B23" s="3">
        <v>45312</v>
      </c>
      <c r="C23" s="3">
        <v>45316</v>
      </c>
      <c r="D23" t="s">
        <v>228</v>
      </c>
      <c r="E23" t="s">
        <v>229</v>
      </c>
      <c r="F23" t="s">
        <v>74</v>
      </c>
      <c r="G23" t="s">
        <v>194</v>
      </c>
      <c r="H23" t="s">
        <v>230</v>
      </c>
      <c r="I23" t="s">
        <v>231</v>
      </c>
      <c r="J23" t="s">
        <v>219</v>
      </c>
      <c r="K23" t="s">
        <v>147</v>
      </c>
      <c r="L23" t="s">
        <v>169</v>
      </c>
      <c r="M23" t="s">
        <v>170</v>
      </c>
      <c r="N23" t="s">
        <v>103</v>
      </c>
      <c r="O23" t="s">
        <v>171</v>
      </c>
      <c r="P23">
        <v>10</v>
      </c>
      <c r="Q23" s="4">
        <v>15.14</v>
      </c>
      <c r="R23" s="5">
        <v>0.04</v>
      </c>
      <c r="S23" s="4">
        <v>9.77</v>
      </c>
      <c r="T23" t="s">
        <v>134</v>
      </c>
      <c r="U23" t="s">
        <v>85</v>
      </c>
      <c r="V23">
        <v>3</v>
      </c>
    </row>
    <row r="24" spans="1:22">
      <c r="A24" t="s">
        <v>232</v>
      </c>
      <c r="B24" s="3">
        <v>45312</v>
      </c>
      <c r="C24" s="3">
        <v>45317</v>
      </c>
      <c r="D24" t="s">
        <v>136</v>
      </c>
      <c r="E24" t="s">
        <v>137</v>
      </c>
      <c r="F24" t="s">
        <v>74</v>
      </c>
      <c r="G24" t="s">
        <v>138</v>
      </c>
      <c r="H24" t="s">
        <v>139</v>
      </c>
      <c r="I24" t="s">
        <v>140</v>
      </c>
      <c r="J24" t="s">
        <v>78</v>
      </c>
      <c r="K24" t="s">
        <v>90</v>
      </c>
      <c r="L24" t="s">
        <v>91</v>
      </c>
      <c r="M24" t="s">
        <v>92</v>
      </c>
      <c r="N24" t="s">
        <v>93</v>
      </c>
      <c r="O24" t="s">
        <v>94</v>
      </c>
      <c r="P24">
        <v>2</v>
      </c>
      <c r="Q24" s="4">
        <v>334.34</v>
      </c>
      <c r="R24" s="5">
        <v>0.2</v>
      </c>
      <c r="S24" s="4">
        <v>19.079999999999998</v>
      </c>
      <c r="T24" t="s">
        <v>122</v>
      </c>
      <c r="U24" t="s">
        <v>85</v>
      </c>
      <c r="V24">
        <v>3</v>
      </c>
    </row>
    <row r="25" spans="1:22">
      <c r="A25" t="s">
        <v>233</v>
      </c>
      <c r="B25" s="3">
        <v>45313</v>
      </c>
      <c r="C25" s="3">
        <v>45319</v>
      </c>
      <c r="D25" t="s">
        <v>114</v>
      </c>
      <c r="E25" t="s">
        <v>115</v>
      </c>
      <c r="F25" t="s">
        <v>89</v>
      </c>
      <c r="G25" t="s">
        <v>75</v>
      </c>
      <c r="H25" t="s">
        <v>116</v>
      </c>
      <c r="I25" t="s">
        <v>117</v>
      </c>
      <c r="J25" t="s">
        <v>129</v>
      </c>
      <c r="K25" t="s">
        <v>79</v>
      </c>
      <c r="L25" t="s">
        <v>234</v>
      </c>
      <c r="M25" t="s">
        <v>235</v>
      </c>
      <c r="N25" t="s">
        <v>93</v>
      </c>
      <c r="O25" t="s">
        <v>236</v>
      </c>
      <c r="P25">
        <v>1</v>
      </c>
      <c r="Q25" s="4">
        <v>153.06</v>
      </c>
      <c r="R25" s="5">
        <v>0.01</v>
      </c>
      <c r="S25" s="4">
        <v>20.37</v>
      </c>
      <c r="T25" t="s">
        <v>105</v>
      </c>
      <c r="U25" t="s">
        <v>85</v>
      </c>
      <c r="V25">
        <v>5</v>
      </c>
    </row>
    <row r="26" spans="1:22">
      <c r="A26" t="s">
        <v>237</v>
      </c>
      <c r="B26" s="3">
        <v>45314</v>
      </c>
      <c r="C26" s="3">
        <v>45322</v>
      </c>
      <c r="D26" t="s">
        <v>238</v>
      </c>
      <c r="E26" t="s">
        <v>239</v>
      </c>
      <c r="F26" t="s">
        <v>89</v>
      </c>
      <c r="G26" t="s">
        <v>194</v>
      </c>
      <c r="H26" t="s">
        <v>240</v>
      </c>
      <c r="I26" t="s">
        <v>241</v>
      </c>
      <c r="J26" t="s">
        <v>219</v>
      </c>
      <c r="K26" t="s">
        <v>168</v>
      </c>
      <c r="L26" t="s">
        <v>242</v>
      </c>
      <c r="M26" t="s">
        <v>243</v>
      </c>
      <c r="N26" t="s">
        <v>120</v>
      </c>
      <c r="O26" t="s">
        <v>133</v>
      </c>
      <c r="P26">
        <v>3</v>
      </c>
      <c r="Q26" s="4">
        <v>188.21</v>
      </c>
      <c r="R26" s="5">
        <v>0.22</v>
      </c>
      <c r="S26" s="4">
        <v>12.11</v>
      </c>
      <c r="T26" t="s">
        <v>122</v>
      </c>
      <c r="U26" t="s">
        <v>85</v>
      </c>
      <c r="V26">
        <v>1</v>
      </c>
    </row>
    <row r="27" spans="1:22">
      <c r="A27" t="s">
        <v>244</v>
      </c>
      <c r="B27" s="3">
        <v>45314</v>
      </c>
      <c r="C27" s="3">
        <v>45316</v>
      </c>
      <c r="D27" t="s">
        <v>245</v>
      </c>
      <c r="E27" t="s">
        <v>246</v>
      </c>
      <c r="F27" t="s">
        <v>74</v>
      </c>
      <c r="G27" t="s">
        <v>138</v>
      </c>
      <c r="H27" t="s">
        <v>139</v>
      </c>
      <c r="I27" t="s">
        <v>140</v>
      </c>
      <c r="J27" t="s">
        <v>129</v>
      </c>
      <c r="K27" t="s">
        <v>79</v>
      </c>
      <c r="L27" t="s">
        <v>155</v>
      </c>
      <c r="M27" t="s">
        <v>156</v>
      </c>
      <c r="N27" t="s">
        <v>82</v>
      </c>
      <c r="O27" t="s">
        <v>112</v>
      </c>
      <c r="P27">
        <v>10</v>
      </c>
      <c r="Q27" s="4">
        <v>160.79</v>
      </c>
      <c r="R27" s="5">
        <v>0.09</v>
      </c>
      <c r="S27" s="4">
        <v>7.83</v>
      </c>
      <c r="T27" t="s">
        <v>84</v>
      </c>
      <c r="U27" t="s">
        <v>85</v>
      </c>
      <c r="V27">
        <v>3</v>
      </c>
    </row>
    <row r="28" spans="1:22">
      <c r="A28" t="s">
        <v>247</v>
      </c>
      <c r="B28" s="3">
        <v>45314</v>
      </c>
      <c r="C28" s="3">
        <v>45318</v>
      </c>
      <c r="D28" t="s">
        <v>248</v>
      </c>
      <c r="E28" t="s">
        <v>137</v>
      </c>
      <c r="F28" t="s">
        <v>74</v>
      </c>
      <c r="G28" t="s">
        <v>75</v>
      </c>
      <c r="H28" t="s">
        <v>98</v>
      </c>
      <c r="I28" t="s">
        <v>99</v>
      </c>
      <c r="J28" t="s">
        <v>109</v>
      </c>
      <c r="K28" t="s">
        <v>79</v>
      </c>
      <c r="L28" t="s">
        <v>249</v>
      </c>
      <c r="M28" t="s">
        <v>250</v>
      </c>
      <c r="N28" t="s">
        <v>103</v>
      </c>
      <c r="O28" t="s">
        <v>251</v>
      </c>
      <c r="P28">
        <v>7</v>
      </c>
      <c r="Q28" s="4">
        <v>20.76</v>
      </c>
      <c r="R28" s="5">
        <v>7.0000000000000007E-2</v>
      </c>
      <c r="S28" s="4">
        <v>7.97</v>
      </c>
      <c r="T28" t="s">
        <v>105</v>
      </c>
      <c r="U28" t="s">
        <v>85</v>
      </c>
      <c r="V28">
        <v>3</v>
      </c>
    </row>
    <row r="29" spans="1:22">
      <c r="A29" t="s">
        <v>252</v>
      </c>
      <c r="B29" s="3">
        <v>45315</v>
      </c>
      <c r="C29" s="3">
        <v>45325</v>
      </c>
      <c r="D29" t="s">
        <v>253</v>
      </c>
      <c r="E29" t="s">
        <v>167</v>
      </c>
      <c r="F29" t="s">
        <v>152</v>
      </c>
      <c r="G29" t="s">
        <v>75</v>
      </c>
      <c r="H29" t="s">
        <v>212</v>
      </c>
      <c r="I29" t="s">
        <v>213</v>
      </c>
      <c r="J29" t="s">
        <v>129</v>
      </c>
      <c r="K29" t="s">
        <v>168</v>
      </c>
      <c r="L29" t="s">
        <v>254</v>
      </c>
      <c r="M29" t="s">
        <v>255</v>
      </c>
      <c r="N29" t="s">
        <v>82</v>
      </c>
      <c r="O29" t="s">
        <v>83</v>
      </c>
      <c r="P29">
        <v>10</v>
      </c>
      <c r="Q29" s="4">
        <v>93.42</v>
      </c>
      <c r="R29" s="5">
        <v>0.01</v>
      </c>
      <c r="S29" s="4">
        <v>16.59</v>
      </c>
      <c r="T29" t="s">
        <v>105</v>
      </c>
      <c r="U29" t="s">
        <v>85</v>
      </c>
      <c r="V29">
        <v>4</v>
      </c>
    </row>
    <row r="30" spans="1:22">
      <c r="A30" t="s">
        <v>256</v>
      </c>
      <c r="B30" s="3">
        <v>45317</v>
      </c>
      <c r="C30" s="3">
        <v>45321</v>
      </c>
      <c r="D30" t="s">
        <v>245</v>
      </c>
      <c r="E30" t="s">
        <v>246</v>
      </c>
      <c r="F30" t="s">
        <v>74</v>
      </c>
      <c r="G30" t="s">
        <v>138</v>
      </c>
      <c r="H30" t="s">
        <v>139</v>
      </c>
      <c r="I30" t="s">
        <v>140</v>
      </c>
      <c r="J30" t="s">
        <v>109</v>
      </c>
      <c r="K30" t="s">
        <v>168</v>
      </c>
      <c r="L30" t="s">
        <v>254</v>
      </c>
      <c r="M30" t="s">
        <v>255</v>
      </c>
      <c r="N30" t="s">
        <v>82</v>
      </c>
      <c r="O30" t="s">
        <v>83</v>
      </c>
      <c r="P30">
        <v>9</v>
      </c>
      <c r="Q30" s="4">
        <v>91.16</v>
      </c>
      <c r="R30" s="5">
        <v>0</v>
      </c>
      <c r="S30" s="4">
        <v>8.5500000000000007</v>
      </c>
      <c r="T30" t="s">
        <v>105</v>
      </c>
      <c r="U30" t="s">
        <v>85</v>
      </c>
      <c r="V30">
        <v>5</v>
      </c>
    </row>
    <row r="31" spans="1:22">
      <c r="A31" t="s">
        <v>257</v>
      </c>
      <c r="B31" s="3">
        <v>45317</v>
      </c>
      <c r="C31" s="3">
        <v>45318</v>
      </c>
      <c r="D31" t="s">
        <v>258</v>
      </c>
      <c r="E31" t="s">
        <v>259</v>
      </c>
      <c r="F31" t="s">
        <v>152</v>
      </c>
      <c r="G31" t="s">
        <v>194</v>
      </c>
      <c r="H31" t="s">
        <v>225</v>
      </c>
      <c r="I31" t="s">
        <v>226</v>
      </c>
      <c r="J31" t="s">
        <v>78</v>
      </c>
      <c r="K31" t="s">
        <v>90</v>
      </c>
      <c r="L31" t="s">
        <v>249</v>
      </c>
      <c r="M31" t="s">
        <v>250</v>
      </c>
      <c r="N31" t="s">
        <v>103</v>
      </c>
      <c r="O31" t="s">
        <v>251</v>
      </c>
      <c r="P31">
        <v>5</v>
      </c>
      <c r="Q31" s="4">
        <v>21.09</v>
      </c>
      <c r="R31" s="5">
        <v>0.18</v>
      </c>
      <c r="S31" s="4">
        <v>13.01</v>
      </c>
      <c r="T31" t="s">
        <v>122</v>
      </c>
      <c r="U31" t="s">
        <v>85</v>
      </c>
      <c r="V31">
        <v>4</v>
      </c>
    </row>
    <row r="32" spans="1:22">
      <c r="A32" t="s">
        <v>260</v>
      </c>
      <c r="B32" s="3">
        <v>45317</v>
      </c>
      <c r="C32" s="3">
        <v>45326</v>
      </c>
      <c r="D32" t="s">
        <v>158</v>
      </c>
      <c r="E32" t="s">
        <v>159</v>
      </c>
      <c r="F32" t="s">
        <v>89</v>
      </c>
      <c r="G32" t="s">
        <v>126</v>
      </c>
      <c r="H32" t="s">
        <v>160</v>
      </c>
      <c r="I32" t="s">
        <v>161</v>
      </c>
      <c r="J32" t="s">
        <v>219</v>
      </c>
      <c r="K32" t="s">
        <v>100</v>
      </c>
      <c r="L32" t="s">
        <v>261</v>
      </c>
      <c r="M32" t="s">
        <v>262</v>
      </c>
      <c r="N32" t="s">
        <v>103</v>
      </c>
      <c r="O32" t="s">
        <v>104</v>
      </c>
      <c r="P32">
        <v>6</v>
      </c>
      <c r="Q32" s="4">
        <v>25.54</v>
      </c>
      <c r="R32" s="5">
        <v>0.02</v>
      </c>
      <c r="S32" s="4">
        <v>10.58</v>
      </c>
      <c r="T32" t="s">
        <v>84</v>
      </c>
      <c r="U32" t="s">
        <v>85</v>
      </c>
      <c r="V32">
        <v>2</v>
      </c>
    </row>
    <row r="33" spans="1:22">
      <c r="A33" t="s">
        <v>263</v>
      </c>
      <c r="B33" s="3">
        <v>45318</v>
      </c>
      <c r="C33" s="3">
        <v>45328</v>
      </c>
      <c r="D33" t="s">
        <v>264</v>
      </c>
      <c r="E33" t="s">
        <v>265</v>
      </c>
      <c r="F33" t="s">
        <v>74</v>
      </c>
      <c r="G33" t="s">
        <v>194</v>
      </c>
      <c r="H33" t="s">
        <v>230</v>
      </c>
      <c r="I33" t="s">
        <v>231</v>
      </c>
      <c r="J33" t="s">
        <v>109</v>
      </c>
      <c r="K33" t="s">
        <v>79</v>
      </c>
      <c r="L33" t="s">
        <v>214</v>
      </c>
      <c r="M33" t="s">
        <v>215</v>
      </c>
      <c r="N33" t="s">
        <v>103</v>
      </c>
      <c r="O33" t="s">
        <v>171</v>
      </c>
      <c r="P33">
        <v>6</v>
      </c>
      <c r="Q33" s="4">
        <v>12.12</v>
      </c>
      <c r="R33" s="5">
        <v>0.09</v>
      </c>
      <c r="S33" s="4">
        <v>12.91</v>
      </c>
      <c r="T33" t="s">
        <v>122</v>
      </c>
      <c r="U33" t="s">
        <v>85</v>
      </c>
      <c r="V33">
        <v>3</v>
      </c>
    </row>
    <row r="34" spans="1:22">
      <c r="A34" t="s">
        <v>266</v>
      </c>
      <c r="B34" s="3">
        <v>45320</v>
      </c>
      <c r="C34" s="3">
        <v>45324</v>
      </c>
      <c r="D34" t="s">
        <v>184</v>
      </c>
      <c r="E34" t="s">
        <v>185</v>
      </c>
      <c r="F34" t="s">
        <v>74</v>
      </c>
      <c r="G34" t="s">
        <v>138</v>
      </c>
      <c r="H34" t="s">
        <v>186</v>
      </c>
      <c r="I34" t="s">
        <v>187</v>
      </c>
      <c r="J34" t="s">
        <v>78</v>
      </c>
      <c r="K34" t="s">
        <v>79</v>
      </c>
      <c r="L34" t="s">
        <v>110</v>
      </c>
      <c r="M34" t="s">
        <v>111</v>
      </c>
      <c r="N34" t="s">
        <v>82</v>
      </c>
      <c r="O34" t="s">
        <v>112</v>
      </c>
      <c r="P34">
        <v>1</v>
      </c>
      <c r="Q34" s="4">
        <v>330.5</v>
      </c>
      <c r="R34" s="5">
        <v>0.12</v>
      </c>
      <c r="S34" s="4">
        <v>7.7</v>
      </c>
      <c r="T34" t="s">
        <v>105</v>
      </c>
      <c r="U34" t="s">
        <v>85</v>
      </c>
      <c r="V34">
        <v>2</v>
      </c>
    </row>
    <row r="35" spans="1:22">
      <c r="A35" t="s">
        <v>267</v>
      </c>
      <c r="B35" s="3">
        <v>45320</v>
      </c>
      <c r="C35" s="3">
        <v>45327</v>
      </c>
      <c r="D35" t="s">
        <v>268</v>
      </c>
      <c r="E35" t="s">
        <v>269</v>
      </c>
      <c r="F35" t="s">
        <v>74</v>
      </c>
      <c r="G35" t="s">
        <v>75</v>
      </c>
      <c r="H35" t="s">
        <v>212</v>
      </c>
      <c r="I35" t="s">
        <v>213</v>
      </c>
      <c r="J35" t="s">
        <v>129</v>
      </c>
      <c r="K35" t="s">
        <v>147</v>
      </c>
      <c r="L35" t="s">
        <v>162</v>
      </c>
      <c r="M35" t="s">
        <v>163</v>
      </c>
      <c r="N35" t="s">
        <v>120</v>
      </c>
      <c r="O35" t="s">
        <v>164</v>
      </c>
      <c r="P35">
        <v>1</v>
      </c>
      <c r="Q35" s="4">
        <v>933.13</v>
      </c>
      <c r="R35" s="5">
        <v>0.03</v>
      </c>
      <c r="S35" s="4">
        <v>17.010000000000002</v>
      </c>
      <c r="T35" t="s">
        <v>122</v>
      </c>
      <c r="U35" t="s">
        <v>85</v>
      </c>
      <c r="V35">
        <v>4</v>
      </c>
    </row>
    <row r="36" spans="1:22">
      <c r="A36" t="s">
        <v>270</v>
      </c>
      <c r="B36" s="3">
        <v>45321</v>
      </c>
      <c r="C36" s="3">
        <v>45330</v>
      </c>
      <c r="D36" t="s">
        <v>271</v>
      </c>
      <c r="E36" t="s">
        <v>272</v>
      </c>
      <c r="F36" t="s">
        <v>89</v>
      </c>
      <c r="G36" t="s">
        <v>75</v>
      </c>
      <c r="H36" t="s">
        <v>273</v>
      </c>
      <c r="I36" t="s">
        <v>274</v>
      </c>
      <c r="J36" t="s">
        <v>129</v>
      </c>
      <c r="K36" t="s">
        <v>90</v>
      </c>
      <c r="L36" t="s">
        <v>249</v>
      </c>
      <c r="M36" t="s">
        <v>250</v>
      </c>
      <c r="N36" t="s">
        <v>103</v>
      </c>
      <c r="O36" t="s">
        <v>251</v>
      </c>
      <c r="P36">
        <v>1</v>
      </c>
      <c r="Q36" s="4">
        <v>22.39</v>
      </c>
      <c r="R36" s="5">
        <v>7.0000000000000007E-2</v>
      </c>
      <c r="S36" s="4">
        <v>14.64</v>
      </c>
      <c r="T36" t="s">
        <v>84</v>
      </c>
      <c r="U36" t="s">
        <v>85</v>
      </c>
    </row>
    <row r="37" spans="1:22">
      <c r="A37" t="s">
        <v>275</v>
      </c>
      <c r="B37" s="3">
        <v>45322</v>
      </c>
      <c r="C37" s="3">
        <v>45323</v>
      </c>
      <c r="D37" t="s">
        <v>276</v>
      </c>
      <c r="E37" t="s">
        <v>277</v>
      </c>
      <c r="F37" t="s">
        <v>152</v>
      </c>
      <c r="G37" t="s">
        <v>75</v>
      </c>
      <c r="H37" t="s">
        <v>212</v>
      </c>
      <c r="I37" t="s">
        <v>213</v>
      </c>
      <c r="J37" t="s">
        <v>219</v>
      </c>
      <c r="K37" t="s">
        <v>147</v>
      </c>
      <c r="L37" t="s">
        <v>242</v>
      </c>
      <c r="M37" t="s">
        <v>243</v>
      </c>
      <c r="N37" t="s">
        <v>120</v>
      </c>
      <c r="O37" t="s">
        <v>133</v>
      </c>
      <c r="P37">
        <v>3</v>
      </c>
      <c r="Q37" s="4">
        <v>189.23</v>
      </c>
      <c r="R37" s="5">
        <v>0.06</v>
      </c>
      <c r="S37" s="4">
        <v>5.29</v>
      </c>
      <c r="T37" t="s">
        <v>105</v>
      </c>
      <c r="U37" t="s">
        <v>85</v>
      </c>
      <c r="V37">
        <v>1</v>
      </c>
    </row>
    <row r="38" spans="1:22">
      <c r="A38" t="s">
        <v>278</v>
      </c>
      <c r="B38" s="3">
        <v>45322</v>
      </c>
      <c r="C38" s="3">
        <v>45339</v>
      </c>
      <c r="D38" t="s">
        <v>279</v>
      </c>
      <c r="E38" t="s">
        <v>280</v>
      </c>
      <c r="F38" t="s">
        <v>89</v>
      </c>
      <c r="G38" t="s">
        <v>126</v>
      </c>
      <c r="H38" t="s">
        <v>160</v>
      </c>
      <c r="I38" t="s">
        <v>182</v>
      </c>
      <c r="J38" t="s">
        <v>109</v>
      </c>
      <c r="K38" t="s">
        <v>130</v>
      </c>
      <c r="L38" t="s">
        <v>155</v>
      </c>
      <c r="M38" t="s">
        <v>156</v>
      </c>
      <c r="N38" t="s">
        <v>82</v>
      </c>
      <c r="O38" t="s">
        <v>112</v>
      </c>
      <c r="P38">
        <v>10</v>
      </c>
      <c r="Q38" s="4">
        <v>172.82</v>
      </c>
      <c r="R38" s="5">
        <v>0.11</v>
      </c>
      <c r="S38" s="4">
        <v>12.65</v>
      </c>
      <c r="T38" t="s">
        <v>84</v>
      </c>
      <c r="U38" t="s">
        <v>85</v>
      </c>
      <c r="V38">
        <v>2</v>
      </c>
    </row>
    <row r="39" spans="1:22">
      <c r="A39" t="s">
        <v>281</v>
      </c>
      <c r="B39" s="3">
        <v>45324</v>
      </c>
      <c r="C39" s="3">
        <v>45331</v>
      </c>
      <c r="D39" t="s">
        <v>282</v>
      </c>
      <c r="E39" t="s">
        <v>283</v>
      </c>
      <c r="F39" t="s">
        <v>89</v>
      </c>
      <c r="G39" t="s">
        <v>75</v>
      </c>
      <c r="H39" t="s">
        <v>273</v>
      </c>
      <c r="I39" t="s">
        <v>274</v>
      </c>
      <c r="J39" t="s">
        <v>219</v>
      </c>
      <c r="K39" t="s">
        <v>168</v>
      </c>
      <c r="L39" t="s">
        <v>284</v>
      </c>
      <c r="M39" t="s">
        <v>285</v>
      </c>
      <c r="N39" t="s">
        <v>103</v>
      </c>
      <c r="O39" t="s">
        <v>143</v>
      </c>
      <c r="P39">
        <v>5</v>
      </c>
      <c r="Q39" s="4">
        <v>29.23</v>
      </c>
      <c r="R39" s="5">
        <v>7.0000000000000007E-2</v>
      </c>
      <c r="S39" s="4">
        <v>11.54</v>
      </c>
      <c r="T39" t="s">
        <v>84</v>
      </c>
      <c r="U39" t="s">
        <v>85</v>
      </c>
      <c r="V39">
        <v>5</v>
      </c>
    </row>
    <row r="40" spans="1:22">
      <c r="A40" t="s">
        <v>286</v>
      </c>
      <c r="B40" s="3">
        <v>45325</v>
      </c>
      <c r="C40" s="3">
        <v>45326</v>
      </c>
      <c r="D40" t="s">
        <v>287</v>
      </c>
      <c r="E40" t="s">
        <v>146</v>
      </c>
      <c r="F40" t="s">
        <v>89</v>
      </c>
      <c r="G40" t="s">
        <v>194</v>
      </c>
      <c r="H40" t="s">
        <v>195</v>
      </c>
      <c r="I40" t="s">
        <v>196</v>
      </c>
      <c r="J40" t="s">
        <v>109</v>
      </c>
      <c r="K40" t="s">
        <v>100</v>
      </c>
      <c r="L40" t="s">
        <v>118</v>
      </c>
      <c r="M40" t="s">
        <v>119</v>
      </c>
      <c r="N40" t="s">
        <v>120</v>
      </c>
      <c r="O40" t="s">
        <v>121</v>
      </c>
      <c r="P40">
        <v>3</v>
      </c>
      <c r="Q40" s="4">
        <v>282.02999999999997</v>
      </c>
      <c r="R40" s="5">
        <v>0.08</v>
      </c>
      <c r="S40" s="4">
        <v>11.74</v>
      </c>
      <c r="T40" t="s">
        <v>84</v>
      </c>
      <c r="U40" t="s">
        <v>85</v>
      </c>
    </row>
    <row r="41" spans="1:22">
      <c r="A41" t="s">
        <v>288</v>
      </c>
      <c r="B41" s="3">
        <v>45326</v>
      </c>
      <c r="C41" s="3">
        <v>45329</v>
      </c>
      <c r="D41" t="s">
        <v>289</v>
      </c>
      <c r="E41" t="s">
        <v>290</v>
      </c>
      <c r="F41" t="s">
        <v>74</v>
      </c>
      <c r="G41" t="s">
        <v>126</v>
      </c>
      <c r="H41" t="s">
        <v>291</v>
      </c>
      <c r="I41" t="s">
        <v>292</v>
      </c>
      <c r="J41" t="s">
        <v>109</v>
      </c>
      <c r="K41" t="s">
        <v>79</v>
      </c>
      <c r="L41" t="s">
        <v>284</v>
      </c>
      <c r="M41" t="s">
        <v>285</v>
      </c>
      <c r="N41" t="s">
        <v>103</v>
      </c>
      <c r="O41" t="s">
        <v>143</v>
      </c>
      <c r="P41">
        <v>4</v>
      </c>
      <c r="Q41" s="4">
        <v>28.74</v>
      </c>
      <c r="R41" s="5">
        <v>0.3</v>
      </c>
      <c r="S41" s="4">
        <v>13.61</v>
      </c>
      <c r="T41" t="s">
        <v>84</v>
      </c>
      <c r="U41" t="s">
        <v>85</v>
      </c>
      <c r="V41">
        <v>3</v>
      </c>
    </row>
    <row r="42" spans="1:22">
      <c r="A42" t="s">
        <v>293</v>
      </c>
      <c r="B42" s="3">
        <v>45329</v>
      </c>
      <c r="C42" s="3">
        <v>45330</v>
      </c>
      <c r="D42" t="s">
        <v>294</v>
      </c>
      <c r="E42" t="s">
        <v>146</v>
      </c>
      <c r="F42" t="s">
        <v>152</v>
      </c>
      <c r="G42" t="s">
        <v>194</v>
      </c>
      <c r="H42" t="s">
        <v>225</v>
      </c>
      <c r="I42" t="s">
        <v>226</v>
      </c>
      <c r="J42" t="s">
        <v>78</v>
      </c>
      <c r="K42" t="s">
        <v>100</v>
      </c>
      <c r="L42" t="s">
        <v>249</v>
      </c>
      <c r="M42" t="s">
        <v>250</v>
      </c>
      <c r="N42" t="s">
        <v>103</v>
      </c>
      <c r="O42" t="s">
        <v>251</v>
      </c>
      <c r="P42">
        <v>6</v>
      </c>
      <c r="Q42" s="4">
        <v>20.97</v>
      </c>
      <c r="R42" s="5">
        <v>0.09</v>
      </c>
      <c r="S42" s="4">
        <v>11.4</v>
      </c>
      <c r="T42" t="s">
        <v>122</v>
      </c>
      <c r="U42" t="s">
        <v>85</v>
      </c>
      <c r="V42">
        <v>3</v>
      </c>
    </row>
    <row r="43" spans="1:22">
      <c r="A43" t="s">
        <v>295</v>
      </c>
      <c r="B43" s="3">
        <v>45329</v>
      </c>
      <c r="C43" s="3">
        <v>45337</v>
      </c>
      <c r="D43" t="s">
        <v>282</v>
      </c>
      <c r="E43" t="s">
        <v>283</v>
      </c>
      <c r="F43" t="s">
        <v>89</v>
      </c>
      <c r="G43" t="s">
        <v>75</v>
      </c>
      <c r="H43" t="s">
        <v>273</v>
      </c>
      <c r="I43" t="s">
        <v>274</v>
      </c>
      <c r="J43" t="s">
        <v>78</v>
      </c>
      <c r="K43" t="s">
        <v>90</v>
      </c>
      <c r="L43" t="s">
        <v>242</v>
      </c>
      <c r="M43" t="s">
        <v>243</v>
      </c>
      <c r="N43" t="s">
        <v>120</v>
      </c>
      <c r="O43" t="s">
        <v>133</v>
      </c>
      <c r="P43">
        <v>4</v>
      </c>
      <c r="Q43" s="4">
        <v>185.14</v>
      </c>
      <c r="R43" s="5">
        <v>0.09</v>
      </c>
      <c r="S43" s="4">
        <v>12.24</v>
      </c>
      <c r="T43" t="s">
        <v>122</v>
      </c>
      <c r="U43" t="s">
        <v>85</v>
      </c>
      <c r="V43">
        <v>2</v>
      </c>
    </row>
    <row r="44" spans="1:22">
      <c r="A44" t="s">
        <v>296</v>
      </c>
      <c r="B44" s="3">
        <v>45329</v>
      </c>
      <c r="C44" s="3">
        <v>45333</v>
      </c>
      <c r="D44" t="s">
        <v>297</v>
      </c>
      <c r="E44" t="s">
        <v>298</v>
      </c>
      <c r="F44" t="s">
        <v>74</v>
      </c>
      <c r="G44" t="s">
        <v>126</v>
      </c>
      <c r="H44" t="s">
        <v>291</v>
      </c>
      <c r="I44" t="s">
        <v>292</v>
      </c>
      <c r="J44" t="s">
        <v>219</v>
      </c>
      <c r="K44" t="s">
        <v>168</v>
      </c>
      <c r="L44" t="s">
        <v>214</v>
      </c>
      <c r="M44" t="s">
        <v>215</v>
      </c>
      <c r="N44" t="s">
        <v>103</v>
      </c>
      <c r="O44" t="s">
        <v>171</v>
      </c>
      <c r="P44">
        <v>10</v>
      </c>
      <c r="Q44" s="4">
        <v>12.69</v>
      </c>
      <c r="R44" s="5">
        <v>0.05</v>
      </c>
      <c r="S44" s="4">
        <v>15.4</v>
      </c>
      <c r="T44" t="s">
        <v>134</v>
      </c>
      <c r="U44" t="s">
        <v>85</v>
      </c>
      <c r="V44">
        <v>2</v>
      </c>
    </row>
    <row r="45" spans="1:22">
      <c r="A45" t="s">
        <v>299</v>
      </c>
      <c r="B45" s="3">
        <v>45331</v>
      </c>
      <c r="C45" s="3">
        <v>45334</v>
      </c>
      <c r="D45" t="s">
        <v>300</v>
      </c>
      <c r="E45" t="s">
        <v>151</v>
      </c>
      <c r="F45" t="s">
        <v>152</v>
      </c>
      <c r="G45" t="s">
        <v>75</v>
      </c>
      <c r="H45" t="s">
        <v>98</v>
      </c>
      <c r="I45" t="s">
        <v>99</v>
      </c>
      <c r="J45" t="s">
        <v>129</v>
      </c>
      <c r="K45" t="s">
        <v>100</v>
      </c>
      <c r="L45" t="s">
        <v>301</v>
      </c>
      <c r="M45" t="s">
        <v>302</v>
      </c>
      <c r="N45" t="s">
        <v>120</v>
      </c>
      <c r="O45" t="s">
        <v>190</v>
      </c>
      <c r="P45">
        <v>3</v>
      </c>
      <c r="Q45" s="4">
        <v>132.36000000000001</v>
      </c>
      <c r="R45" s="5">
        <v>0.06</v>
      </c>
      <c r="S45" s="4">
        <v>11.25</v>
      </c>
      <c r="T45" t="s">
        <v>84</v>
      </c>
      <c r="U45" t="s">
        <v>85</v>
      </c>
      <c r="V45">
        <v>1</v>
      </c>
    </row>
    <row r="46" spans="1:22">
      <c r="A46" t="s">
        <v>303</v>
      </c>
      <c r="B46" s="3">
        <v>45331</v>
      </c>
      <c r="C46" s="3">
        <v>45332</v>
      </c>
      <c r="D46" t="s">
        <v>205</v>
      </c>
      <c r="E46" t="s">
        <v>206</v>
      </c>
      <c r="F46" t="s">
        <v>74</v>
      </c>
      <c r="G46" t="s">
        <v>194</v>
      </c>
      <c r="H46" t="s">
        <v>202</v>
      </c>
      <c r="I46" t="s">
        <v>203</v>
      </c>
      <c r="J46" t="s">
        <v>78</v>
      </c>
      <c r="K46" t="s">
        <v>100</v>
      </c>
      <c r="L46" t="s">
        <v>234</v>
      </c>
      <c r="M46" t="s">
        <v>235</v>
      </c>
      <c r="N46" t="s">
        <v>93</v>
      </c>
      <c r="O46" t="s">
        <v>236</v>
      </c>
      <c r="P46">
        <v>2</v>
      </c>
      <c r="Q46" s="4">
        <v>151.59</v>
      </c>
      <c r="R46" s="5">
        <v>0.08</v>
      </c>
      <c r="S46" s="4">
        <v>29.7</v>
      </c>
      <c r="T46" t="s">
        <v>134</v>
      </c>
      <c r="U46" t="s">
        <v>85</v>
      </c>
      <c r="V46">
        <v>3</v>
      </c>
    </row>
    <row r="47" spans="1:22">
      <c r="A47" t="s">
        <v>304</v>
      </c>
      <c r="B47" s="3">
        <v>45332</v>
      </c>
      <c r="C47" s="3">
        <v>45339</v>
      </c>
      <c r="D47" t="s">
        <v>305</v>
      </c>
      <c r="E47" t="s">
        <v>306</v>
      </c>
      <c r="F47" t="s">
        <v>152</v>
      </c>
      <c r="G47" t="s">
        <v>138</v>
      </c>
      <c r="H47" t="s">
        <v>186</v>
      </c>
      <c r="I47" t="s">
        <v>187</v>
      </c>
      <c r="J47" t="s">
        <v>109</v>
      </c>
      <c r="K47" t="s">
        <v>130</v>
      </c>
      <c r="L47" t="s">
        <v>80</v>
      </c>
      <c r="M47" t="s">
        <v>81</v>
      </c>
      <c r="N47" t="s">
        <v>82</v>
      </c>
      <c r="O47" t="s">
        <v>83</v>
      </c>
      <c r="P47">
        <v>10</v>
      </c>
      <c r="Q47" s="4">
        <v>228.33</v>
      </c>
      <c r="R47" s="5">
        <v>0.08</v>
      </c>
      <c r="S47" s="4">
        <v>7.56</v>
      </c>
      <c r="T47" t="s">
        <v>134</v>
      </c>
      <c r="U47" t="s">
        <v>85</v>
      </c>
    </row>
    <row r="48" spans="1:22">
      <c r="A48" t="s">
        <v>307</v>
      </c>
      <c r="B48" s="3">
        <v>45334</v>
      </c>
      <c r="C48" s="3">
        <v>45342</v>
      </c>
      <c r="D48" t="s">
        <v>276</v>
      </c>
      <c r="E48" t="s">
        <v>277</v>
      </c>
      <c r="F48" t="s">
        <v>152</v>
      </c>
      <c r="G48" t="s">
        <v>75</v>
      </c>
      <c r="H48" t="s">
        <v>212</v>
      </c>
      <c r="I48" t="s">
        <v>213</v>
      </c>
      <c r="J48" t="s">
        <v>78</v>
      </c>
      <c r="K48" t="s">
        <v>79</v>
      </c>
      <c r="L48" t="s">
        <v>301</v>
      </c>
      <c r="M48" t="s">
        <v>302</v>
      </c>
      <c r="N48" t="s">
        <v>120</v>
      </c>
      <c r="O48" t="s">
        <v>190</v>
      </c>
      <c r="P48">
        <v>3</v>
      </c>
      <c r="Q48" s="4">
        <v>133.84</v>
      </c>
      <c r="R48" s="5">
        <v>0.04</v>
      </c>
      <c r="S48" s="4">
        <v>20.59</v>
      </c>
      <c r="T48" t="s">
        <v>122</v>
      </c>
      <c r="U48" t="s">
        <v>85</v>
      </c>
    </row>
    <row r="49" spans="1:22">
      <c r="A49" t="s">
        <v>308</v>
      </c>
      <c r="B49" s="3">
        <v>45334</v>
      </c>
      <c r="C49" s="3">
        <v>45343</v>
      </c>
      <c r="D49" t="s">
        <v>309</v>
      </c>
      <c r="E49" t="s">
        <v>310</v>
      </c>
      <c r="F49" t="s">
        <v>89</v>
      </c>
      <c r="G49" t="s">
        <v>75</v>
      </c>
      <c r="H49" t="s">
        <v>76</v>
      </c>
      <c r="I49" t="s">
        <v>77</v>
      </c>
      <c r="J49" t="s">
        <v>109</v>
      </c>
      <c r="K49" t="s">
        <v>79</v>
      </c>
      <c r="L49" t="s">
        <v>188</v>
      </c>
      <c r="M49" t="s">
        <v>189</v>
      </c>
      <c r="N49" t="s">
        <v>120</v>
      </c>
      <c r="O49" t="s">
        <v>190</v>
      </c>
      <c r="P49">
        <v>1</v>
      </c>
      <c r="Q49" s="4">
        <v>60.19</v>
      </c>
      <c r="R49" s="5">
        <v>0.06</v>
      </c>
      <c r="S49" s="4">
        <v>10.42</v>
      </c>
      <c r="T49" t="s">
        <v>122</v>
      </c>
      <c r="U49" t="s">
        <v>85</v>
      </c>
      <c r="V49">
        <v>2</v>
      </c>
    </row>
    <row r="50" spans="1:22">
      <c r="A50" t="s">
        <v>311</v>
      </c>
      <c r="B50" s="3">
        <v>45335</v>
      </c>
      <c r="C50" s="3">
        <v>45340</v>
      </c>
      <c r="D50" t="s">
        <v>312</v>
      </c>
      <c r="E50" t="s">
        <v>313</v>
      </c>
      <c r="F50" t="s">
        <v>74</v>
      </c>
      <c r="G50" t="s">
        <v>194</v>
      </c>
      <c r="H50" t="s">
        <v>225</v>
      </c>
      <c r="I50" t="s">
        <v>226</v>
      </c>
      <c r="J50" t="s">
        <v>129</v>
      </c>
      <c r="K50" t="s">
        <v>130</v>
      </c>
      <c r="L50" t="s">
        <v>169</v>
      </c>
      <c r="M50" t="s">
        <v>170</v>
      </c>
      <c r="N50" t="s">
        <v>103</v>
      </c>
      <c r="O50" t="s">
        <v>171</v>
      </c>
      <c r="P50">
        <v>1</v>
      </c>
      <c r="Q50" s="4">
        <v>15.29</v>
      </c>
      <c r="R50" s="5">
        <v>0.08</v>
      </c>
      <c r="S50" s="4">
        <v>10.14</v>
      </c>
      <c r="T50" t="s">
        <v>122</v>
      </c>
      <c r="U50" t="s">
        <v>148</v>
      </c>
      <c r="V50">
        <v>4</v>
      </c>
    </row>
    <row r="51" spans="1:22">
      <c r="A51" t="s">
        <v>314</v>
      </c>
      <c r="B51" s="3">
        <v>45335</v>
      </c>
      <c r="C51" s="3">
        <v>45336</v>
      </c>
      <c r="D51" t="s">
        <v>315</v>
      </c>
      <c r="E51" t="s">
        <v>316</v>
      </c>
      <c r="F51" t="s">
        <v>89</v>
      </c>
      <c r="G51" t="s">
        <v>75</v>
      </c>
      <c r="H51" t="s">
        <v>273</v>
      </c>
      <c r="I51" t="s">
        <v>274</v>
      </c>
      <c r="J51" t="s">
        <v>219</v>
      </c>
      <c r="K51" t="s">
        <v>130</v>
      </c>
      <c r="L51" t="s">
        <v>242</v>
      </c>
      <c r="M51" t="s">
        <v>243</v>
      </c>
      <c r="N51" t="s">
        <v>120</v>
      </c>
      <c r="O51" t="s">
        <v>133</v>
      </c>
      <c r="P51">
        <v>2</v>
      </c>
      <c r="Q51" s="4">
        <v>184.7</v>
      </c>
      <c r="R51" s="5">
        <v>0.32</v>
      </c>
      <c r="S51" s="4">
        <v>6.33</v>
      </c>
      <c r="T51" t="s">
        <v>134</v>
      </c>
      <c r="U51" t="s">
        <v>85</v>
      </c>
      <c r="V51">
        <v>4</v>
      </c>
    </row>
    <row r="52" spans="1:22">
      <c r="A52" t="s">
        <v>317</v>
      </c>
      <c r="B52" s="3">
        <v>45337</v>
      </c>
      <c r="C52" s="3">
        <v>45345</v>
      </c>
      <c r="D52" t="s">
        <v>248</v>
      </c>
      <c r="E52" t="s">
        <v>137</v>
      </c>
      <c r="F52" t="s">
        <v>74</v>
      </c>
      <c r="G52" t="s">
        <v>75</v>
      </c>
      <c r="H52" t="s">
        <v>98</v>
      </c>
      <c r="I52" t="s">
        <v>99</v>
      </c>
      <c r="J52" t="s">
        <v>109</v>
      </c>
      <c r="K52" t="s">
        <v>130</v>
      </c>
      <c r="L52" t="s">
        <v>118</v>
      </c>
      <c r="M52" t="s">
        <v>119</v>
      </c>
      <c r="N52" t="s">
        <v>120</v>
      </c>
      <c r="O52" t="s">
        <v>121</v>
      </c>
      <c r="P52">
        <v>3</v>
      </c>
      <c r="Q52" s="4">
        <v>297.42</v>
      </c>
      <c r="R52" s="5">
        <v>0.06</v>
      </c>
      <c r="S52" s="4">
        <v>8.17</v>
      </c>
      <c r="T52" t="s">
        <v>84</v>
      </c>
      <c r="U52" t="s">
        <v>148</v>
      </c>
      <c r="V52">
        <v>1</v>
      </c>
    </row>
    <row r="53" spans="1:22">
      <c r="A53" t="s">
        <v>318</v>
      </c>
      <c r="B53" s="3">
        <v>45338</v>
      </c>
      <c r="C53" s="3">
        <v>45348</v>
      </c>
      <c r="D53" t="s">
        <v>319</v>
      </c>
      <c r="E53" t="s">
        <v>320</v>
      </c>
      <c r="F53" t="s">
        <v>152</v>
      </c>
      <c r="G53" t="s">
        <v>75</v>
      </c>
      <c r="H53" t="s">
        <v>212</v>
      </c>
      <c r="I53" t="s">
        <v>213</v>
      </c>
      <c r="J53" t="s">
        <v>78</v>
      </c>
      <c r="K53" t="s">
        <v>90</v>
      </c>
      <c r="L53" t="s">
        <v>301</v>
      </c>
      <c r="M53" t="s">
        <v>302</v>
      </c>
      <c r="N53" t="s">
        <v>120</v>
      </c>
      <c r="O53" t="s">
        <v>190</v>
      </c>
      <c r="P53">
        <v>1</v>
      </c>
      <c r="Q53" s="4">
        <v>141.49</v>
      </c>
      <c r="R53" s="5">
        <v>0.1</v>
      </c>
      <c r="S53" s="4">
        <v>9.4700000000000006</v>
      </c>
      <c r="T53" t="s">
        <v>84</v>
      </c>
      <c r="U53" t="s">
        <v>85</v>
      </c>
      <c r="V53">
        <v>5</v>
      </c>
    </row>
    <row r="54" spans="1:22">
      <c r="A54" t="s">
        <v>321</v>
      </c>
      <c r="B54" s="3">
        <v>45338</v>
      </c>
      <c r="C54" s="3">
        <v>45344</v>
      </c>
      <c r="D54" t="s">
        <v>322</v>
      </c>
      <c r="E54" t="s">
        <v>323</v>
      </c>
      <c r="F54" t="s">
        <v>74</v>
      </c>
      <c r="G54" t="s">
        <v>194</v>
      </c>
      <c r="H54" t="s">
        <v>240</v>
      </c>
      <c r="I54" t="s">
        <v>241</v>
      </c>
      <c r="J54" t="s">
        <v>78</v>
      </c>
      <c r="K54" t="s">
        <v>100</v>
      </c>
      <c r="L54" t="s">
        <v>214</v>
      </c>
      <c r="M54" t="s">
        <v>215</v>
      </c>
      <c r="N54" t="s">
        <v>103</v>
      </c>
      <c r="O54" t="s">
        <v>171</v>
      </c>
      <c r="P54">
        <v>1</v>
      </c>
      <c r="Q54" s="4">
        <v>12.02</v>
      </c>
      <c r="R54" s="5">
        <v>0.03</v>
      </c>
      <c r="S54" s="4">
        <v>12.66</v>
      </c>
      <c r="T54" t="s">
        <v>134</v>
      </c>
      <c r="U54" t="s">
        <v>85</v>
      </c>
      <c r="V54">
        <v>1</v>
      </c>
    </row>
    <row r="55" spans="1:22">
      <c r="A55" t="s">
        <v>324</v>
      </c>
      <c r="B55" s="3">
        <v>45339</v>
      </c>
      <c r="C55" s="3">
        <v>45348</v>
      </c>
      <c r="D55" t="s">
        <v>325</v>
      </c>
      <c r="E55" t="s">
        <v>326</v>
      </c>
      <c r="F55" t="s">
        <v>74</v>
      </c>
      <c r="G55" t="s">
        <v>75</v>
      </c>
      <c r="H55" t="s">
        <v>273</v>
      </c>
      <c r="I55" t="s">
        <v>274</v>
      </c>
      <c r="J55" t="s">
        <v>78</v>
      </c>
      <c r="K55" t="s">
        <v>168</v>
      </c>
      <c r="L55" t="s">
        <v>169</v>
      </c>
      <c r="M55" t="s">
        <v>170</v>
      </c>
      <c r="N55" t="s">
        <v>103</v>
      </c>
      <c r="O55" t="s">
        <v>171</v>
      </c>
      <c r="P55">
        <v>8</v>
      </c>
      <c r="Q55" s="4">
        <v>14.43</v>
      </c>
      <c r="R55" s="5">
        <v>0.04</v>
      </c>
      <c r="S55" s="4">
        <v>7.61</v>
      </c>
      <c r="T55" t="s">
        <v>84</v>
      </c>
      <c r="U55" t="s">
        <v>85</v>
      </c>
      <c r="V55">
        <v>4</v>
      </c>
    </row>
    <row r="56" spans="1:22">
      <c r="A56" t="s">
        <v>327</v>
      </c>
      <c r="B56" s="3">
        <v>45342</v>
      </c>
      <c r="C56" s="3">
        <v>45353</v>
      </c>
      <c r="D56" t="s">
        <v>328</v>
      </c>
      <c r="E56" t="s">
        <v>329</v>
      </c>
      <c r="F56" t="s">
        <v>89</v>
      </c>
      <c r="G56" t="s">
        <v>75</v>
      </c>
      <c r="H56" t="s">
        <v>116</v>
      </c>
      <c r="I56" t="s">
        <v>117</v>
      </c>
      <c r="J56" t="s">
        <v>129</v>
      </c>
      <c r="K56" t="s">
        <v>130</v>
      </c>
      <c r="L56" t="s">
        <v>101</v>
      </c>
      <c r="M56" t="s">
        <v>102</v>
      </c>
      <c r="N56" t="s">
        <v>103</v>
      </c>
      <c r="O56" t="s">
        <v>104</v>
      </c>
      <c r="P56">
        <v>10</v>
      </c>
      <c r="Q56" s="4">
        <v>70.91</v>
      </c>
      <c r="R56" s="5">
        <v>0.05</v>
      </c>
      <c r="S56" s="4">
        <v>7.36</v>
      </c>
      <c r="T56" t="s">
        <v>105</v>
      </c>
      <c r="U56" t="s">
        <v>85</v>
      </c>
    </row>
    <row r="57" spans="1:22">
      <c r="A57" t="s">
        <v>330</v>
      </c>
      <c r="B57" s="3">
        <v>45344</v>
      </c>
      <c r="C57" s="3">
        <v>45349</v>
      </c>
      <c r="D57" t="s">
        <v>124</v>
      </c>
      <c r="E57" t="s">
        <v>125</v>
      </c>
      <c r="F57" t="s">
        <v>74</v>
      </c>
      <c r="G57" t="s">
        <v>126</v>
      </c>
      <c r="H57" t="s">
        <v>127</v>
      </c>
      <c r="I57" t="s">
        <v>128</v>
      </c>
      <c r="J57" t="s">
        <v>219</v>
      </c>
      <c r="K57" t="s">
        <v>168</v>
      </c>
      <c r="L57" t="s">
        <v>110</v>
      </c>
      <c r="M57" t="s">
        <v>111</v>
      </c>
      <c r="N57" t="s">
        <v>82</v>
      </c>
      <c r="O57" t="s">
        <v>112</v>
      </c>
      <c r="P57">
        <v>1</v>
      </c>
      <c r="Q57" s="4">
        <v>316.75</v>
      </c>
      <c r="R57" s="5">
        <v>0.3</v>
      </c>
      <c r="S57" s="4">
        <v>10.88</v>
      </c>
      <c r="T57" t="s">
        <v>122</v>
      </c>
      <c r="U57" t="s">
        <v>85</v>
      </c>
      <c r="V57">
        <v>1</v>
      </c>
    </row>
    <row r="58" spans="1:22">
      <c r="A58" t="s">
        <v>331</v>
      </c>
      <c r="B58" s="3">
        <v>45344</v>
      </c>
      <c r="C58" s="3">
        <v>45354</v>
      </c>
      <c r="D58" t="s">
        <v>332</v>
      </c>
      <c r="E58" t="s">
        <v>333</v>
      </c>
      <c r="F58" t="s">
        <v>74</v>
      </c>
      <c r="G58" t="s">
        <v>126</v>
      </c>
      <c r="H58" t="s">
        <v>127</v>
      </c>
      <c r="I58" t="s">
        <v>128</v>
      </c>
      <c r="J58" t="s">
        <v>109</v>
      </c>
      <c r="K58" t="s">
        <v>168</v>
      </c>
      <c r="L58" t="s">
        <v>80</v>
      </c>
      <c r="M58" t="s">
        <v>81</v>
      </c>
      <c r="N58" t="s">
        <v>82</v>
      </c>
      <c r="O58" t="s">
        <v>83</v>
      </c>
      <c r="P58">
        <v>1</v>
      </c>
      <c r="Q58" s="4">
        <v>239.42</v>
      </c>
      <c r="R58" s="5">
        <v>0.11</v>
      </c>
      <c r="S58" s="4">
        <v>9.5</v>
      </c>
      <c r="T58" t="s">
        <v>105</v>
      </c>
      <c r="U58" t="s">
        <v>85</v>
      </c>
      <c r="V58">
        <v>2</v>
      </c>
    </row>
    <row r="59" spans="1:22">
      <c r="A59" t="s">
        <v>334</v>
      </c>
      <c r="B59" s="3">
        <v>45345</v>
      </c>
      <c r="C59" s="3">
        <v>45361</v>
      </c>
      <c r="D59" t="s">
        <v>335</v>
      </c>
      <c r="E59" t="s">
        <v>336</v>
      </c>
      <c r="F59" t="s">
        <v>74</v>
      </c>
      <c r="G59" t="s">
        <v>126</v>
      </c>
      <c r="H59" t="s">
        <v>291</v>
      </c>
      <c r="I59" t="s">
        <v>292</v>
      </c>
      <c r="J59" t="s">
        <v>78</v>
      </c>
      <c r="K59" t="s">
        <v>90</v>
      </c>
      <c r="L59" t="s">
        <v>337</v>
      </c>
      <c r="M59" t="s">
        <v>338</v>
      </c>
      <c r="N59" t="s">
        <v>93</v>
      </c>
      <c r="O59" t="s">
        <v>236</v>
      </c>
      <c r="P59">
        <v>3</v>
      </c>
      <c r="Q59" s="4">
        <v>277.39999999999998</v>
      </c>
      <c r="R59" s="5">
        <v>0.03</v>
      </c>
      <c r="S59" s="4">
        <v>21.75</v>
      </c>
      <c r="T59" t="s">
        <v>105</v>
      </c>
      <c r="U59" t="s">
        <v>148</v>
      </c>
      <c r="V59">
        <v>3</v>
      </c>
    </row>
    <row r="60" spans="1:22">
      <c r="A60" t="s">
        <v>339</v>
      </c>
      <c r="B60" s="3">
        <v>45346</v>
      </c>
      <c r="C60" s="3">
        <v>45355</v>
      </c>
      <c r="D60" t="s">
        <v>279</v>
      </c>
      <c r="E60" t="s">
        <v>280</v>
      </c>
      <c r="F60" t="s">
        <v>89</v>
      </c>
      <c r="G60" t="s">
        <v>126</v>
      </c>
      <c r="H60" t="s">
        <v>160</v>
      </c>
      <c r="I60" t="s">
        <v>182</v>
      </c>
      <c r="J60" t="s">
        <v>109</v>
      </c>
      <c r="K60" t="s">
        <v>79</v>
      </c>
      <c r="L60" t="s">
        <v>169</v>
      </c>
      <c r="M60" t="s">
        <v>170</v>
      </c>
      <c r="N60" t="s">
        <v>103</v>
      </c>
      <c r="O60" t="s">
        <v>171</v>
      </c>
      <c r="P60">
        <v>3</v>
      </c>
      <c r="Q60" s="4">
        <v>14.63</v>
      </c>
      <c r="R60" s="5">
        <v>0.03</v>
      </c>
      <c r="S60" s="4">
        <v>15.72</v>
      </c>
      <c r="T60" t="s">
        <v>122</v>
      </c>
      <c r="U60" t="s">
        <v>85</v>
      </c>
      <c r="V60">
        <v>1</v>
      </c>
    </row>
    <row r="61" spans="1:22">
      <c r="A61" t="s">
        <v>340</v>
      </c>
      <c r="B61" s="3">
        <v>45348</v>
      </c>
      <c r="C61" s="3">
        <v>45354</v>
      </c>
      <c r="D61" t="s">
        <v>341</v>
      </c>
      <c r="E61" t="s">
        <v>342</v>
      </c>
      <c r="F61" t="s">
        <v>89</v>
      </c>
      <c r="G61" t="s">
        <v>138</v>
      </c>
      <c r="H61" t="s">
        <v>186</v>
      </c>
      <c r="I61" t="s">
        <v>187</v>
      </c>
      <c r="J61" t="s">
        <v>129</v>
      </c>
      <c r="K61" t="s">
        <v>130</v>
      </c>
      <c r="L61" t="s">
        <v>254</v>
      </c>
      <c r="M61" t="s">
        <v>255</v>
      </c>
      <c r="N61" t="s">
        <v>82</v>
      </c>
      <c r="O61" t="s">
        <v>83</v>
      </c>
      <c r="P61">
        <v>9</v>
      </c>
      <c r="Q61" s="4">
        <v>97.72</v>
      </c>
      <c r="R61" s="5">
        <v>0.06</v>
      </c>
      <c r="S61" s="4">
        <v>12.41</v>
      </c>
      <c r="T61" t="s">
        <v>122</v>
      </c>
      <c r="U61" t="s">
        <v>85</v>
      </c>
      <c r="V61">
        <v>2</v>
      </c>
    </row>
    <row r="62" spans="1:22">
      <c r="A62" t="s">
        <v>343</v>
      </c>
      <c r="B62" s="3">
        <v>45348</v>
      </c>
      <c r="C62" s="3">
        <v>45353</v>
      </c>
      <c r="D62" t="s">
        <v>223</v>
      </c>
      <c r="E62" t="s">
        <v>224</v>
      </c>
      <c r="F62" t="s">
        <v>152</v>
      </c>
      <c r="G62" t="s">
        <v>194</v>
      </c>
      <c r="H62" t="s">
        <v>225</v>
      </c>
      <c r="I62" t="s">
        <v>226</v>
      </c>
      <c r="J62" t="s">
        <v>129</v>
      </c>
      <c r="K62" t="s">
        <v>168</v>
      </c>
      <c r="L62" t="s">
        <v>234</v>
      </c>
      <c r="M62" t="s">
        <v>235</v>
      </c>
      <c r="N62" t="s">
        <v>93</v>
      </c>
      <c r="O62" t="s">
        <v>236</v>
      </c>
      <c r="P62">
        <v>2</v>
      </c>
      <c r="Q62" s="4">
        <v>140.69999999999999</v>
      </c>
      <c r="R62" s="5">
        <v>0.23</v>
      </c>
      <c r="S62" s="4">
        <v>20.350000000000001</v>
      </c>
      <c r="T62" t="s">
        <v>134</v>
      </c>
      <c r="U62" t="s">
        <v>85</v>
      </c>
      <c r="V62">
        <v>5</v>
      </c>
    </row>
    <row r="63" spans="1:22">
      <c r="A63" t="s">
        <v>344</v>
      </c>
      <c r="B63" s="3">
        <v>45349</v>
      </c>
      <c r="C63" s="3">
        <v>45357</v>
      </c>
      <c r="D63" t="s">
        <v>345</v>
      </c>
      <c r="E63" t="s">
        <v>346</v>
      </c>
      <c r="F63" t="s">
        <v>89</v>
      </c>
      <c r="G63" t="s">
        <v>138</v>
      </c>
      <c r="H63" t="s">
        <v>347</v>
      </c>
      <c r="I63" t="s">
        <v>348</v>
      </c>
      <c r="J63" t="s">
        <v>219</v>
      </c>
      <c r="K63" t="s">
        <v>90</v>
      </c>
      <c r="L63" t="s">
        <v>197</v>
      </c>
      <c r="M63" t="s">
        <v>198</v>
      </c>
      <c r="N63" t="s">
        <v>120</v>
      </c>
      <c r="O63" t="s">
        <v>121</v>
      </c>
      <c r="P63">
        <v>2</v>
      </c>
      <c r="Q63" s="4">
        <v>525.45000000000005</v>
      </c>
      <c r="R63" s="5">
        <v>0.05</v>
      </c>
      <c r="S63" s="4">
        <v>22.79</v>
      </c>
      <c r="T63" t="s">
        <v>122</v>
      </c>
      <c r="U63" t="s">
        <v>85</v>
      </c>
      <c r="V63">
        <v>2</v>
      </c>
    </row>
    <row r="64" spans="1:22">
      <c r="A64" t="s">
        <v>349</v>
      </c>
      <c r="B64" s="3">
        <v>45349</v>
      </c>
      <c r="C64" s="3">
        <v>45356</v>
      </c>
      <c r="D64" t="s">
        <v>350</v>
      </c>
      <c r="E64" t="s">
        <v>351</v>
      </c>
      <c r="F64" t="s">
        <v>152</v>
      </c>
      <c r="G64" t="s">
        <v>126</v>
      </c>
      <c r="H64" t="s">
        <v>160</v>
      </c>
      <c r="I64" t="s">
        <v>182</v>
      </c>
      <c r="J64" t="s">
        <v>109</v>
      </c>
      <c r="K64" t="s">
        <v>147</v>
      </c>
      <c r="L64" t="s">
        <v>197</v>
      </c>
      <c r="M64" t="s">
        <v>198</v>
      </c>
      <c r="N64" t="s">
        <v>120</v>
      </c>
      <c r="O64" t="s">
        <v>121</v>
      </c>
      <c r="P64">
        <v>2</v>
      </c>
      <c r="Q64" s="4">
        <v>510.19</v>
      </c>
      <c r="R64" s="5">
        <v>0.1</v>
      </c>
      <c r="S64" s="4">
        <v>10.49</v>
      </c>
      <c r="T64" t="s">
        <v>84</v>
      </c>
      <c r="U64" t="s">
        <v>85</v>
      </c>
      <c r="V64">
        <v>3</v>
      </c>
    </row>
    <row r="65" spans="1:22">
      <c r="A65" t="s">
        <v>352</v>
      </c>
      <c r="B65" s="3">
        <v>45350</v>
      </c>
      <c r="C65" s="3">
        <v>45357</v>
      </c>
      <c r="D65" t="s">
        <v>353</v>
      </c>
      <c r="E65" t="s">
        <v>354</v>
      </c>
      <c r="F65" t="s">
        <v>74</v>
      </c>
      <c r="G65" t="s">
        <v>126</v>
      </c>
      <c r="H65" t="s">
        <v>160</v>
      </c>
      <c r="I65" t="s">
        <v>182</v>
      </c>
      <c r="J65" t="s">
        <v>219</v>
      </c>
      <c r="K65" t="s">
        <v>130</v>
      </c>
      <c r="L65" t="s">
        <v>80</v>
      </c>
      <c r="M65" t="s">
        <v>81</v>
      </c>
      <c r="N65" t="s">
        <v>82</v>
      </c>
      <c r="O65" t="s">
        <v>83</v>
      </c>
      <c r="P65">
        <v>9</v>
      </c>
      <c r="Q65" s="4">
        <v>252.78</v>
      </c>
      <c r="R65" s="5">
        <v>0.04</v>
      </c>
      <c r="S65" s="4">
        <v>14.4</v>
      </c>
      <c r="T65" t="s">
        <v>122</v>
      </c>
      <c r="U65" t="s">
        <v>85</v>
      </c>
      <c r="V65">
        <v>1</v>
      </c>
    </row>
    <row r="66" spans="1:22">
      <c r="A66" t="s">
        <v>355</v>
      </c>
      <c r="B66" s="3">
        <v>45351</v>
      </c>
      <c r="C66" s="3">
        <v>45354</v>
      </c>
      <c r="D66" t="s">
        <v>228</v>
      </c>
      <c r="E66" t="s">
        <v>229</v>
      </c>
      <c r="F66" t="s">
        <v>74</v>
      </c>
      <c r="G66" t="s">
        <v>194</v>
      </c>
      <c r="H66" t="s">
        <v>230</v>
      </c>
      <c r="I66" t="s">
        <v>231</v>
      </c>
      <c r="J66" t="s">
        <v>109</v>
      </c>
      <c r="K66" t="s">
        <v>100</v>
      </c>
      <c r="L66" t="s">
        <v>197</v>
      </c>
      <c r="M66" t="s">
        <v>198</v>
      </c>
      <c r="N66" t="s">
        <v>120</v>
      </c>
      <c r="O66" t="s">
        <v>121</v>
      </c>
      <c r="P66">
        <v>3</v>
      </c>
      <c r="Q66" s="4">
        <v>512.74</v>
      </c>
      <c r="R66" s="5">
        <v>0.02</v>
      </c>
      <c r="S66" s="4">
        <v>11.44</v>
      </c>
      <c r="T66" t="s">
        <v>122</v>
      </c>
      <c r="U66" t="s">
        <v>148</v>
      </c>
      <c r="V66">
        <v>4</v>
      </c>
    </row>
    <row r="67" spans="1:22">
      <c r="A67" t="s">
        <v>356</v>
      </c>
      <c r="B67" s="3">
        <v>45352</v>
      </c>
      <c r="C67" s="3">
        <v>45360</v>
      </c>
      <c r="D67" t="s">
        <v>357</v>
      </c>
      <c r="E67" t="s">
        <v>358</v>
      </c>
      <c r="F67" t="s">
        <v>74</v>
      </c>
      <c r="G67" t="s">
        <v>75</v>
      </c>
      <c r="H67" t="s">
        <v>98</v>
      </c>
      <c r="I67" t="s">
        <v>99</v>
      </c>
      <c r="J67" t="s">
        <v>109</v>
      </c>
      <c r="K67" t="s">
        <v>147</v>
      </c>
      <c r="L67" t="s">
        <v>359</v>
      </c>
      <c r="M67" t="s">
        <v>360</v>
      </c>
      <c r="N67" t="s">
        <v>93</v>
      </c>
      <c r="O67" t="s">
        <v>94</v>
      </c>
      <c r="P67">
        <v>2</v>
      </c>
      <c r="Q67" s="4">
        <v>434.18</v>
      </c>
      <c r="R67" s="5">
        <v>0.04</v>
      </c>
      <c r="S67" s="4">
        <v>29.52</v>
      </c>
      <c r="T67" t="s">
        <v>134</v>
      </c>
      <c r="U67" t="s">
        <v>85</v>
      </c>
    </row>
    <row r="68" spans="1:22">
      <c r="A68" t="s">
        <v>361</v>
      </c>
      <c r="B68" s="3">
        <v>45352</v>
      </c>
      <c r="C68" s="3">
        <v>45353</v>
      </c>
      <c r="D68" t="s">
        <v>362</v>
      </c>
      <c r="E68" t="s">
        <v>363</v>
      </c>
      <c r="F68" t="s">
        <v>89</v>
      </c>
      <c r="G68" t="s">
        <v>194</v>
      </c>
      <c r="H68" t="s">
        <v>240</v>
      </c>
      <c r="I68" t="s">
        <v>241</v>
      </c>
      <c r="J68" t="s">
        <v>219</v>
      </c>
      <c r="K68" t="s">
        <v>100</v>
      </c>
      <c r="L68" t="s">
        <v>188</v>
      </c>
      <c r="M68" t="s">
        <v>189</v>
      </c>
      <c r="N68" t="s">
        <v>120</v>
      </c>
      <c r="O68" t="s">
        <v>190</v>
      </c>
      <c r="P68">
        <v>1</v>
      </c>
      <c r="Q68" s="4">
        <v>59.92</v>
      </c>
      <c r="R68" s="5">
        <v>0.08</v>
      </c>
      <c r="S68" s="4">
        <v>13.39</v>
      </c>
      <c r="T68" t="s">
        <v>134</v>
      </c>
      <c r="U68" t="s">
        <v>85</v>
      </c>
    </row>
    <row r="69" spans="1:22">
      <c r="A69" t="s">
        <v>364</v>
      </c>
      <c r="B69" s="3">
        <v>45352</v>
      </c>
      <c r="C69" s="3">
        <v>45357</v>
      </c>
      <c r="D69" t="s">
        <v>253</v>
      </c>
      <c r="E69" t="s">
        <v>167</v>
      </c>
      <c r="F69" t="s">
        <v>152</v>
      </c>
      <c r="G69" t="s">
        <v>75</v>
      </c>
      <c r="H69" t="s">
        <v>212</v>
      </c>
      <c r="I69" t="s">
        <v>213</v>
      </c>
      <c r="J69" t="s">
        <v>78</v>
      </c>
      <c r="K69" t="s">
        <v>90</v>
      </c>
      <c r="L69" t="s">
        <v>155</v>
      </c>
      <c r="M69" t="s">
        <v>156</v>
      </c>
      <c r="N69" t="s">
        <v>82</v>
      </c>
      <c r="O69" t="s">
        <v>112</v>
      </c>
      <c r="P69">
        <v>4</v>
      </c>
      <c r="Q69" s="4">
        <v>159.84</v>
      </c>
      <c r="R69" s="5">
        <v>0.05</v>
      </c>
      <c r="S69" s="4">
        <v>14.02</v>
      </c>
      <c r="T69" t="s">
        <v>122</v>
      </c>
      <c r="U69" t="s">
        <v>85</v>
      </c>
      <c r="V69">
        <v>4</v>
      </c>
    </row>
    <row r="70" spans="1:22">
      <c r="A70" t="s">
        <v>365</v>
      </c>
      <c r="B70" s="3">
        <v>45353</v>
      </c>
      <c r="C70" s="3">
        <v>45358</v>
      </c>
      <c r="D70" t="s">
        <v>366</v>
      </c>
      <c r="E70" t="s">
        <v>342</v>
      </c>
      <c r="F70" t="s">
        <v>89</v>
      </c>
      <c r="G70" t="s">
        <v>194</v>
      </c>
      <c r="H70" t="s">
        <v>230</v>
      </c>
      <c r="I70" t="s">
        <v>231</v>
      </c>
      <c r="J70" t="s">
        <v>78</v>
      </c>
      <c r="K70" t="s">
        <v>130</v>
      </c>
      <c r="L70" t="s">
        <v>197</v>
      </c>
      <c r="M70" t="s">
        <v>198</v>
      </c>
      <c r="N70" t="s">
        <v>120</v>
      </c>
      <c r="O70" t="s">
        <v>121</v>
      </c>
      <c r="P70">
        <v>2</v>
      </c>
      <c r="Q70" s="4">
        <v>507.33</v>
      </c>
      <c r="R70" s="5">
        <v>0.06</v>
      </c>
      <c r="S70" s="4">
        <v>14.85</v>
      </c>
      <c r="T70" t="s">
        <v>84</v>
      </c>
      <c r="U70" t="s">
        <v>85</v>
      </c>
      <c r="V70">
        <v>3</v>
      </c>
    </row>
    <row r="71" spans="1:22">
      <c r="A71" t="s">
        <v>367</v>
      </c>
      <c r="B71" s="3">
        <v>45354</v>
      </c>
      <c r="C71" s="3">
        <v>45361</v>
      </c>
      <c r="D71" t="s">
        <v>368</v>
      </c>
      <c r="E71" t="s">
        <v>369</v>
      </c>
      <c r="F71" t="s">
        <v>89</v>
      </c>
      <c r="G71" t="s">
        <v>194</v>
      </c>
      <c r="H71" t="s">
        <v>240</v>
      </c>
      <c r="I71" t="s">
        <v>241</v>
      </c>
      <c r="J71" t="s">
        <v>109</v>
      </c>
      <c r="K71" t="s">
        <v>79</v>
      </c>
      <c r="L71" t="s">
        <v>141</v>
      </c>
      <c r="M71" t="s">
        <v>142</v>
      </c>
      <c r="N71" t="s">
        <v>103</v>
      </c>
      <c r="O71" t="s">
        <v>143</v>
      </c>
      <c r="P71">
        <v>10</v>
      </c>
      <c r="Q71" s="4">
        <v>35.26</v>
      </c>
      <c r="R71" s="5">
        <v>0.02</v>
      </c>
      <c r="S71" s="4">
        <v>5.96</v>
      </c>
      <c r="T71" t="s">
        <v>134</v>
      </c>
      <c r="U71" t="s">
        <v>85</v>
      </c>
      <c r="V71">
        <v>2</v>
      </c>
    </row>
    <row r="72" spans="1:22">
      <c r="A72" t="s">
        <v>370</v>
      </c>
      <c r="B72" s="3">
        <v>45354</v>
      </c>
      <c r="C72" s="3">
        <v>45362</v>
      </c>
      <c r="D72" t="s">
        <v>345</v>
      </c>
      <c r="E72" t="s">
        <v>346</v>
      </c>
      <c r="F72" t="s">
        <v>89</v>
      </c>
      <c r="G72" t="s">
        <v>138</v>
      </c>
      <c r="H72" t="s">
        <v>347</v>
      </c>
      <c r="I72" t="s">
        <v>348</v>
      </c>
      <c r="J72" t="s">
        <v>129</v>
      </c>
      <c r="K72" t="s">
        <v>130</v>
      </c>
      <c r="L72" t="s">
        <v>337</v>
      </c>
      <c r="M72" t="s">
        <v>338</v>
      </c>
      <c r="N72" t="s">
        <v>93</v>
      </c>
      <c r="O72" t="s">
        <v>236</v>
      </c>
      <c r="P72">
        <v>2</v>
      </c>
      <c r="Q72" s="4">
        <v>263</v>
      </c>
      <c r="R72" s="5">
        <v>0.03</v>
      </c>
      <c r="S72" s="4">
        <v>21.32</v>
      </c>
      <c r="T72" t="s">
        <v>84</v>
      </c>
      <c r="U72" t="s">
        <v>85</v>
      </c>
      <c r="V72">
        <v>4</v>
      </c>
    </row>
    <row r="73" spans="1:22">
      <c r="A73" t="s">
        <v>371</v>
      </c>
      <c r="B73" s="3">
        <v>45354</v>
      </c>
      <c r="C73" s="3">
        <v>45360</v>
      </c>
      <c r="D73" t="s">
        <v>372</v>
      </c>
      <c r="E73" t="s">
        <v>373</v>
      </c>
      <c r="F73" t="s">
        <v>89</v>
      </c>
      <c r="G73" t="s">
        <v>138</v>
      </c>
      <c r="H73" t="s">
        <v>347</v>
      </c>
      <c r="I73" t="s">
        <v>348</v>
      </c>
      <c r="J73" t="s">
        <v>78</v>
      </c>
      <c r="K73" t="s">
        <v>90</v>
      </c>
      <c r="L73" t="s">
        <v>261</v>
      </c>
      <c r="M73" t="s">
        <v>262</v>
      </c>
      <c r="N73" t="s">
        <v>103</v>
      </c>
      <c r="O73" t="s">
        <v>104</v>
      </c>
      <c r="P73">
        <v>1</v>
      </c>
      <c r="Q73" s="4">
        <v>25.67</v>
      </c>
      <c r="R73" s="5">
        <v>0.34</v>
      </c>
      <c r="S73" s="4">
        <v>12.04</v>
      </c>
      <c r="T73" t="s">
        <v>105</v>
      </c>
      <c r="U73" t="s">
        <v>85</v>
      </c>
      <c r="V73">
        <v>3</v>
      </c>
    </row>
    <row r="74" spans="1:22">
      <c r="A74" t="s">
        <v>374</v>
      </c>
      <c r="B74" s="3">
        <v>45356</v>
      </c>
      <c r="C74" s="3">
        <v>45365</v>
      </c>
      <c r="D74" t="s">
        <v>362</v>
      </c>
      <c r="E74" t="s">
        <v>363</v>
      </c>
      <c r="F74" t="s">
        <v>89</v>
      </c>
      <c r="G74" t="s">
        <v>194</v>
      </c>
      <c r="H74" t="s">
        <v>240</v>
      </c>
      <c r="I74" t="s">
        <v>241</v>
      </c>
      <c r="J74" t="s">
        <v>78</v>
      </c>
      <c r="K74" t="s">
        <v>90</v>
      </c>
      <c r="L74" t="s">
        <v>254</v>
      </c>
      <c r="M74" t="s">
        <v>255</v>
      </c>
      <c r="N74" t="s">
        <v>82</v>
      </c>
      <c r="O74" t="s">
        <v>83</v>
      </c>
      <c r="P74">
        <v>6</v>
      </c>
      <c r="Q74" s="4">
        <v>94.64</v>
      </c>
      <c r="R74" s="5">
        <v>0.03</v>
      </c>
      <c r="S74" s="4">
        <v>11.25</v>
      </c>
      <c r="T74" t="s">
        <v>134</v>
      </c>
      <c r="U74" t="s">
        <v>85</v>
      </c>
      <c r="V74">
        <v>1</v>
      </c>
    </row>
    <row r="75" spans="1:22">
      <c r="A75" t="s">
        <v>375</v>
      </c>
      <c r="B75" s="3">
        <v>45358</v>
      </c>
      <c r="C75" s="3">
        <v>45369</v>
      </c>
      <c r="D75" t="s">
        <v>180</v>
      </c>
      <c r="E75" t="s">
        <v>181</v>
      </c>
      <c r="F75" t="s">
        <v>74</v>
      </c>
      <c r="G75" t="s">
        <v>126</v>
      </c>
      <c r="H75" t="s">
        <v>160</v>
      </c>
      <c r="I75" t="s">
        <v>182</v>
      </c>
      <c r="J75" t="s">
        <v>376</v>
      </c>
      <c r="K75" t="s">
        <v>168</v>
      </c>
      <c r="L75" t="s">
        <v>197</v>
      </c>
      <c r="M75" t="s">
        <v>198</v>
      </c>
      <c r="N75" t="s">
        <v>120</v>
      </c>
      <c r="O75" t="s">
        <v>121</v>
      </c>
      <c r="P75">
        <v>2</v>
      </c>
      <c r="Q75" s="4">
        <v>515.08000000000004</v>
      </c>
      <c r="R75" s="5">
        <v>0.08</v>
      </c>
      <c r="S75" s="4">
        <v>22.67</v>
      </c>
      <c r="T75" t="s">
        <v>84</v>
      </c>
      <c r="U75" t="s">
        <v>85</v>
      </c>
      <c r="V75">
        <v>3</v>
      </c>
    </row>
    <row r="76" spans="1:22">
      <c r="A76" t="s">
        <v>377</v>
      </c>
      <c r="B76" s="3">
        <v>45359</v>
      </c>
      <c r="C76" s="3">
        <v>45368</v>
      </c>
      <c r="D76" t="s">
        <v>378</v>
      </c>
      <c r="E76" t="s">
        <v>379</v>
      </c>
      <c r="F76" t="s">
        <v>152</v>
      </c>
      <c r="G76" t="s">
        <v>126</v>
      </c>
      <c r="H76" t="s">
        <v>160</v>
      </c>
      <c r="I76" t="s">
        <v>161</v>
      </c>
      <c r="J76" t="s">
        <v>129</v>
      </c>
      <c r="K76" t="s">
        <v>90</v>
      </c>
      <c r="L76" t="s">
        <v>234</v>
      </c>
      <c r="M76" t="s">
        <v>235</v>
      </c>
      <c r="N76" t="s">
        <v>93</v>
      </c>
      <c r="O76" t="s">
        <v>236</v>
      </c>
      <c r="P76">
        <v>1</v>
      </c>
      <c r="Q76" s="4">
        <v>154.81</v>
      </c>
      <c r="R76" s="5">
        <v>0.03</v>
      </c>
      <c r="S76" s="4">
        <v>20.27</v>
      </c>
      <c r="T76" t="s">
        <v>134</v>
      </c>
      <c r="U76" t="s">
        <v>85</v>
      </c>
      <c r="V76">
        <v>2</v>
      </c>
    </row>
    <row r="77" spans="1:22">
      <c r="A77" t="s">
        <v>380</v>
      </c>
      <c r="B77" s="3">
        <v>45360</v>
      </c>
      <c r="C77" s="3">
        <v>45369</v>
      </c>
      <c r="D77" t="s">
        <v>381</v>
      </c>
      <c r="E77" t="s">
        <v>382</v>
      </c>
      <c r="F77" t="s">
        <v>152</v>
      </c>
      <c r="G77" t="s">
        <v>194</v>
      </c>
      <c r="H77" t="s">
        <v>202</v>
      </c>
      <c r="I77" t="s">
        <v>203</v>
      </c>
      <c r="J77" t="s">
        <v>219</v>
      </c>
      <c r="K77" t="s">
        <v>130</v>
      </c>
      <c r="L77" t="s">
        <v>197</v>
      </c>
      <c r="M77" t="s">
        <v>198</v>
      </c>
      <c r="N77" t="s">
        <v>120</v>
      </c>
      <c r="O77" t="s">
        <v>121</v>
      </c>
      <c r="P77">
        <v>2</v>
      </c>
      <c r="Q77" s="4">
        <v>539.53</v>
      </c>
      <c r="R77" s="5">
        <v>7.0000000000000007E-2</v>
      </c>
      <c r="S77" s="4">
        <v>10.88</v>
      </c>
      <c r="T77" t="s">
        <v>84</v>
      </c>
      <c r="U77" t="s">
        <v>85</v>
      </c>
      <c r="V77">
        <v>1</v>
      </c>
    </row>
    <row r="78" spans="1:22">
      <c r="A78" t="s">
        <v>383</v>
      </c>
      <c r="B78" s="3">
        <v>45360</v>
      </c>
      <c r="C78" s="3">
        <v>45370</v>
      </c>
      <c r="D78" t="s">
        <v>384</v>
      </c>
      <c r="E78" t="s">
        <v>385</v>
      </c>
      <c r="F78" t="s">
        <v>74</v>
      </c>
      <c r="G78" t="s">
        <v>126</v>
      </c>
      <c r="H78" t="s">
        <v>291</v>
      </c>
      <c r="I78" t="s">
        <v>292</v>
      </c>
      <c r="J78" t="s">
        <v>219</v>
      </c>
      <c r="K78" t="s">
        <v>147</v>
      </c>
      <c r="L78" t="s">
        <v>162</v>
      </c>
      <c r="M78" t="s">
        <v>163</v>
      </c>
      <c r="N78" t="s">
        <v>120</v>
      </c>
      <c r="O78" t="s">
        <v>164</v>
      </c>
      <c r="P78">
        <v>1</v>
      </c>
      <c r="Q78" s="4">
        <v>853.71</v>
      </c>
      <c r="R78" s="5">
        <v>0</v>
      </c>
      <c r="S78" s="4">
        <v>7.66</v>
      </c>
      <c r="T78" t="s">
        <v>105</v>
      </c>
      <c r="U78" t="s">
        <v>85</v>
      </c>
      <c r="V78">
        <v>1</v>
      </c>
    </row>
    <row r="79" spans="1:22">
      <c r="A79" t="s">
        <v>386</v>
      </c>
      <c r="B79" s="3">
        <v>45361</v>
      </c>
      <c r="C79" s="3">
        <v>45364</v>
      </c>
      <c r="D79" t="s">
        <v>180</v>
      </c>
      <c r="E79" t="s">
        <v>181</v>
      </c>
      <c r="F79" t="s">
        <v>74</v>
      </c>
      <c r="G79" t="s">
        <v>126</v>
      </c>
      <c r="H79" t="s">
        <v>160</v>
      </c>
      <c r="I79" t="s">
        <v>182</v>
      </c>
      <c r="J79" t="s">
        <v>78</v>
      </c>
      <c r="K79" t="s">
        <v>130</v>
      </c>
      <c r="L79" t="s">
        <v>101</v>
      </c>
      <c r="M79" t="s">
        <v>102</v>
      </c>
      <c r="N79" t="s">
        <v>103</v>
      </c>
      <c r="O79" t="s">
        <v>104</v>
      </c>
      <c r="P79">
        <v>9</v>
      </c>
      <c r="Q79" s="4">
        <v>72.599999999999994</v>
      </c>
      <c r="R79" s="5">
        <v>0.03</v>
      </c>
      <c r="S79" s="4">
        <v>12.16</v>
      </c>
      <c r="T79" t="s">
        <v>134</v>
      </c>
      <c r="U79" t="s">
        <v>85</v>
      </c>
    </row>
    <row r="80" spans="1:22">
      <c r="A80" t="s">
        <v>387</v>
      </c>
      <c r="B80" s="3">
        <v>45361</v>
      </c>
      <c r="C80" s="3">
        <v>45365</v>
      </c>
      <c r="D80" t="s">
        <v>217</v>
      </c>
      <c r="E80" t="s">
        <v>218</v>
      </c>
      <c r="F80" t="s">
        <v>89</v>
      </c>
      <c r="G80" t="s">
        <v>75</v>
      </c>
      <c r="H80" t="s">
        <v>98</v>
      </c>
      <c r="I80" t="s">
        <v>99</v>
      </c>
      <c r="J80" t="s">
        <v>109</v>
      </c>
      <c r="K80" t="s">
        <v>130</v>
      </c>
      <c r="L80" t="s">
        <v>242</v>
      </c>
      <c r="M80" t="s">
        <v>243</v>
      </c>
      <c r="N80" t="s">
        <v>120</v>
      </c>
      <c r="O80" t="s">
        <v>133</v>
      </c>
      <c r="P80">
        <v>3</v>
      </c>
      <c r="Q80" s="4">
        <v>192.5</v>
      </c>
      <c r="R80" s="5">
        <v>0.26</v>
      </c>
      <c r="S80" s="4">
        <v>10.37</v>
      </c>
      <c r="T80" t="s">
        <v>122</v>
      </c>
      <c r="U80" t="s">
        <v>85</v>
      </c>
      <c r="V80">
        <v>1</v>
      </c>
    </row>
    <row r="81" spans="1:22">
      <c r="A81" t="s">
        <v>388</v>
      </c>
      <c r="B81" s="3">
        <v>45365</v>
      </c>
      <c r="C81" s="3">
        <v>45370</v>
      </c>
      <c r="D81" t="s">
        <v>389</v>
      </c>
      <c r="E81" t="s">
        <v>390</v>
      </c>
      <c r="F81" t="s">
        <v>89</v>
      </c>
      <c r="G81" t="s">
        <v>138</v>
      </c>
      <c r="H81" t="s">
        <v>186</v>
      </c>
      <c r="I81" t="s">
        <v>187</v>
      </c>
      <c r="J81" t="s">
        <v>109</v>
      </c>
      <c r="K81" t="s">
        <v>130</v>
      </c>
      <c r="L81" t="s">
        <v>155</v>
      </c>
      <c r="M81" t="s">
        <v>156</v>
      </c>
      <c r="N81" t="s">
        <v>82</v>
      </c>
      <c r="O81" t="s">
        <v>112</v>
      </c>
      <c r="P81">
        <v>1</v>
      </c>
      <c r="Q81" s="4">
        <v>165.61</v>
      </c>
      <c r="R81" s="5">
        <v>0.21</v>
      </c>
      <c r="S81" s="4">
        <v>5.66</v>
      </c>
      <c r="T81" t="s">
        <v>134</v>
      </c>
      <c r="U81" t="s">
        <v>85</v>
      </c>
      <c r="V81">
        <v>2</v>
      </c>
    </row>
    <row r="82" spans="1:22">
      <c r="A82" t="s">
        <v>391</v>
      </c>
      <c r="B82" s="3">
        <v>45366</v>
      </c>
      <c r="C82" s="3">
        <v>45373</v>
      </c>
      <c r="D82" t="s">
        <v>392</v>
      </c>
      <c r="E82" t="s">
        <v>393</v>
      </c>
      <c r="F82" t="s">
        <v>74</v>
      </c>
      <c r="G82" t="s">
        <v>126</v>
      </c>
      <c r="H82" t="s">
        <v>160</v>
      </c>
      <c r="I82" t="s">
        <v>161</v>
      </c>
      <c r="J82" t="s">
        <v>109</v>
      </c>
      <c r="K82" t="s">
        <v>147</v>
      </c>
      <c r="L82" t="s">
        <v>110</v>
      </c>
      <c r="M82" t="s">
        <v>111</v>
      </c>
      <c r="N82" t="s">
        <v>82</v>
      </c>
      <c r="O82" t="s">
        <v>112</v>
      </c>
      <c r="P82">
        <v>1</v>
      </c>
      <c r="Q82" s="4">
        <v>329.47</v>
      </c>
      <c r="R82" s="5">
        <v>0.08</v>
      </c>
      <c r="S82" s="4">
        <v>12.77</v>
      </c>
      <c r="T82" t="s">
        <v>134</v>
      </c>
      <c r="U82" t="s">
        <v>85</v>
      </c>
      <c r="V82">
        <v>3</v>
      </c>
    </row>
    <row r="83" spans="1:22">
      <c r="A83" t="s">
        <v>394</v>
      </c>
      <c r="B83" s="3">
        <v>45368</v>
      </c>
      <c r="C83" s="3">
        <v>45376</v>
      </c>
      <c r="D83" t="s">
        <v>271</v>
      </c>
      <c r="E83" t="s">
        <v>272</v>
      </c>
      <c r="F83" t="s">
        <v>89</v>
      </c>
      <c r="G83" t="s">
        <v>75</v>
      </c>
      <c r="H83" t="s">
        <v>273</v>
      </c>
      <c r="I83" t="s">
        <v>274</v>
      </c>
      <c r="J83" t="s">
        <v>129</v>
      </c>
      <c r="K83" t="s">
        <v>90</v>
      </c>
      <c r="L83" t="s">
        <v>359</v>
      </c>
      <c r="M83" t="s">
        <v>360</v>
      </c>
      <c r="N83" t="s">
        <v>93</v>
      </c>
      <c r="O83" t="s">
        <v>94</v>
      </c>
      <c r="P83">
        <v>1</v>
      </c>
      <c r="Q83" s="4">
        <v>470.49</v>
      </c>
      <c r="R83" s="5">
        <v>0.06</v>
      </c>
      <c r="S83" s="4">
        <v>22.76</v>
      </c>
      <c r="T83" t="s">
        <v>105</v>
      </c>
      <c r="U83" t="s">
        <v>85</v>
      </c>
      <c r="V83">
        <v>2</v>
      </c>
    </row>
    <row r="84" spans="1:22">
      <c r="A84" t="s">
        <v>395</v>
      </c>
      <c r="B84" s="3">
        <v>45370</v>
      </c>
      <c r="C84" s="3">
        <v>45380</v>
      </c>
      <c r="D84" t="s">
        <v>396</v>
      </c>
      <c r="E84" t="s">
        <v>397</v>
      </c>
      <c r="F84" t="s">
        <v>152</v>
      </c>
      <c r="G84" t="s">
        <v>138</v>
      </c>
      <c r="H84" t="s">
        <v>186</v>
      </c>
      <c r="I84" t="s">
        <v>187</v>
      </c>
      <c r="J84" t="s">
        <v>129</v>
      </c>
      <c r="K84" t="s">
        <v>100</v>
      </c>
      <c r="L84" t="s">
        <v>155</v>
      </c>
      <c r="M84" t="s">
        <v>156</v>
      </c>
      <c r="N84" t="s">
        <v>82</v>
      </c>
      <c r="O84" t="s">
        <v>112</v>
      </c>
      <c r="P84">
        <v>5</v>
      </c>
      <c r="Q84" s="4">
        <v>165.36</v>
      </c>
      <c r="R84" s="5">
        <v>0.24</v>
      </c>
      <c r="S84" s="4">
        <v>11.66</v>
      </c>
      <c r="T84" t="s">
        <v>105</v>
      </c>
      <c r="U84" t="s">
        <v>85</v>
      </c>
      <c r="V84">
        <v>5</v>
      </c>
    </row>
    <row r="85" spans="1:22">
      <c r="A85" t="s">
        <v>398</v>
      </c>
      <c r="B85" s="3">
        <v>45371</v>
      </c>
      <c r="C85" s="3">
        <v>45379</v>
      </c>
      <c r="D85" t="s">
        <v>322</v>
      </c>
      <c r="E85" t="s">
        <v>323</v>
      </c>
      <c r="F85" t="s">
        <v>74</v>
      </c>
      <c r="G85" t="s">
        <v>194</v>
      </c>
      <c r="H85" t="s">
        <v>240</v>
      </c>
      <c r="I85" t="s">
        <v>241</v>
      </c>
      <c r="J85" t="s">
        <v>219</v>
      </c>
      <c r="K85" t="s">
        <v>100</v>
      </c>
      <c r="L85" t="s">
        <v>261</v>
      </c>
      <c r="M85" t="s">
        <v>262</v>
      </c>
      <c r="N85" t="s">
        <v>103</v>
      </c>
      <c r="O85" t="s">
        <v>104</v>
      </c>
      <c r="P85">
        <v>5</v>
      </c>
      <c r="Q85" s="4">
        <v>25.83</v>
      </c>
      <c r="R85" s="5">
        <v>0.1</v>
      </c>
      <c r="S85" s="4">
        <v>16.88</v>
      </c>
      <c r="T85" t="s">
        <v>122</v>
      </c>
      <c r="U85" t="s">
        <v>85</v>
      </c>
      <c r="V85">
        <v>1</v>
      </c>
    </row>
    <row r="86" spans="1:22">
      <c r="A86" t="s">
        <v>399</v>
      </c>
      <c r="B86" s="3">
        <v>45372</v>
      </c>
      <c r="C86" s="3">
        <v>45374</v>
      </c>
      <c r="D86" t="s">
        <v>400</v>
      </c>
      <c r="E86" t="s">
        <v>316</v>
      </c>
      <c r="F86" t="s">
        <v>152</v>
      </c>
      <c r="G86" t="s">
        <v>75</v>
      </c>
      <c r="H86" t="s">
        <v>273</v>
      </c>
      <c r="I86" t="s">
        <v>274</v>
      </c>
      <c r="J86" t="s">
        <v>219</v>
      </c>
      <c r="K86" t="s">
        <v>147</v>
      </c>
      <c r="L86" t="s">
        <v>234</v>
      </c>
      <c r="M86" t="s">
        <v>235</v>
      </c>
      <c r="N86" t="s">
        <v>93</v>
      </c>
      <c r="O86" t="s">
        <v>236</v>
      </c>
      <c r="P86">
        <v>3</v>
      </c>
      <c r="Q86" s="4">
        <v>157.24</v>
      </c>
      <c r="R86" s="5">
        <v>0.08</v>
      </c>
      <c r="S86" s="4">
        <v>27.74</v>
      </c>
      <c r="T86" t="s">
        <v>105</v>
      </c>
      <c r="U86" t="s">
        <v>85</v>
      </c>
      <c r="V86">
        <v>4</v>
      </c>
    </row>
    <row r="87" spans="1:22">
      <c r="A87" t="s">
        <v>401</v>
      </c>
      <c r="B87" s="3">
        <v>45372</v>
      </c>
      <c r="C87" s="3">
        <v>45377</v>
      </c>
      <c r="D87" t="s">
        <v>402</v>
      </c>
      <c r="E87" t="s">
        <v>403</v>
      </c>
      <c r="F87" t="s">
        <v>74</v>
      </c>
      <c r="G87" t="s">
        <v>75</v>
      </c>
      <c r="H87" t="s">
        <v>212</v>
      </c>
      <c r="I87" t="s">
        <v>213</v>
      </c>
      <c r="J87" t="s">
        <v>78</v>
      </c>
      <c r="K87" t="s">
        <v>168</v>
      </c>
      <c r="L87" t="s">
        <v>249</v>
      </c>
      <c r="M87" t="s">
        <v>250</v>
      </c>
      <c r="N87" t="s">
        <v>103</v>
      </c>
      <c r="O87" t="s">
        <v>251</v>
      </c>
      <c r="P87">
        <v>7</v>
      </c>
      <c r="Q87" s="4">
        <v>22.89</v>
      </c>
      <c r="R87" s="5">
        <v>0.34</v>
      </c>
      <c r="S87" s="4">
        <v>12.54</v>
      </c>
      <c r="T87" t="s">
        <v>122</v>
      </c>
      <c r="U87" t="s">
        <v>85</v>
      </c>
      <c r="V87">
        <v>1</v>
      </c>
    </row>
    <row r="88" spans="1:22">
      <c r="A88" t="s">
        <v>404</v>
      </c>
      <c r="B88" s="3">
        <v>45373</v>
      </c>
      <c r="C88" s="3">
        <v>45377</v>
      </c>
      <c r="D88" t="s">
        <v>315</v>
      </c>
      <c r="E88" t="s">
        <v>316</v>
      </c>
      <c r="F88" t="s">
        <v>89</v>
      </c>
      <c r="G88" t="s">
        <v>75</v>
      </c>
      <c r="H88" t="s">
        <v>273</v>
      </c>
      <c r="I88" t="s">
        <v>274</v>
      </c>
      <c r="J88" t="s">
        <v>109</v>
      </c>
      <c r="K88" t="s">
        <v>100</v>
      </c>
      <c r="L88" t="s">
        <v>261</v>
      </c>
      <c r="M88" t="s">
        <v>262</v>
      </c>
      <c r="N88" t="s">
        <v>103</v>
      </c>
      <c r="O88" t="s">
        <v>104</v>
      </c>
      <c r="P88">
        <v>5</v>
      </c>
      <c r="Q88" s="4">
        <v>26.76</v>
      </c>
      <c r="R88" s="5">
        <v>0.11</v>
      </c>
      <c r="S88" s="4">
        <v>6.05</v>
      </c>
      <c r="T88" t="s">
        <v>105</v>
      </c>
      <c r="U88" t="s">
        <v>85</v>
      </c>
      <c r="V88">
        <v>4</v>
      </c>
    </row>
    <row r="89" spans="1:22">
      <c r="A89" t="s">
        <v>405</v>
      </c>
      <c r="B89" s="3">
        <v>45373</v>
      </c>
      <c r="C89" s="3">
        <v>45376</v>
      </c>
      <c r="D89" t="s">
        <v>406</v>
      </c>
      <c r="E89" t="s">
        <v>407</v>
      </c>
      <c r="F89" t="s">
        <v>89</v>
      </c>
      <c r="G89" t="s">
        <v>75</v>
      </c>
      <c r="H89" t="s">
        <v>116</v>
      </c>
      <c r="I89" t="s">
        <v>117</v>
      </c>
      <c r="J89" t="s">
        <v>78</v>
      </c>
      <c r="K89" t="s">
        <v>130</v>
      </c>
      <c r="L89" t="s">
        <v>249</v>
      </c>
      <c r="M89" t="s">
        <v>250</v>
      </c>
      <c r="N89" t="s">
        <v>103</v>
      </c>
      <c r="O89" t="s">
        <v>251</v>
      </c>
      <c r="P89">
        <v>4</v>
      </c>
      <c r="Q89" s="4">
        <v>23.29</v>
      </c>
      <c r="R89" s="5">
        <v>0.1</v>
      </c>
      <c r="S89" s="4">
        <v>13.32</v>
      </c>
      <c r="T89" t="s">
        <v>134</v>
      </c>
      <c r="U89" t="s">
        <v>85</v>
      </c>
      <c r="V89">
        <v>3</v>
      </c>
    </row>
    <row r="90" spans="1:22">
      <c r="A90" t="s">
        <v>408</v>
      </c>
      <c r="B90" s="3">
        <v>45376</v>
      </c>
      <c r="C90" s="3">
        <v>45377</v>
      </c>
      <c r="D90" t="s">
        <v>392</v>
      </c>
      <c r="E90" t="s">
        <v>393</v>
      </c>
      <c r="F90" t="s">
        <v>74</v>
      </c>
      <c r="G90" t="s">
        <v>126</v>
      </c>
      <c r="H90" t="s">
        <v>160</v>
      </c>
      <c r="I90" t="s">
        <v>161</v>
      </c>
      <c r="J90" t="s">
        <v>109</v>
      </c>
      <c r="K90" t="s">
        <v>147</v>
      </c>
      <c r="L90" t="s">
        <v>337</v>
      </c>
      <c r="M90" t="s">
        <v>338</v>
      </c>
      <c r="N90" t="s">
        <v>93</v>
      </c>
      <c r="O90" t="s">
        <v>236</v>
      </c>
      <c r="P90">
        <v>4</v>
      </c>
      <c r="Q90" s="4">
        <v>262.31</v>
      </c>
      <c r="R90" s="5">
        <v>0.02</v>
      </c>
      <c r="S90" s="4">
        <v>29.45</v>
      </c>
      <c r="T90" t="s">
        <v>84</v>
      </c>
      <c r="U90" t="s">
        <v>85</v>
      </c>
    </row>
    <row r="91" spans="1:22">
      <c r="A91" t="s">
        <v>409</v>
      </c>
      <c r="B91" s="3">
        <v>45376</v>
      </c>
      <c r="C91" s="3">
        <v>45380</v>
      </c>
      <c r="D91" t="s">
        <v>410</v>
      </c>
      <c r="E91" t="s">
        <v>411</v>
      </c>
      <c r="F91" t="s">
        <v>74</v>
      </c>
      <c r="G91" t="s">
        <v>126</v>
      </c>
      <c r="H91" t="s">
        <v>291</v>
      </c>
      <c r="I91" t="s">
        <v>292</v>
      </c>
      <c r="J91" t="s">
        <v>219</v>
      </c>
      <c r="K91" t="s">
        <v>130</v>
      </c>
      <c r="L91" t="s">
        <v>261</v>
      </c>
      <c r="M91" t="s">
        <v>262</v>
      </c>
      <c r="N91" t="s">
        <v>103</v>
      </c>
      <c r="O91" t="s">
        <v>104</v>
      </c>
      <c r="P91">
        <v>4</v>
      </c>
      <c r="Q91" s="4">
        <v>28.06</v>
      </c>
      <c r="R91" s="5">
        <v>0</v>
      </c>
      <c r="S91" s="4">
        <v>12.5</v>
      </c>
      <c r="T91" t="s">
        <v>84</v>
      </c>
      <c r="U91" t="s">
        <v>85</v>
      </c>
      <c r="V91">
        <v>2</v>
      </c>
    </row>
    <row r="92" spans="1:22">
      <c r="A92" t="s">
        <v>412</v>
      </c>
      <c r="B92" s="3">
        <v>45377</v>
      </c>
      <c r="C92" s="3">
        <v>45387</v>
      </c>
      <c r="D92" t="s">
        <v>413</v>
      </c>
      <c r="E92" t="s">
        <v>414</v>
      </c>
      <c r="F92" t="s">
        <v>89</v>
      </c>
      <c r="G92" t="s">
        <v>138</v>
      </c>
      <c r="H92" t="s">
        <v>139</v>
      </c>
      <c r="I92" t="s">
        <v>140</v>
      </c>
      <c r="J92" t="s">
        <v>78</v>
      </c>
      <c r="K92" t="s">
        <v>168</v>
      </c>
      <c r="L92" t="s">
        <v>214</v>
      </c>
      <c r="M92" t="s">
        <v>215</v>
      </c>
      <c r="N92" t="s">
        <v>103</v>
      </c>
      <c r="O92" t="s">
        <v>171</v>
      </c>
      <c r="P92">
        <v>8</v>
      </c>
      <c r="Q92" s="4">
        <v>12.01</v>
      </c>
      <c r="R92" s="5">
        <v>0.12</v>
      </c>
      <c r="S92" s="4">
        <v>11.03</v>
      </c>
      <c r="T92" t="s">
        <v>122</v>
      </c>
      <c r="U92" t="s">
        <v>85</v>
      </c>
      <c r="V92">
        <v>1</v>
      </c>
    </row>
    <row r="93" spans="1:22">
      <c r="A93" t="s">
        <v>415</v>
      </c>
      <c r="B93" s="3">
        <v>45377</v>
      </c>
      <c r="C93" s="3">
        <v>45381</v>
      </c>
      <c r="D93" t="s">
        <v>416</v>
      </c>
      <c r="E93" t="s">
        <v>417</v>
      </c>
      <c r="F93" t="s">
        <v>89</v>
      </c>
      <c r="G93" t="s">
        <v>138</v>
      </c>
      <c r="H93" t="s">
        <v>186</v>
      </c>
      <c r="I93" t="s">
        <v>187</v>
      </c>
      <c r="J93" t="s">
        <v>109</v>
      </c>
      <c r="K93" t="s">
        <v>168</v>
      </c>
      <c r="L93" t="s">
        <v>169</v>
      </c>
      <c r="M93" t="s">
        <v>170</v>
      </c>
      <c r="N93" t="s">
        <v>103</v>
      </c>
      <c r="O93" t="s">
        <v>171</v>
      </c>
      <c r="P93">
        <v>2</v>
      </c>
      <c r="Q93" s="4">
        <v>15.81</v>
      </c>
      <c r="R93" s="5">
        <v>0.21</v>
      </c>
      <c r="S93" s="4">
        <v>13.04</v>
      </c>
      <c r="T93" t="s">
        <v>122</v>
      </c>
      <c r="U93" t="s">
        <v>85</v>
      </c>
      <c r="V93">
        <v>5</v>
      </c>
    </row>
    <row r="94" spans="1:22">
      <c r="A94" t="s">
        <v>418</v>
      </c>
      <c r="B94" s="3">
        <v>45378</v>
      </c>
      <c r="C94" s="3">
        <v>45396</v>
      </c>
      <c r="D94" t="s">
        <v>419</v>
      </c>
      <c r="E94" t="s">
        <v>420</v>
      </c>
      <c r="F94" t="s">
        <v>74</v>
      </c>
      <c r="G94" t="s">
        <v>126</v>
      </c>
      <c r="H94" t="s">
        <v>160</v>
      </c>
      <c r="I94" t="s">
        <v>161</v>
      </c>
      <c r="J94" t="s">
        <v>219</v>
      </c>
      <c r="K94" t="s">
        <v>90</v>
      </c>
      <c r="L94" t="s">
        <v>214</v>
      </c>
      <c r="M94" t="s">
        <v>215</v>
      </c>
      <c r="N94" t="s">
        <v>103</v>
      </c>
      <c r="O94" t="s">
        <v>171</v>
      </c>
      <c r="P94">
        <v>5</v>
      </c>
      <c r="Q94" s="4">
        <v>12.01</v>
      </c>
      <c r="R94" s="5">
        <v>0.06</v>
      </c>
      <c r="S94" s="4">
        <v>5.98</v>
      </c>
      <c r="T94" t="s">
        <v>122</v>
      </c>
      <c r="U94" t="s">
        <v>85</v>
      </c>
      <c r="V94">
        <v>2</v>
      </c>
    </row>
    <row r="95" spans="1:22">
      <c r="A95" t="s">
        <v>421</v>
      </c>
      <c r="B95" s="3">
        <v>45380</v>
      </c>
      <c r="C95" s="3">
        <v>45388</v>
      </c>
      <c r="D95" t="s">
        <v>300</v>
      </c>
      <c r="E95" t="s">
        <v>151</v>
      </c>
      <c r="F95" t="s">
        <v>152</v>
      </c>
      <c r="G95" t="s">
        <v>75</v>
      </c>
      <c r="H95" t="s">
        <v>98</v>
      </c>
      <c r="I95" t="s">
        <v>99</v>
      </c>
      <c r="J95" t="s">
        <v>219</v>
      </c>
      <c r="K95" t="s">
        <v>79</v>
      </c>
      <c r="L95" t="s">
        <v>91</v>
      </c>
      <c r="M95" t="s">
        <v>92</v>
      </c>
      <c r="N95" t="s">
        <v>93</v>
      </c>
      <c r="O95" t="s">
        <v>94</v>
      </c>
      <c r="P95">
        <v>4</v>
      </c>
      <c r="Q95" s="4">
        <v>335.39</v>
      </c>
      <c r="R95" s="5">
        <v>0.12</v>
      </c>
      <c r="S95" s="4">
        <v>21.25</v>
      </c>
      <c r="T95" t="s">
        <v>134</v>
      </c>
      <c r="U95" t="s">
        <v>85</v>
      </c>
      <c r="V95">
        <v>1</v>
      </c>
    </row>
    <row r="96" spans="1:22">
      <c r="A96" t="s">
        <v>422</v>
      </c>
      <c r="B96" s="3">
        <v>45381</v>
      </c>
      <c r="C96" s="3">
        <v>45385</v>
      </c>
      <c r="D96" t="s">
        <v>410</v>
      </c>
      <c r="E96" t="s">
        <v>411</v>
      </c>
      <c r="F96" t="s">
        <v>74</v>
      </c>
      <c r="G96" t="s">
        <v>126</v>
      </c>
      <c r="H96" t="s">
        <v>291</v>
      </c>
      <c r="I96" t="s">
        <v>292</v>
      </c>
      <c r="J96" t="s">
        <v>78</v>
      </c>
      <c r="K96" t="s">
        <v>79</v>
      </c>
      <c r="L96" t="s">
        <v>301</v>
      </c>
      <c r="M96" t="s">
        <v>302</v>
      </c>
      <c r="N96" t="s">
        <v>120</v>
      </c>
      <c r="O96" t="s">
        <v>190</v>
      </c>
      <c r="P96">
        <v>2</v>
      </c>
      <c r="Q96" s="4">
        <v>146.68</v>
      </c>
      <c r="R96" s="5">
        <v>0.1</v>
      </c>
      <c r="S96" s="4">
        <v>13.74</v>
      </c>
      <c r="T96" t="s">
        <v>122</v>
      </c>
      <c r="U96" t="s">
        <v>85</v>
      </c>
      <c r="V96">
        <v>1</v>
      </c>
    </row>
    <row r="97" spans="1:22">
      <c r="A97" t="s">
        <v>423</v>
      </c>
      <c r="B97" s="3">
        <v>45381</v>
      </c>
      <c r="C97" s="3">
        <v>45390</v>
      </c>
      <c r="D97" t="s">
        <v>424</v>
      </c>
      <c r="E97" t="s">
        <v>425</v>
      </c>
      <c r="F97" t="s">
        <v>152</v>
      </c>
      <c r="G97" t="s">
        <v>138</v>
      </c>
      <c r="H97" t="s">
        <v>347</v>
      </c>
      <c r="I97" t="s">
        <v>348</v>
      </c>
      <c r="J97" t="s">
        <v>219</v>
      </c>
      <c r="K97" t="s">
        <v>168</v>
      </c>
      <c r="L97" t="s">
        <v>80</v>
      </c>
      <c r="M97" t="s">
        <v>81</v>
      </c>
      <c r="N97" t="s">
        <v>82</v>
      </c>
      <c r="O97" t="s">
        <v>83</v>
      </c>
      <c r="P97">
        <v>6</v>
      </c>
      <c r="Q97" s="4">
        <v>247.22</v>
      </c>
      <c r="R97" s="5">
        <v>0.08</v>
      </c>
      <c r="S97" s="4">
        <v>10.050000000000001</v>
      </c>
      <c r="T97" t="s">
        <v>84</v>
      </c>
      <c r="U97" t="s">
        <v>85</v>
      </c>
      <c r="V97">
        <v>4</v>
      </c>
    </row>
    <row r="98" spans="1:22">
      <c r="A98" t="s">
        <v>426</v>
      </c>
      <c r="B98" s="3">
        <v>45381</v>
      </c>
      <c r="C98" s="3">
        <v>45391</v>
      </c>
      <c r="D98" t="s">
        <v>427</v>
      </c>
      <c r="E98" t="s">
        <v>428</v>
      </c>
      <c r="F98" t="s">
        <v>152</v>
      </c>
      <c r="G98" t="s">
        <v>194</v>
      </c>
      <c r="H98" t="s">
        <v>240</v>
      </c>
      <c r="I98" t="s">
        <v>241</v>
      </c>
      <c r="J98" t="s">
        <v>219</v>
      </c>
      <c r="K98" t="s">
        <v>100</v>
      </c>
      <c r="L98" t="s">
        <v>284</v>
      </c>
      <c r="M98" t="s">
        <v>285</v>
      </c>
      <c r="N98" t="s">
        <v>103</v>
      </c>
      <c r="O98" t="s">
        <v>143</v>
      </c>
      <c r="P98">
        <v>2</v>
      </c>
      <c r="Q98" s="4">
        <v>27.48</v>
      </c>
      <c r="R98" s="5">
        <v>0.19</v>
      </c>
      <c r="S98" s="4">
        <v>16.649999999999999</v>
      </c>
      <c r="T98" t="s">
        <v>134</v>
      </c>
      <c r="U98" t="s">
        <v>85</v>
      </c>
      <c r="V98">
        <v>5</v>
      </c>
    </row>
    <row r="99" spans="1:22">
      <c r="A99" t="s">
        <v>429</v>
      </c>
      <c r="B99" s="3">
        <v>45382</v>
      </c>
      <c r="C99" s="3">
        <v>45388</v>
      </c>
      <c r="D99" t="s">
        <v>430</v>
      </c>
      <c r="E99" t="s">
        <v>224</v>
      </c>
      <c r="F99" t="s">
        <v>74</v>
      </c>
      <c r="G99" t="s">
        <v>194</v>
      </c>
      <c r="H99" t="s">
        <v>225</v>
      </c>
      <c r="I99" t="s">
        <v>226</v>
      </c>
      <c r="J99" t="s">
        <v>129</v>
      </c>
      <c r="K99" t="s">
        <v>168</v>
      </c>
      <c r="L99" t="s">
        <v>431</v>
      </c>
      <c r="M99" t="s">
        <v>432</v>
      </c>
      <c r="N99" t="s">
        <v>103</v>
      </c>
      <c r="O99" t="s">
        <v>251</v>
      </c>
      <c r="P99">
        <v>2</v>
      </c>
      <c r="Q99" s="4">
        <v>38.049999999999997</v>
      </c>
      <c r="R99" s="5">
        <v>0.06</v>
      </c>
      <c r="S99" s="4">
        <v>6.49</v>
      </c>
      <c r="T99" t="s">
        <v>122</v>
      </c>
      <c r="U99" t="s">
        <v>85</v>
      </c>
      <c r="V99">
        <v>2</v>
      </c>
    </row>
    <row r="100" spans="1:22">
      <c r="A100" t="s">
        <v>433</v>
      </c>
      <c r="B100" s="3">
        <v>45382</v>
      </c>
      <c r="C100" s="3">
        <v>45387</v>
      </c>
      <c r="D100" t="s">
        <v>124</v>
      </c>
      <c r="E100" t="s">
        <v>125</v>
      </c>
      <c r="F100" t="s">
        <v>74</v>
      </c>
      <c r="G100" t="s">
        <v>126</v>
      </c>
      <c r="H100" t="s">
        <v>127</v>
      </c>
      <c r="I100" t="s">
        <v>128</v>
      </c>
      <c r="J100" t="s">
        <v>129</v>
      </c>
      <c r="K100" t="s">
        <v>130</v>
      </c>
      <c r="L100" t="s">
        <v>301</v>
      </c>
      <c r="M100" t="s">
        <v>302</v>
      </c>
      <c r="N100" t="s">
        <v>120</v>
      </c>
      <c r="O100" t="s">
        <v>190</v>
      </c>
      <c r="P100">
        <v>3</v>
      </c>
      <c r="Q100" s="4">
        <v>135.22</v>
      </c>
      <c r="R100" s="5">
        <v>0.05</v>
      </c>
      <c r="S100" s="4">
        <v>21.98</v>
      </c>
      <c r="T100" t="s">
        <v>122</v>
      </c>
      <c r="U100" t="s">
        <v>85</v>
      </c>
      <c r="V100">
        <v>2</v>
      </c>
    </row>
    <row r="101" spans="1:22">
      <c r="A101" t="s">
        <v>434</v>
      </c>
      <c r="B101" s="3">
        <v>45382</v>
      </c>
      <c r="C101" s="3">
        <v>45384</v>
      </c>
      <c r="D101" t="s">
        <v>435</v>
      </c>
      <c r="E101" t="s">
        <v>436</v>
      </c>
      <c r="F101" t="s">
        <v>89</v>
      </c>
      <c r="G101" t="s">
        <v>138</v>
      </c>
      <c r="H101" t="s">
        <v>153</v>
      </c>
      <c r="I101" t="s">
        <v>154</v>
      </c>
      <c r="J101" t="s">
        <v>219</v>
      </c>
      <c r="K101" t="s">
        <v>168</v>
      </c>
      <c r="L101" t="s">
        <v>242</v>
      </c>
      <c r="M101" t="s">
        <v>243</v>
      </c>
      <c r="N101" t="s">
        <v>120</v>
      </c>
      <c r="O101" t="s">
        <v>133</v>
      </c>
      <c r="P101">
        <v>4</v>
      </c>
      <c r="Q101" s="4">
        <v>183.19</v>
      </c>
      <c r="R101" s="5">
        <v>0.04</v>
      </c>
      <c r="S101" s="4">
        <v>8.58</v>
      </c>
      <c r="T101" t="s">
        <v>122</v>
      </c>
      <c r="U101" t="s">
        <v>85</v>
      </c>
    </row>
    <row r="102" spans="1:22">
      <c r="A102" t="s">
        <v>437</v>
      </c>
      <c r="B102" s="3">
        <v>45388</v>
      </c>
      <c r="C102" s="3">
        <v>45396</v>
      </c>
      <c r="D102" t="s">
        <v>438</v>
      </c>
      <c r="E102" t="s">
        <v>439</v>
      </c>
      <c r="F102" t="s">
        <v>152</v>
      </c>
      <c r="G102" t="s">
        <v>194</v>
      </c>
      <c r="H102" t="s">
        <v>240</v>
      </c>
      <c r="I102" t="s">
        <v>241</v>
      </c>
      <c r="J102" t="s">
        <v>219</v>
      </c>
      <c r="K102" t="s">
        <v>130</v>
      </c>
      <c r="L102" t="s">
        <v>249</v>
      </c>
      <c r="M102" t="s">
        <v>250</v>
      </c>
      <c r="N102" t="s">
        <v>103</v>
      </c>
      <c r="O102" t="s">
        <v>251</v>
      </c>
      <c r="P102">
        <v>3</v>
      </c>
      <c r="Q102" s="4">
        <v>22.63</v>
      </c>
      <c r="R102" s="5">
        <v>0.08</v>
      </c>
      <c r="S102" s="4">
        <v>13.29</v>
      </c>
      <c r="T102" t="s">
        <v>134</v>
      </c>
      <c r="U102" t="s">
        <v>85</v>
      </c>
      <c r="V102">
        <v>1</v>
      </c>
    </row>
    <row r="103" spans="1:22">
      <c r="A103" t="s">
        <v>440</v>
      </c>
      <c r="B103" s="3">
        <v>45388</v>
      </c>
      <c r="C103" s="3">
        <v>45392</v>
      </c>
      <c r="D103" t="s">
        <v>441</v>
      </c>
      <c r="E103" t="s">
        <v>442</v>
      </c>
      <c r="F103" t="s">
        <v>89</v>
      </c>
      <c r="G103" t="s">
        <v>194</v>
      </c>
      <c r="H103" t="s">
        <v>202</v>
      </c>
      <c r="I103" t="s">
        <v>203</v>
      </c>
      <c r="J103" t="s">
        <v>129</v>
      </c>
      <c r="K103" t="s">
        <v>130</v>
      </c>
      <c r="L103" t="s">
        <v>234</v>
      </c>
      <c r="M103" t="s">
        <v>235</v>
      </c>
      <c r="N103" t="s">
        <v>93</v>
      </c>
      <c r="O103" t="s">
        <v>236</v>
      </c>
      <c r="P103">
        <v>1</v>
      </c>
      <c r="Q103" s="4">
        <v>151.04</v>
      </c>
      <c r="R103" s="5">
        <v>0.09</v>
      </c>
      <c r="S103" s="4">
        <v>22</v>
      </c>
      <c r="T103" t="s">
        <v>134</v>
      </c>
      <c r="U103" t="s">
        <v>85</v>
      </c>
      <c r="V103">
        <v>1</v>
      </c>
    </row>
    <row r="104" spans="1:22">
      <c r="A104" t="s">
        <v>443</v>
      </c>
      <c r="B104" s="3">
        <v>45389</v>
      </c>
      <c r="C104" s="3">
        <v>45395</v>
      </c>
      <c r="D104" t="s">
        <v>276</v>
      </c>
      <c r="E104" t="s">
        <v>277</v>
      </c>
      <c r="F104" t="s">
        <v>152</v>
      </c>
      <c r="G104" t="s">
        <v>75</v>
      </c>
      <c r="H104" t="s">
        <v>212</v>
      </c>
      <c r="I104" t="s">
        <v>213</v>
      </c>
      <c r="J104" t="s">
        <v>78</v>
      </c>
      <c r="K104" t="s">
        <v>79</v>
      </c>
      <c r="L104" t="s">
        <v>214</v>
      </c>
      <c r="M104" t="s">
        <v>215</v>
      </c>
      <c r="N104" t="s">
        <v>103</v>
      </c>
      <c r="O104" t="s">
        <v>171</v>
      </c>
      <c r="P104">
        <v>10</v>
      </c>
      <c r="Q104" s="4">
        <v>11.41</v>
      </c>
      <c r="R104" s="5">
        <v>0.02</v>
      </c>
      <c r="S104" s="4">
        <v>10.47</v>
      </c>
      <c r="T104" t="s">
        <v>84</v>
      </c>
      <c r="U104" t="s">
        <v>85</v>
      </c>
      <c r="V104">
        <v>4</v>
      </c>
    </row>
    <row r="105" spans="1:22">
      <c r="A105" t="s">
        <v>444</v>
      </c>
      <c r="B105" s="3">
        <v>45390</v>
      </c>
      <c r="C105" s="3">
        <v>45399</v>
      </c>
      <c r="D105" t="s">
        <v>445</v>
      </c>
      <c r="E105" t="s">
        <v>446</v>
      </c>
      <c r="F105" t="s">
        <v>152</v>
      </c>
      <c r="G105" t="s">
        <v>126</v>
      </c>
      <c r="H105" t="s">
        <v>160</v>
      </c>
      <c r="I105" t="s">
        <v>182</v>
      </c>
      <c r="J105" t="s">
        <v>219</v>
      </c>
      <c r="K105" t="s">
        <v>79</v>
      </c>
      <c r="L105" t="s">
        <v>249</v>
      </c>
      <c r="M105" t="s">
        <v>250</v>
      </c>
      <c r="N105" t="s">
        <v>103</v>
      </c>
      <c r="O105" t="s">
        <v>251</v>
      </c>
      <c r="P105">
        <v>6</v>
      </c>
      <c r="Q105" s="4">
        <v>21.46</v>
      </c>
      <c r="R105" s="5">
        <v>0.08</v>
      </c>
      <c r="S105" s="4">
        <v>9.7200000000000006</v>
      </c>
      <c r="T105" t="s">
        <v>105</v>
      </c>
      <c r="U105" t="s">
        <v>85</v>
      </c>
      <c r="V105">
        <v>4</v>
      </c>
    </row>
    <row r="106" spans="1:22">
      <c r="A106" t="s">
        <v>447</v>
      </c>
      <c r="B106" s="3">
        <v>45391</v>
      </c>
      <c r="C106" s="3">
        <v>45395</v>
      </c>
      <c r="D106" t="s">
        <v>448</v>
      </c>
      <c r="E106" t="s">
        <v>449</v>
      </c>
      <c r="F106" t="s">
        <v>89</v>
      </c>
      <c r="G106" t="s">
        <v>126</v>
      </c>
      <c r="H106" t="s">
        <v>160</v>
      </c>
      <c r="I106" t="s">
        <v>182</v>
      </c>
      <c r="J106" t="s">
        <v>219</v>
      </c>
      <c r="K106" t="s">
        <v>147</v>
      </c>
      <c r="L106" t="s">
        <v>254</v>
      </c>
      <c r="M106" t="s">
        <v>255</v>
      </c>
      <c r="N106" t="s">
        <v>82</v>
      </c>
      <c r="O106" t="s">
        <v>83</v>
      </c>
      <c r="P106">
        <v>2</v>
      </c>
      <c r="Q106" s="4">
        <v>99.5</v>
      </c>
      <c r="R106" s="5">
        <v>0.18</v>
      </c>
      <c r="S106" s="4">
        <v>16.62</v>
      </c>
      <c r="T106" t="s">
        <v>84</v>
      </c>
      <c r="U106" t="s">
        <v>85</v>
      </c>
    </row>
    <row r="107" spans="1:22">
      <c r="A107" t="s">
        <v>447</v>
      </c>
      <c r="B107" s="3">
        <v>45391</v>
      </c>
      <c r="C107" s="3">
        <v>45395</v>
      </c>
      <c r="D107" t="s">
        <v>448</v>
      </c>
      <c r="E107" t="s">
        <v>449</v>
      </c>
      <c r="F107" t="s">
        <v>89</v>
      </c>
      <c r="G107" t="s">
        <v>126</v>
      </c>
      <c r="H107" t="s">
        <v>160</v>
      </c>
      <c r="I107" t="s">
        <v>182</v>
      </c>
      <c r="J107" t="s">
        <v>219</v>
      </c>
      <c r="K107" t="s">
        <v>147</v>
      </c>
      <c r="L107" t="s">
        <v>254</v>
      </c>
      <c r="M107" t="s">
        <v>255</v>
      </c>
      <c r="N107" t="s">
        <v>82</v>
      </c>
      <c r="O107" t="s">
        <v>83</v>
      </c>
      <c r="P107">
        <v>2</v>
      </c>
      <c r="Q107" s="4">
        <v>99.5</v>
      </c>
      <c r="R107" s="5">
        <v>0.18</v>
      </c>
      <c r="S107" s="4">
        <v>16.62</v>
      </c>
      <c r="T107" t="s">
        <v>84</v>
      </c>
      <c r="U107" t="s">
        <v>85</v>
      </c>
    </row>
    <row r="108" spans="1:22">
      <c r="A108" t="s">
        <v>450</v>
      </c>
      <c r="B108" s="3">
        <v>45391</v>
      </c>
      <c r="C108" s="3">
        <v>45392</v>
      </c>
      <c r="D108" t="s">
        <v>451</v>
      </c>
      <c r="E108" t="s">
        <v>452</v>
      </c>
      <c r="F108" t="s">
        <v>89</v>
      </c>
      <c r="G108" t="s">
        <v>126</v>
      </c>
      <c r="H108" t="s">
        <v>160</v>
      </c>
      <c r="I108" t="s">
        <v>161</v>
      </c>
      <c r="J108" t="s">
        <v>109</v>
      </c>
      <c r="K108" t="s">
        <v>168</v>
      </c>
      <c r="L108" t="s">
        <v>359</v>
      </c>
      <c r="M108" t="s">
        <v>360</v>
      </c>
      <c r="N108" t="s">
        <v>93</v>
      </c>
      <c r="O108" t="s">
        <v>94</v>
      </c>
      <c r="P108">
        <v>3</v>
      </c>
      <c r="Q108" s="4">
        <v>469.11</v>
      </c>
      <c r="R108" s="5">
        <v>0.08</v>
      </c>
      <c r="S108" s="4">
        <v>19.09</v>
      </c>
      <c r="T108" t="s">
        <v>122</v>
      </c>
      <c r="U108" t="s">
        <v>85</v>
      </c>
      <c r="V108">
        <v>5</v>
      </c>
    </row>
    <row r="109" spans="1:22">
      <c r="A109" t="s">
        <v>453</v>
      </c>
      <c r="B109" s="3">
        <v>45393</v>
      </c>
      <c r="C109" s="3">
        <v>45402</v>
      </c>
      <c r="D109" t="s">
        <v>454</v>
      </c>
      <c r="E109" t="s">
        <v>329</v>
      </c>
      <c r="F109" t="s">
        <v>89</v>
      </c>
      <c r="G109" t="s">
        <v>75</v>
      </c>
      <c r="H109" t="s">
        <v>212</v>
      </c>
      <c r="I109" t="s">
        <v>213</v>
      </c>
      <c r="J109" t="s">
        <v>219</v>
      </c>
      <c r="K109" t="s">
        <v>168</v>
      </c>
      <c r="L109" t="s">
        <v>131</v>
      </c>
      <c r="M109" t="s">
        <v>132</v>
      </c>
      <c r="N109" t="s">
        <v>120</v>
      </c>
      <c r="O109" t="s">
        <v>133</v>
      </c>
      <c r="P109">
        <v>2</v>
      </c>
      <c r="Q109" s="4">
        <v>92.05</v>
      </c>
      <c r="R109" s="5">
        <v>0.01</v>
      </c>
      <c r="S109" s="4">
        <v>10</v>
      </c>
      <c r="T109" t="s">
        <v>84</v>
      </c>
      <c r="U109" t="s">
        <v>85</v>
      </c>
      <c r="V109">
        <v>3</v>
      </c>
    </row>
    <row r="110" spans="1:22">
      <c r="A110" t="s">
        <v>455</v>
      </c>
      <c r="B110" s="3">
        <v>45393</v>
      </c>
      <c r="C110" s="3">
        <v>45402</v>
      </c>
      <c r="D110" t="s">
        <v>456</v>
      </c>
      <c r="E110" t="s">
        <v>369</v>
      </c>
      <c r="F110" t="s">
        <v>89</v>
      </c>
      <c r="G110" t="s">
        <v>138</v>
      </c>
      <c r="H110" t="s">
        <v>457</v>
      </c>
      <c r="I110" t="s">
        <v>458</v>
      </c>
      <c r="J110" t="s">
        <v>109</v>
      </c>
      <c r="K110" t="s">
        <v>147</v>
      </c>
      <c r="L110" t="s">
        <v>169</v>
      </c>
      <c r="M110" t="s">
        <v>170</v>
      </c>
      <c r="N110" t="s">
        <v>103</v>
      </c>
      <c r="O110" t="s">
        <v>171</v>
      </c>
      <c r="P110">
        <v>10</v>
      </c>
      <c r="Q110" s="4">
        <v>14.94</v>
      </c>
      <c r="R110" s="5">
        <v>0.11</v>
      </c>
      <c r="S110" s="4">
        <v>11.12</v>
      </c>
      <c r="T110" t="s">
        <v>134</v>
      </c>
      <c r="U110" t="s">
        <v>85</v>
      </c>
      <c r="V110">
        <v>1</v>
      </c>
    </row>
    <row r="111" spans="1:22">
      <c r="A111" t="s">
        <v>459</v>
      </c>
      <c r="B111" s="3">
        <v>45394</v>
      </c>
      <c r="C111" s="3">
        <v>45401</v>
      </c>
      <c r="D111" t="s">
        <v>460</v>
      </c>
      <c r="E111" t="s">
        <v>461</v>
      </c>
      <c r="F111" t="s">
        <v>74</v>
      </c>
      <c r="G111" t="s">
        <v>75</v>
      </c>
      <c r="H111" t="s">
        <v>273</v>
      </c>
      <c r="I111" t="s">
        <v>274</v>
      </c>
      <c r="J111" t="s">
        <v>78</v>
      </c>
      <c r="K111" t="s">
        <v>168</v>
      </c>
      <c r="L111" t="s">
        <v>169</v>
      </c>
      <c r="M111" t="s">
        <v>170</v>
      </c>
      <c r="N111" t="s">
        <v>103</v>
      </c>
      <c r="O111" t="s">
        <v>171</v>
      </c>
      <c r="P111">
        <v>2</v>
      </c>
      <c r="Q111" s="4">
        <v>14.68</v>
      </c>
      <c r="R111" s="5">
        <v>0.1</v>
      </c>
      <c r="S111" s="4">
        <v>12.99</v>
      </c>
      <c r="T111" t="s">
        <v>84</v>
      </c>
      <c r="U111" t="s">
        <v>85</v>
      </c>
      <c r="V111">
        <v>1</v>
      </c>
    </row>
    <row r="112" spans="1:22">
      <c r="A112" t="s">
        <v>462</v>
      </c>
      <c r="B112" s="3">
        <v>45394</v>
      </c>
      <c r="C112" s="3">
        <v>45404</v>
      </c>
      <c r="D112" t="s">
        <v>463</v>
      </c>
      <c r="E112" t="s">
        <v>464</v>
      </c>
      <c r="F112" t="s">
        <v>152</v>
      </c>
      <c r="G112" t="s">
        <v>194</v>
      </c>
      <c r="H112" t="s">
        <v>202</v>
      </c>
      <c r="I112" t="s">
        <v>203</v>
      </c>
      <c r="J112" t="s">
        <v>78</v>
      </c>
      <c r="K112" t="s">
        <v>168</v>
      </c>
      <c r="L112" t="s">
        <v>131</v>
      </c>
      <c r="M112" t="s">
        <v>132</v>
      </c>
      <c r="N112" t="s">
        <v>120</v>
      </c>
      <c r="O112" t="s">
        <v>133</v>
      </c>
      <c r="P112">
        <v>1</v>
      </c>
      <c r="Q112" s="4">
        <v>88.93</v>
      </c>
      <c r="R112" s="5">
        <v>0.23</v>
      </c>
      <c r="S112" s="4">
        <v>10.34</v>
      </c>
      <c r="T112" t="s">
        <v>122</v>
      </c>
      <c r="U112" t="s">
        <v>85</v>
      </c>
      <c r="V112">
        <v>5</v>
      </c>
    </row>
    <row r="113" spans="1:22">
      <c r="A113" t="s">
        <v>465</v>
      </c>
      <c r="B113" s="3">
        <v>45395</v>
      </c>
      <c r="C113" s="3">
        <v>45397</v>
      </c>
      <c r="D113" t="s">
        <v>454</v>
      </c>
      <c r="E113" t="s">
        <v>329</v>
      </c>
      <c r="F113" t="s">
        <v>89</v>
      </c>
      <c r="G113" t="s">
        <v>75</v>
      </c>
      <c r="H113" t="s">
        <v>212</v>
      </c>
      <c r="I113" t="s">
        <v>213</v>
      </c>
      <c r="J113" t="s">
        <v>376</v>
      </c>
      <c r="K113" t="s">
        <v>100</v>
      </c>
      <c r="L113" t="s">
        <v>242</v>
      </c>
      <c r="M113" t="s">
        <v>243</v>
      </c>
      <c r="N113" t="s">
        <v>120</v>
      </c>
      <c r="O113" t="s">
        <v>133</v>
      </c>
      <c r="P113">
        <v>4</v>
      </c>
      <c r="Q113" s="4">
        <v>193.4</v>
      </c>
      <c r="R113" s="5">
        <v>0.01</v>
      </c>
      <c r="S113" s="4">
        <v>18.190000000000001</v>
      </c>
      <c r="T113" t="s">
        <v>84</v>
      </c>
      <c r="U113" t="s">
        <v>85</v>
      </c>
      <c r="V113">
        <v>4</v>
      </c>
    </row>
    <row r="114" spans="1:22">
      <c r="A114" t="s">
        <v>466</v>
      </c>
      <c r="B114" s="3">
        <v>45396</v>
      </c>
      <c r="C114" s="3">
        <v>45397</v>
      </c>
      <c r="D114" t="s">
        <v>467</v>
      </c>
      <c r="E114" t="s">
        <v>363</v>
      </c>
      <c r="F114" t="s">
        <v>152</v>
      </c>
      <c r="G114" t="s">
        <v>75</v>
      </c>
      <c r="H114" t="s">
        <v>76</v>
      </c>
      <c r="I114" t="s">
        <v>77</v>
      </c>
      <c r="J114" t="s">
        <v>109</v>
      </c>
      <c r="K114" t="s">
        <v>90</v>
      </c>
      <c r="L114" t="s">
        <v>284</v>
      </c>
      <c r="M114" t="s">
        <v>285</v>
      </c>
      <c r="N114" t="s">
        <v>103</v>
      </c>
      <c r="O114" t="s">
        <v>143</v>
      </c>
      <c r="P114">
        <v>3</v>
      </c>
      <c r="Q114" s="4">
        <v>26.63</v>
      </c>
      <c r="R114" s="5">
        <v>0.09</v>
      </c>
      <c r="S114" s="4">
        <v>15.4</v>
      </c>
      <c r="T114" t="s">
        <v>122</v>
      </c>
      <c r="U114" t="s">
        <v>85</v>
      </c>
      <c r="V114">
        <v>3</v>
      </c>
    </row>
    <row r="115" spans="1:22">
      <c r="A115" t="s">
        <v>468</v>
      </c>
      <c r="B115" s="3">
        <v>45396</v>
      </c>
      <c r="C115" s="3">
        <v>45400</v>
      </c>
      <c r="D115" t="s">
        <v>469</v>
      </c>
      <c r="E115" t="s">
        <v>470</v>
      </c>
      <c r="F115" t="s">
        <v>89</v>
      </c>
      <c r="G115" t="s">
        <v>138</v>
      </c>
      <c r="H115" t="s">
        <v>186</v>
      </c>
      <c r="I115" t="s">
        <v>187</v>
      </c>
      <c r="J115" t="s">
        <v>219</v>
      </c>
      <c r="K115" t="s">
        <v>100</v>
      </c>
      <c r="L115" t="s">
        <v>175</v>
      </c>
      <c r="M115" t="s">
        <v>176</v>
      </c>
      <c r="N115" t="s">
        <v>93</v>
      </c>
      <c r="O115" t="s">
        <v>177</v>
      </c>
      <c r="P115">
        <v>3</v>
      </c>
      <c r="Q115" s="4">
        <v>173.08</v>
      </c>
      <c r="R115" s="5">
        <v>0.09</v>
      </c>
      <c r="S115" s="4">
        <v>29.62</v>
      </c>
      <c r="T115" t="s">
        <v>84</v>
      </c>
      <c r="U115" t="s">
        <v>85</v>
      </c>
      <c r="V115">
        <v>5</v>
      </c>
    </row>
    <row r="116" spans="1:22">
      <c r="A116" t="s">
        <v>471</v>
      </c>
      <c r="B116" s="3">
        <v>45396</v>
      </c>
      <c r="C116" s="3">
        <v>45402</v>
      </c>
      <c r="D116" t="s">
        <v>472</v>
      </c>
      <c r="E116" t="s">
        <v>272</v>
      </c>
      <c r="F116" t="s">
        <v>89</v>
      </c>
      <c r="G116" t="s">
        <v>194</v>
      </c>
      <c r="H116" t="s">
        <v>240</v>
      </c>
      <c r="I116" t="s">
        <v>241</v>
      </c>
      <c r="J116" t="s">
        <v>109</v>
      </c>
      <c r="K116" t="s">
        <v>79</v>
      </c>
      <c r="L116" t="s">
        <v>254</v>
      </c>
      <c r="M116" t="s">
        <v>255</v>
      </c>
      <c r="N116" t="s">
        <v>82</v>
      </c>
      <c r="O116" t="s">
        <v>83</v>
      </c>
      <c r="P116">
        <v>8</v>
      </c>
      <c r="Q116" s="4">
        <v>93.95</v>
      </c>
      <c r="R116" s="5">
        <v>0.05</v>
      </c>
      <c r="S116" s="4">
        <v>9.6300000000000008</v>
      </c>
      <c r="T116" t="s">
        <v>134</v>
      </c>
      <c r="U116" t="s">
        <v>85</v>
      </c>
      <c r="V116">
        <v>3</v>
      </c>
    </row>
    <row r="117" spans="1:22">
      <c r="A117" t="s">
        <v>473</v>
      </c>
      <c r="B117" s="3">
        <v>45397</v>
      </c>
      <c r="C117" s="3">
        <v>45405</v>
      </c>
      <c r="D117" t="s">
        <v>474</v>
      </c>
      <c r="E117" t="s">
        <v>475</v>
      </c>
      <c r="F117" t="s">
        <v>74</v>
      </c>
      <c r="G117" t="s">
        <v>138</v>
      </c>
      <c r="H117" t="s">
        <v>153</v>
      </c>
      <c r="I117" t="s">
        <v>154</v>
      </c>
      <c r="J117" t="s">
        <v>78</v>
      </c>
      <c r="K117" t="s">
        <v>168</v>
      </c>
      <c r="L117" t="s">
        <v>337</v>
      </c>
      <c r="M117" t="s">
        <v>338</v>
      </c>
      <c r="N117" t="s">
        <v>93</v>
      </c>
      <c r="O117" t="s">
        <v>236</v>
      </c>
      <c r="P117">
        <v>3</v>
      </c>
      <c r="Q117" s="4">
        <v>271.58999999999997</v>
      </c>
      <c r="R117" s="5">
        <v>0.08</v>
      </c>
      <c r="S117" s="4">
        <v>24.19</v>
      </c>
      <c r="T117" t="s">
        <v>84</v>
      </c>
      <c r="U117" t="s">
        <v>85</v>
      </c>
      <c r="V117">
        <v>2</v>
      </c>
    </row>
    <row r="118" spans="1:22">
      <c r="A118" t="s">
        <v>476</v>
      </c>
      <c r="B118" s="3">
        <v>45398</v>
      </c>
      <c r="C118" s="3">
        <v>45399</v>
      </c>
      <c r="D118" t="s">
        <v>474</v>
      </c>
      <c r="E118" t="s">
        <v>475</v>
      </c>
      <c r="F118" t="s">
        <v>74</v>
      </c>
      <c r="G118" t="s">
        <v>138</v>
      </c>
      <c r="H118" t="s">
        <v>153</v>
      </c>
      <c r="I118" t="s">
        <v>154</v>
      </c>
      <c r="J118" t="s">
        <v>109</v>
      </c>
      <c r="K118" t="s">
        <v>147</v>
      </c>
      <c r="L118" t="s">
        <v>261</v>
      </c>
      <c r="M118" t="s">
        <v>262</v>
      </c>
      <c r="N118" t="s">
        <v>103</v>
      </c>
      <c r="O118" t="s">
        <v>104</v>
      </c>
      <c r="P118">
        <v>4</v>
      </c>
      <c r="Q118" s="4">
        <v>28.36</v>
      </c>
      <c r="R118" s="5">
        <v>0.01</v>
      </c>
      <c r="S118" s="4">
        <v>14.69</v>
      </c>
      <c r="T118" t="s">
        <v>134</v>
      </c>
      <c r="U118" t="s">
        <v>85</v>
      </c>
      <c r="V118">
        <v>5</v>
      </c>
    </row>
    <row r="119" spans="1:22">
      <c r="A119" t="s">
        <v>477</v>
      </c>
      <c r="B119" s="3">
        <v>45401</v>
      </c>
      <c r="C119" s="3">
        <v>45408</v>
      </c>
      <c r="D119" t="s">
        <v>478</v>
      </c>
      <c r="E119" t="s">
        <v>479</v>
      </c>
      <c r="F119" t="s">
        <v>74</v>
      </c>
      <c r="G119" t="s">
        <v>194</v>
      </c>
      <c r="H119" t="s">
        <v>240</v>
      </c>
      <c r="I119" t="s">
        <v>241</v>
      </c>
      <c r="J119" t="s">
        <v>129</v>
      </c>
      <c r="K119" t="s">
        <v>130</v>
      </c>
      <c r="L119" t="s">
        <v>214</v>
      </c>
      <c r="M119" t="s">
        <v>215</v>
      </c>
      <c r="N119" t="s">
        <v>103</v>
      </c>
      <c r="O119" t="s">
        <v>171</v>
      </c>
      <c r="P119">
        <v>2</v>
      </c>
      <c r="Q119" s="4">
        <v>12.44</v>
      </c>
      <c r="R119" s="5">
        <v>0.04</v>
      </c>
      <c r="S119" s="4">
        <v>10.6</v>
      </c>
      <c r="T119" t="s">
        <v>105</v>
      </c>
      <c r="U119" t="s">
        <v>85</v>
      </c>
      <c r="V119">
        <v>2</v>
      </c>
    </row>
    <row r="120" spans="1:22">
      <c r="A120" t="s">
        <v>480</v>
      </c>
      <c r="B120" s="3">
        <v>45403</v>
      </c>
      <c r="C120" s="3">
        <v>45406</v>
      </c>
      <c r="D120" t="s">
        <v>341</v>
      </c>
      <c r="E120" t="s">
        <v>342</v>
      </c>
      <c r="F120" t="s">
        <v>89</v>
      </c>
      <c r="G120" t="s">
        <v>138</v>
      </c>
      <c r="H120" t="s">
        <v>186</v>
      </c>
      <c r="I120" t="s">
        <v>187</v>
      </c>
      <c r="J120" t="s">
        <v>219</v>
      </c>
      <c r="K120" t="s">
        <v>79</v>
      </c>
      <c r="L120" t="s">
        <v>242</v>
      </c>
      <c r="M120" t="s">
        <v>243</v>
      </c>
      <c r="N120" t="s">
        <v>120</v>
      </c>
      <c r="O120" t="s">
        <v>133</v>
      </c>
      <c r="P120">
        <v>2</v>
      </c>
      <c r="Q120" s="4">
        <v>180.59</v>
      </c>
      <c r="R120" s="5">
        <v>0.01</v>
      </c>
      <c r="S120" s="4">
        <v>9.7799999999999994</v>
      </c>
      <c r="T120" t="s">
        <v>84</v>
      </c>
      <c r="U120" t="s">
        <v>85</v>
      </c>
      <c r="V120">
        <v>1</v>
      </c>
    </row>
    <row r="121" spans="1:22">
      <c r="A121" t="s">
        <v>481</v>
      </c>
      <c r="B121" s="3">
        <v>45406</v>
      </c>
      <c r="C121" s="3">
        <v>45407</v>
      </c>
      <c r="D121" t="s">
        <v>482</v>
      </c>
      <c r="E121" t="s">
        <v>483</v>
      </c>
      <c r="F121" t="s">
        <v>74</v>
      </c>
      <c r="G121" t="s">
        <v>194</v>
      </c>
      <c r="H121" t="s">
        <v>240</v>
      </c>
      <c r="I121" t="s">
        <v>241</v>
      </c>
      <c r="J121" t="s">
        <v>129</v>
      </c>
      <c r="K121" t="s">
        <v>147</v>
      </c>
      <c r="L121" t="s">
        <v>249</v>
      </c>
      <c r="M121" t="s">
        <v>250</v>
      </c>
      <c r="N121" t="s">
        <v>103</v>
      </c>
      <c r="O121" t="s">
        <v>251</v>
      </c>
      <c r="P121">
        <v>7</v>
      </c>
      <c r="Q121" s="4">
        <v>21.4</v>
      </c>
      <c r="R121" s="5">
        <v>0.05</v>
      </c>
      <c r="S121" s="4">
        <v>6.85</v>
      </c>
      <c r="T121" t="s">
        <v>122</v>
      </c>
      <c r="U121" t="s">
        <v>85</v>
      </c>
      <c r="V121">
        <v>4</v>
      </c>
    </row>
    <row r="122" spans="1:22">
      <c r="A122" t="s">
        <v>484</v>
      </c>
      <c r="B122" s="3">
        <v>45408</v>
      </c>
      <c r="C122" s="3">
        <v>45414</v>
      </c>
      <c r="D122" t="s">
        <v>485</v>
      </c>
      <c r="E122" t="s">
        <v>193</v>
      </c>
      <c r="F122" t="s">
        <v>74</v>
      </c>
      <c r="G122" t="s">
        <v>138</v>
      </c>
      <c r="H122" t="s">
        <v>153</v>
      </c>
      <c r="I122" t="s">
        <v>154</v>
      </c>
      <c r="J122" t="s">
        <v>78</v>
      </c>
      <c r="K122" t="s">
        <v>168</v>
      </c>
      <c r="L122" t="s">
        <v>141</v>
      </c>
      <c r="M122" t="s">
        <v>142</v>
      </c>
      <c r="N122" t="s">
        <v>103</v>
      </c>
      <c r="O122" t="s">
        <v>143</v>
      </c>
      <c r="P122">
        <v>2</v>
      </c>
      <c r="Q122" s="4">
        <v>35.08</v>
      </c>
      <c r="R122" s="5">
        <v>0.12</v>
      </c>
      <c r="S122" s="4">
        <v>10.15</v>
      </c>
      <c r="T122" t="s">
        <v>84</v>
      </c>
      <c r="U122" t="s">
        <v>85</v>
      </c>
      <c r="V122">
        <v>2</v>
      </c>
    </row>
    <row r="123" spans="1:22">
      <c r="A123" t="s">
        <v>486</v>
      </c>
      <c r="B123" s="3">
        <v>45413</v>
      </c>
      <c r="C123" s="3">
        <v>45416</v>
      </c>
      <c r="D123" t="s">
        <v>487</v>
      </c>
      <c r="E123" t="s">
        <v>470</v>
      </c>
      <c r="F123" t="s">
        <v>152</v>
      </c>
      <c r="G123" t="s">
        <v>75</v>
      </c>
      <c r="H123" t="s">
        <v>98</v>
      </c>
      <c r="I123" t="s">
        <v>99</v>
      </c>
      <c r="J123" t="s">
        <v>129</v>
      </c>
      <c r="K123" t="s">
        <v>130</v>
      </c>
      <c r="L123" t="s">
        <v>359</v>
      </c>
      <c r="M123" t="s">
        <v>360</v>
      </c>
      <c r="N123" t="s">
        <v>93</v>
      </c>
      <c r="O123" t="s">
        <v>94</v>
      </c>
      <c r="P123">
        <v>2</v>
      </c>
      <c r="Q123" s="4">
        <v>467.9</v>
      </c>
      <c r="R123" s="5">
        <v>0.02</v>
      </c>
      <c r="S123" s="4">
        <v>26.02</v>
      </c>
      <c r="T123" t="s">
        <v>105</v>
      </c>
      <c r="U123" t="s">
        <v>85</v>
      </c>
      <c r="V123">
        <v>4</v>
      </c>
    </row>
    <row r="124" spans="1:22">
      <c r="A124" t="s">
        <v>488</v>
      </c>
      <c r="B124" s="3">
        <v>45415</v>
      </c>
      <c r="C124" s="3">
        <v>45422</v>
      </c>
      <c r="D124" t="s">
        <v>217</v>
      </c>
      <c r="E124" t="s">
        <v>218</v>
      </c>
      <c r="F124" t="s">
        <v>89</v>
      </c>
      <c r="G124" t="s">
        <v>75</v>
      </c>
      <c r="H124" t="s">
        <v>98</v>
      </c>
      <c r="I124" t="s">
        <v>99</v>
      </c>
      <c r="J124" t="s">
        <v>129</v>
      </c>
      <c r="K124" t="s">
        <v>79</v>
      </c>
      <c r="L124" t="s">
        <v>118</v>
      </c>
      <c r="M124" t="s">
        <v>119</v>
      </c>
      <c r="N124" t="s">
        <v>120</v>
      </c>
      <c r="O124" t="s">
        <v>121</v>
      </c>
      <c r="P124">
        <v>3</v>
      </c>
      <c r="Q124" s="4">
        <v>281.14999999999998</v>
      </c>
      <c r="R124" s="5">
        <v>0.08</v>
      </c>
      <c r="S124" s="4">
        <v>11.11</v>
      </c>
      <c r="T124" t="s">
        <v>122</v>
      </c>
      <c r="U124" t="s">
        <v>85</v>
      </c>
      <c r="V124">
        <v>1</v>
      </c>
    </row>
    <row r="125" spans="1:22">
      <c r="A125" t="s">
        <v>489</v>
      </c>
      <c r="B125" s="3">
        <v>45416</v>
      </c>
      <c r="C125" s="3">
        <v>45431</v>
      </c>
      <c r="D125" t="s">
        <v>490</v>
      </c>
      <c r="E125" t="s">
        <v>491</v>
      </c>
      <c r="F125" t="s">
        <v>152</v>
      </c>
      <c r="G125" t="s">
        <v>194</v>
      </c>
      <c r="H125" t="s">
        <v>202</v>
      </c>
      <c r="I125" t="s">
        <v>203</v>
      </c>
      <c r="J125" t="s">
        <v>109</v>
      </c>
      <c r="K125" t="s">
        <v>130</v>
      </c>
      <c r="L125" t="s">
        <v>169</v>
      </c>
      <c r="M125" t="s">
        <v>170</v>
      </c>
      <c r="N125" t="s">
        <v>103</v>
      </c>
      <c r="O125" t="s">
        <v>171</v>
      </c>
      <c r="P125">
        <v>4</v>
      </c>
      <c r="Q125" s="4">
        <v>15.85</v>
      </c>
      <c r="R125" s="5">
        <v>0.03</v>
      </c>
      <c r="S125" s="4">
        <v>14.2</v>
      </c>
      <c r="T125" t="s">
        <v>134</v>
      </c>
      <c r="U125" t="s">
        <v>85</v>
      </c>
      <c r="V125">
        <v>2</v>
      </c>
    </row>
    <row r="126" spans="1:22">
      <c r="A126" t="s">
        <v>492</v>
      </c>
      <c r="B126" s="3">
        <v>45418</v>
      </c>
      <c r="C126" s="3">
        <v>45419</v>
      </c>
      <c r="D126" t="s">
        <v>328</v>
      </c>
      <c r="E126" t="s">
        <v>329</v>
      </c>
      <c r="F126" t="s">
        <v>89</v>
      </c>
      <c r="G126" t="s">
        <v>75</v>
      </c>
      <c r="H126" t="s">
        <v>116</v>
      </c>
      <c r="I126" t="s">
        <v>117</v>
      </c>
      <c r="J126" t="s">
        <v>109</v>
      </c>
      <c r="K126" t="s">
        <v>147</v>
      </c>
      <c r="L126" t="s">
        <v>431</v>
      </c>
      <c r="M126" t="s">
        <v>432</v>
      </c>
      <c r="N126" t="s">
        <v>103</v>
      </c>
      <c r="O126" t="s">
        <v>251</v>
      </c>
      <c r="P126">
        <v>8</v>
      </c>
      <c r="Q126" s="4">
        <v>38.69</v>
      </c>
      <c r="R126" s="5">
        <v>7.0000000000000007E-2</v>
      </c>
      <c r="S126" s="4">
        <v>16.63</v>
      </c>
      <c r="T126" t="s">
        <v>105</v>
      </c>
      <c r="U126" t="s">
        <v>85</v>
      </c>
    </row>
    <row r="127" spans="1:22">
      <c r="A127" t="s">
        <v>493</v>
      </c>
      <c r="B127" s="3">
        <v>45419</v>
      </c>
      <c r="C127" s="3">
        <v>45420</v>
      </c>
      <c r="D127" t="s">
        <v>490</v>
      </c>
      <c r="E127" t="s">
        <v>491</v>
      </c>
      <c r="F127" t="s">
        <v>152</v>
      </c>
      <c r="G127" t="s">
        <v>194</v>
      </c>
      <c r="H127" t="s">
        <v>202</v>
      </c>
      <c r="I127" t="s">
        <v>203</v>
      </c>
      <c r="J127" t="s">
        <v>494</v>
      </c>
      <c r="K127" t="s">
        <v>168</v>
      </c>
      <c r="L127" t="s">
        <v>234</v>
      </c>
      <c r="M127" t="s">
        <v>235</v>
      </c>
      <c r="N127" t="s">
        <v>93</v>
      </c>
      <c r="O127" t="s">
        <v>236</v>
      </c>
      <c r="P127">
        <v>3</v>
      </c>
      <c r="Q127" s="4">
        <v>149.93</v>
      </c>
      <c r="R127" s="5">
        <v>0</v>
      </c>
      <c r="S127" s="4">
        <v>21.28</v>
      </c>
      <c r="T127" t="s">
        <v>84</v>
      </c>
      <c r="U127" t="s">
        <v>85</v>
      </c>
      <c r="V127">
        <v>5</v>
      </c>
    </row>
    <row r="128" spans="1:22">
      <c r="A128" t="s">
        <v>495</v>
      </c>
      <c r="B128" s="3">
        <v>45421</v>
      </c>
      <c r="C128" s="3">
        <v>45422</v>
      </c>
      <c r="D128" t="s">
        <v>322</v>
      </c>
      <c r="E128" t="s">
        <v>323</v>
      </c>
      <c r="F128" t="s">
        <v>74</v>
      </c>
      <c r="G128" t="s">
        <v>194</v>
      </c>
      <c r="H128" t="s">
        <v>240</v>
      </c>
      <c r="I128" t="s">
        <v>241</v>
      </c>
      <c r="J128" t="s">
        <v>78</v>
      </c>
      <c r="K128" t="s">
        <v>79</v>
      </c>
      <c r="L128" t="s">
        <v>197</v>
      </c>
      <c r="M128" t="s">
        <v>198</v>
      </c>
      <c r="N128" t="s">
        <v>120</v>
      </c>
      <c r="O128" t="s">
        <v>121</v>
      </c>
      <c r="P128">
        <v>3</v>
      </c>
      <c r="Q128" s="4">
        <v>531.62</v>
      </c>
      <c r="R128" s="5">
        <v>0.28999999999999998</v>
      </c>
      <c r="S128" s="4">
        <v>7.02</v>
      </c>
      <c r="T128" t="s">
        <v>105</v>
      </c>
      <c r="U128" t="s">
        <v>85</v>
      </c>
      <c r="V128">
        <v>3</v>
      </c>
    </row>
    <row r="129" spans="1:22">
      <c r="A129" t="s">
        <v>496</v>
      </c>
      <c r="B129" s="3">
        <v>45422</v>
      </c>
      <c r="C129" s="3">
        <v>45423</v>
      </c>
      <c r="D129" t="s">
        <v>497</v>
      </c>
      <c r="E129" t="s">
        <v>498</v>
      </c>
      <c r="F129" t="s">
        <v>89</v>
      </c>
      <c r="G129" t="s">
        <v>126</v>
      </c>
      <c r="H129" t="s">
        <v>291</v>
      </c>
      <c r="I129" t="s">
        <v>292</v>
      </c>
      <c r="J129" t="s">
        <v>129</v>
      </c>
      <c r="K129" t="s">
        <v>147</v>
      </c>
      <c r="L129" t="s">
        <v>234</v>
      </c>
      <c r="M129" t="s">
        <v>235</v>
      </c>
      <c r="N129" t="s">
        <v>93</v>
      </c>
      <c r="O129" t="s">
        <v>236</v>
      </c>
      <c r="P129">
        <v>4</v>
      </c>
      <c r="Q129" s="4">
        <v>147.4</v>
      </c>
      <c r="R129" s="5">
        <v>0.02</v>
      </c>
      <c r="S129" s="4">
        <v>20.63</v>
      </c>
      <c r="T129" t="s">
        <v>84</v>
      </c>
      <c r="U129" t="s">
        <v>85</v>
      </c>
    </row>
    <row r="130" spans="1:22">
      <c r="A130" t="s">
        <v>499</v>
      </c>
      <c r="B130" s="3">
        <v>45423</v>
      </c>
      <c r="C130" s="3">
        <v>45426</v>
      </c>
      <c r="D130" t="s">
        <v>500</v>
      </c>
      <c r="E130" t="s">
        <v>501</v>
      </c>
      <c r="F130" t="s">
        <v>152</v>
      </c>
      <c r="G130" t="s">
        <v>194</v>
      </c>
      <c r="H130" t="s">
        <v>202</v>
      </c>
      <c r="I130" t="s">
        <v>203</v>
      </c>
      <c r="J130" t="s">
        <v>129</v>
      </c>
      <c r="K130" t="s">
        <v>168</v>
      </c>
      <c r="L130" t="s">
        <v>91</v>
      </c>
      <c r="M130" t="s">
        <v>92</v>
      </c>
      <c r="N130" t="s">
        <v>93</v>
      </c>
      <c r="O130" t="s">
        <v>94</v>
      </c>
      <c r="P130">
        <v>3</v>
      </c>
      <c r="Q130" s="4">
        <v>320.70999999999998</v>
      </c>
      <c r="R130" s="5">
        <v>0.08</v>
      </c>
      <c r="S130" s="4">
        <v>25.45</v>
      </c>
      <c r="T130" t="s">
        <v>134</v>
      </c>
      <c r="U130" t="s">
        <v>85</v>
      </c>
    </row>
    <row r="131" spans="1:22">
      <c r="A131" t="s">
        <v>502</v>
      </c>
      <c r="B131" s="3">
        <v>45424</v>
      </c>
      <c r="C131" s="3">
        <v>45425</v>
      </c>
      <c r="D131" t="s">
        <v>500</v>
      </c>
      <c r="E131" t="s">
        <v>501</v>
      </c>
      <c r="F131" t="s">
        <v>152</v>
      </c>
      <c r="G131" t="s">
        <v>194</v>
      </c>
      <c r="H131" t="s">
        <v>202</v>
      </c>
      <c r="I131" t="s">
        <v>203</v>
      </c>
      <c r="J131" t="s">
        <v>129</v>
      </c>
      <c r="K131" t="s">
        <v>147</v>
      </c>
      <c r="L131" t="s">
        <v>80</v>
      </c>
      <c r="M131" t="s">
        <v>81</v>
      </c>
      <c r="N131" t="s">
        <v>82</v>
      </c>
      <c r="O131" t="s">
        <v>83</v>
      </c>
      <c r="P131">
        <v>5</v>
      </c>
      <c r="Q131" s="4">
        <v>241.62</v>
      </c>
      <c r="R131" s="5">
        <v>0.1</v>
      </c>
      <c r="S131" s="4">
        <v>15.8</v>
      </c>
      <c r="T131" t="s">
        <v>134</v>
      </c>
      <c r="U131" t="s">
        <v>85</v>
      </c>
      <c r="V131">
        <v>5</v>
      </c>
    </row>
    <row r="132" spans="1:22">
      <c r="A132" t="s">
        <v>503</v>
      </c>
      <c r="B132" s="3">
        <v>45424</v>
      </c>
      <c r="C132" s="3">
        <v>45430</v>
      </c>
      <c r="D132" t="s">
        <v>504</v>
      </c>
      <c r="E132" t="s">
        <v>505</v>
      </c>
      <c r="F132" t="s">
        <v>74</v>
      </c>
      <c r="G132" t="s">
        <v>126</v>
      </c>
      <c r="H132" t="s">
        <v>160</v>
      </c>
      <c r="I132" t="s">
        <v>161</v>
      </c>
      <c r="J132" t="s">
        <v>78</v>
      </c>
      <c r="K132" t="s">
        <v>168</v>
      </c>
      <c r="L132" t="s">
        <v>301</v>
      </c>
      <c r="M132" t="s">
        <v>302</v>
      </c>
      <c r="N132" t="s">
        <v>120</v>
      </c>
      <c r="O132" t="s">
        <v>190</v>
      </c>
      <c r="P132">
        <v>2</v>
      </c>
      <c r="Q132" s="4">
        <v>146.06</v>
      </c>
      <c r="R132" s="5">
        <v>0.09</v>
      </c>
      <c r="S132" s="4">
        <v>8.23</v>
      </c>
      <c r="T132" t="s">
        <v>84</v>
      </c>
      <c r="U132" t="s">
        <v>85</v>
      </c>
      <c r="V132">
        <v>2</v>
      </c>
    </row>
    <row r="133" spans="1:22">
      <c r="A133" t="s">
        <v>506</v>
      </c>
      <c r="B133" s="3">
        <v>45425</v>
      </c>
      <c r="C133" s="3">
        <v>45427</v>
      </c>
      <c r="D133" t="s">
        <v>406</v>
      </c>
      <c r="E133" t="s">
        <v>407</v>
      </c>
      <c r="F133" t="s">
        <v>89</v>
      </c>
      <c r="G133" t="s">
        <v>75</v>
      </c>
      <c r="H133" t="s">
        <v>116</v>
      </c>
      <c r="I133" t="s">
        <v>117</v>
      </c>
      <c r="J133" t="s">
        <v>219</v>
      </c>
      <c r="K133" t="s">
        <v>147</v>
      </c>
      <c r="L133" t="s">
        <v>80</v>
      </c>
      <c r="M133" t="s">
        <v>81</v>
      </c>
      <c r="N133" t="s">
        <v>82</v>
      </c>
      <c r="O133" t="s">
        <v>83</v>
      </c>
      <c r="P133">
        <v>3</v>
      </c>
      <c r="Q133" s="4">
        <v>225.25</v>
      </c>
      <c r="R133" s="5">
        <v>0.06</v>
      </c>
      <c r="S133" s="4">
        <v>5.59</v>
      </c>
      <c r="T133" t="s">
        <v>134</v>
      </c>
      <c r="U133" t="s">
        <v>85</v>
      </c>
      <c r="V133">
        <v>4</v>
      </c>
    </row>
    <row r="134" spans="1:22">
      <c r="A134" t="s">
        <v>507</v>
      </c>
      <c r="B134" s="3">
        <v>45429</v>
      </c>
      <c r="C134" s="3">
        <v>45435</v>
      </c>
      <c r="D134" t="s">
        <v>508</v>
      </c>
      <c r="E134" t="s">
        <v>509</v>
      </c>
      <c r="F134" t="s">
        <v>74</v>
      </c>
      <c r="G134" t="s">
        <v>75</v>
      </c>
      <c r="H134" t="s">
        <v>76</v>
      </c>
      <c r="I134" t="s">
        <v>77</v>
      </c>
      <c r="J134" t="s">
        <v>109</v>
      </c>
      <c r="K134" t="s">
        <v>90</v>
      </c>
      <c r="L134" t="s">
        <v>234</v>
      </c>
      <c r="M134" t="s">
        <v>235</v>
      </c>
      <c r="N134" t="s">
        <v>93</v>
      </c>
      <c r="O134" t="s">
        <v>236</v>
      </c>
      <c r="P134">
        <v>3</v>
      </c>
      <c r="Q134" s="4">
        <v>149.58000000000001</v>
      </c>
      <c r="R134" s="5">
        <v>0.05</v>
      </c>
      <c r="S134" s="4">
        <v>22.34</v>
      </c>
      <c r="T134" t="s">
        <v>134</v>
      </c>
      <c r="U134" t="s">
        <v>85</v>
      </c>
      <c r="V134">
        <v>3</v>
      </c>
    </row>
    <row r="135" spans="1:22">
      <c r="A135" t="s">
        <v>510</v>
      </c>
      <c r="B135" s="3">
        <v>45430</v>
      </c>
      <c r="C135" s="3">
        <v>45436</v>
      </c>
      <c r="D135" t="s">
        <v>511</v>
      </c>
      <c r="E135" t="s">
        <v>512</v>
      </c>
      <c r="F135" t="s">
        <v>152</v>
      </c>
      <c r="G135" t="s">
        <v>194</v>
      </c>
      <c r="I135" t="s">
        <v>231</v>
      </c>
      <c r="J135" t="s">
        <v>219</v>
      </c>
      <c r="K135" t="s">
        <v>168</v>
      </c>
      <c r="L135" t="s">
        <v>162</v>
      </c>
      <c r="M135" t="s">
        <v>163</v>
      </c>
      <c r="N135" t="s">
        <v>120</v>
      </c>
      <c r="O135" t="s">
        <v>164</v>
      </c>
      <c r="P135">
        <v>1</v>
      </c>
      <c r="Q135" s="4">
        <v>918.49</v>
      </c>
      <c r="R135" s="5">
        <v>0.04</v>
      </c>
      <c r="S135" s="4">
        <v>20.12</v>
      </c>
      <c r="T135" t="s">
        <v>134</v>
      </c>
      <c r="U135" t="s">
        <v>85</v>
      </c>
    </row>
    <row r="136" spans="1:22">
      <c r="A136" t="s">
        <v>513</v>
      </c>
      <c r="B136" s="3">
        <v>45430</v>
      </c>
      <c r="C136" s="3">
        <v>45439</v>
      </c>
      <c r="D136" t="s">
        <v>514</v>
      </c>
      <c r="E136" t="s">
        <v>515</v>
      </c>
      <c r="F136" t="s">
        <v>74</v>
      </c>
      <c r="G136" t="s">
        <v>516</v>
      </c>
      <c r="H136" t="s">
        <v>212</v>
      </c>
      <c r="I136" t="s">
        <v>213</v>
      </c>
      <c r="J136" t="s">
        <v>109</v>
      </c>
      <c r="K136" t="s">
        <v>130</v>
      </c>
      <c r="L136" t="s">
        <v>162</v>
      </c>
      <c r="M136" t="s">
        <v>163</v>
      </c>
      <c r="N136" t="s">
        <v>120</v>
      </c>
      <c r="O136" t="s">
        <v>164</v>
      </c>
      <c r="P136">
        <v>4</v>
      </c>
      <c r="Q136" s="4">
        <v>925.76</v>
      </c>
      <c r="R136" s="5">
        <v>0.03</v>
      </c>
      <c r="S136" s="4">
        <v>13.03</v>
      </c>
      <c r="T136" t="s">
        <v>134</v>
      </c>
      <c r="U136" t="s">
        <v>85</v>
      </c>
      <c r="V136">
        <v>5</v>
      </c>
    </row>
    <row r="137" spans="1:22">
      <c r="A137" t="s">
        <v>517</v>
      </c>
      <c r="B137" s="3">
        <v>45432</v>
      </c>
      <c r="C137" s="3">
        <v>45442</v>
      </c>
      <c r="D137" t="s">
        <v>217</v>
      </c>
      <c r="E137" t="s">
        <v>218</v>
      </c>
      <c r="F137" t="s">
        <v>89</v>
      </c>
      <c r="G137" t="s">
        <v>75</v>
      </c>
      <c r="H137" t="s">
        <v>98</v>
      </c>
      <c r="I137" t="s">
        <v>99</v>
      </c>
      <c r="J137" t="s">
        <v>129</v>
      </c>
      <c r="K137" t="s">
        <v>147</v>
      </c>
      <c r="L137" t="s">
        <v>207</v>
      </c>
      <c r="M137" t="s">
        <v>208</v>
      </c>
      <c r="N137" t="s">
        <v>120</v>
      </c>
      <c r="O137" t="s">
        <v>164</v>
      </c>
      <c r="P137">
        <v>1</v>
      </c>
      <c r="Q137" s="4">
        <v>1457.04</v>
      </c>
      <c r="R137" s="5">
        <v>0.03</v>
      </c>
      <c r="S137" s="4">
        <v>9.86</v>
      </c>
      <c r="T137" t="s">
        <v>105</v>
      </c>
      <c r="U137" t="s">
        <v>85</v>
      </c>
      <c r="V137">
        <v>3</v>
      </c>
    </row>
    <row r="138" spans="1:22">
      <c r="A138" t="s">
        <v>518</v>
      </c>
      <c r="B138" s="3">
        <v>45432</v>
      </c>
      <c r="C138" s="3">
        <v>45438</v>
      </c>
      <c r="D138" t="s">
        <v>519</v>
      </c>
      <c r="E138" t="s">
        <v>520</v>
      </c>
      <c r="F138" t="s">
        <v>74</v>
      </c>
      <c r="G138" t="s">
        <v>126</v>
      </c>
      <c r="H138" t="s">
        <v>127</v>
      </c>
      <c r="I138" t="s">
        <v>128</v>
      </c>
      <c r="J138" t="s">
        <v>129</v>
      </c>
      <c r="K138" t="s">
        <v>79</v>
      </c>
      <c r="L138" t="s">
        <v>359</v>
      </c>
      <c r="M138" t="s">
        <v>360</v>
      </c>
      <c r="N138" t="s">
        <v>93</v>
      </c>
      <c r="O138" t="s">
        <v>94</v>
      </c>
      <c r="P138">
        <v>2</v>
      </c>
      <c r="Q138" s="4">
        <v>462.87</v>
      </c>
      <c r="R138" s="5">
        <v>0.08</v>
      </c>
      <c r="S138" s="4">
        <v>23.79</v>
      </c>
      <c r="T138" t="s">
        <v>134</v>
      </c>
      <c r="U138" t="s">
        <v>85</v>
      </c>
      <c r="V138">
        <v>4</v>
      </c>
    </row>
    <row r="139" spans="1:22">
      <c r="A139" t="s">
        <v>521</v>
      </c>
      <c r="B139" s="3">
        <v>45432</v>
      </c>
      <c r="C139" s="3">
        <v>45441</v>
      </c>
      <c r="D139" t="s">
        <v>522</v>
      </c>
      <c r="E139" t="s">
        <v>512</v>
      </c>
      <c r="F139" t="s">
        <v>74</v>
      </c>
      <c r="G139" t="s">
        <v>194</v>
      </c>
      <c r="H139" t="s">
        <v>230</v>
      </c>
      <c r="I139" t="s">
        <v>231</v>
      </c>
      <c r="J139" t="s">
        <v>494</v>
      </c>
      <c r="K139" t="s">
        <v>168</v>
      </c>
      <c r="L139" t="s">
        <v>169</v>
      </c>
      <c r="M139" t="s">
        <v>170</v>
      </c>
      <c r="N139" t="s">
        <v>103</v>
      </c>
      <c r="O139" t="s">
        <v>171</v>
      </c>
      <c r="P139">
        <v>8</v>
      </c>
      <c r="Q139" s="4">
        <v>14.99</v>
      </c>
      <c r="R139" s="5">
        <v>0.11</v>
      </c>
      <c r="S139" s="4">
        <v>7.61</v>
      </c>
      <c r="T139" t="s">
        <v>134</v>
      </c>
      <c r="U139" t="s">
        <v>85</v>
      </c>
    </row>
    <row r="140" spans="1:22">
      <c r="A140" t="s">
        <v>523</v>
      </c>
      <c r="B140" s="3">
        <v>45433</v>
      </c>
      <c r="C140" s="3">
        <v>45439</v>
      </c>
      <c r="D140" t="s">
        <v>184</v>
      </c>
      <c r="E140" t="s">
        <v>185</v>
      </c>
      <c r="F140" t="s">
        <v>74</v>
      </c>
      <c r="G140" t="s">
        <v>138</v>
      </c>
      <c r="H140" t="s">
        <v>186</v>
      </c>
      <c r="I140" t="s">
        <v>187</v>
      </c>
      <c r="J140" t="s">
        <v>219</v>
      </c>
      <c r="K140" t="s">
        <v>90</v>
      </c>
      <c r="L140" t="s">
        <v>197</v>
      </c>
      <c r="M140" t="s">
        <v>198</v>
      </c>
      <c r="N140" t="s">
        <v>120</v>
      </c>
      <c r="O140" t="s">
        <v>121</v>
      </c>
      <c r="P140">
        <v>4</v>
      </c>
      <c r="Q140" s="4">
        <v>528.12</v>
      </c>
      <c r="R140" s="5">
        <v>0.09</v>
      </c>
      <c r="S140" s="4">
        <v>6.93</v>
      </c>
      <c r="T140" t="s">
        <v>122</v>
      </c>
      <c r="U140" t="s">
        <v>85</v>
      </c>
      <c r="V140">
        <v>4</v>
      </c>
    </row>
    <row r="141" spans="1:22">
      <c r="A141" t="s">
        <v>524</v>
      </c>
      <c r="B141" s="3">
        <v>45434</v>
      </c>
      <c r="C141" s="3">
        <v>45444</v>
      </c>
      <c r="D141" t="s">
        <v>490</v>
      </c>
      <c r="E141" t="s">
        <v>491</v>
      </c>
      <c r="F141" t="s">
        <v>152</v>
      </c>
      <c r="G141" t="s">
        <v>194</v>
      </c>
      <c r="H141" t="s">
        <v>202</v>
      </c>
      <c r="I141" t="s">
        <v>203</v>
      </c>
      <c r="J141" t="s">
        <v>219</v>
      </c>
      <c r="K141" t="s">
        <v>100</v>
      </c>
      <c r="L141" t="s">
        <v>249</v>
      </c>
      <c r="M141" t="s">
        <v>250</v>
      </c>
      <c r="N141" t="s">
        <v>103</v>
      </c>
      <c r="O141" t="s">
        <v>251</v>
      </c>
      <c r="P141">
        <v>10</v>
      </c>
      <c r="Q141" s="4">
        <v>21.52</v>
      </c>
      <c r="R141" s="5">
        <v>0.02</v>
      </c>
      <c r="S141" s="4">
        <v>9.2799999999999994</v>
      </c>
      <c r="T141" t="s">
        <v>122</v>
      </c>
      <c r="U141" t="s">
        <v>85</v>
      </c>
      <c r="V141">
        <v>1</v>
      </c>
    </row>
    <row r="142" spans="1:22">
      <c r="A142" t="s">
        <v>525</v>
      </c>
      <c r="B142" s="3">
        <v>45435</v>
      </c>
      <c r="C142" s="3">
        <v>45445</v>
      </c>
      <c r="D142" t="s">
        <v>322</v>
      </c>
      <c r="E142" t="s">
        <v>323</v>
      </c>
      <c r="F142" t="s">
        <v>74</v>
      </c>
      <c r="G142" t="s">
        <v>194</v>
      </c>
      <c r="H142" t="s">
        <v>240</v>
      </c>
      <c r="I142" t="s">
        <v>241</v>
      </c>
      <c r="J142" t="s">
        <v>129</v>
      </c>
      <c r="K142" t="s">
        <v>100</v>
      </c>
      <c r="L142" t="s">
        <v>91</v>
      </c>
      <c r="M142" t="s">
        <v>92</v>
      </c>
      <c r="N142" t="s">
        <v>93</v>
      </c>
      <c r="O142" t="s">
        <v>94</v>
      </c>
      <c r="P142">
        <v>2</v>
      </c>
      <c r="Q142" s="4">
        <v>327.92</v>
      </c>
      <c r="R142" s="5">
        <v>7.0000000000000007E-2</v>
      </c>
      <c r="S142" s="4">
        <v>21.78</v>
      </c>
      <c r="T142" t="s">
        <v>122</v>
      </c>
      <c r="U142" t="s">
        <v>85</v>
      </c>
      <c r="V142">
        <v>5</v>
      </c>
    </row>
    <row r="143" spans="1:22">
      <c r="A143" t="s">
        <v>526</v>
      </c>
      <c r="B143" s="3">
        <v>45436</v>
      </c>
      <c r="C143" s="3">
        <v>45441</v>
      </c>
      <c r="D143" t="s">
        <v>238</v>
      </c>
      <c r="E143" t="s">
        <v>239</v>
      </c>
      <c r="F143" t="s">
        <v>89</v>
      </c>
      <c r="G143" t="s">
        <v>194</v>
      </c>
      <c r="H143" t="s">
        <v>240</v>
      </c>
      <c r="I143" t="s">
        <v>241</v>
      </c>
      <c r="J143" t="s">
        <v>129</v>
      </c>
      <c r="K143" t="s">
        <v>90</v>
      </c>
      <c r="L143" t="s">
        <v>155</v>
      </c>
      <c r="M143" t="s">
        <v>156</v>
      </c>
      <c r="N143" t="s">
        <v>527</v>
      </c>
      <c r="O143" t="s">
        <v>112</v>
      </c>
      <c r="P143">
        <v>8</v>
      </c>
      <c r="Q143" s="4">
        <v>175.73</v>
      </c>
      <c r="R143" s="5">
        <v>0.04</v>
      </c>
      <c r="S143" s="4">
        <v>12.39</v>
      </c>
      <c r="T143" t="s">
        <v>84</v>
      </c>
      <c r="U143" t="s">
        <v>85</v>
      </c>
      <c r="V143">
        <v>3</v>
      </c>
    </row>
    <row r="144" spans="1:22">
      <c r="A144" t="s">
        <v>528</v>
      </c>
      <c r="B144" s="3">
        <v>45438</v>
      </c>
      <c r="C144" s="3">
        <v>45445</v>
      </c>
      <c r="D144" t="s">
        <v>529</v>
      </c>
      <c r="E144" t="s">
        <v>397</v>
      </c>
      <c r="F144" t="s">
        <v>89</v>
      </c>
      <c r="G144" t="s">
        <v>194</v>
      </c>
      <c r="H144" t="s">
        <v>240</v>
      </c>
      <c r="I144" t="s">
        <v>241</v>
      </c>
      <c r="J144" t="s">
        <v>109</v>
      </c>
      <c r="K144" t="s">
        <v>100</v>
      </c>
      <c r="L144" t="s">
        <v>91</v>
      </c>
      <c r="M144" t="s">
        <v>92</v>
      </c>
      <c r="N144" t="s">
        <v>93</v>
      </c>
      <c r="O144" t="s">
        <v>94</v>
      </c>
      <c r="P144">
        <v>3</v>
      </c>
      <c r="Q144" s="4">
        <v>318.55</v>
      </c>
      <c r="R144" s="5">
        <v>0.31</v>
      </c>
      <c r="S144" s="4">
        <v>20.13</v>
      </c>
      <c r="T144" t="s">
        <v>122</v>
      </c>
      <c r="U144" t="s">
        <v>85</v>
      </c>
    </row>
    <row r="145" spans="1:22">
      <c r="A145" t="s">
        <v>530</v>
      </c>
      <c r="B145" s="3">
        <v>45441</v>
      </c>
      <c r="C145" s="3">
        <v>45445</v>
      </c>
      <c r="D145" t="s">
        <v>381</v>
      </c>
      <c r="E145" t="s">
        <v>382</v>
      </c>
      <c r="F145" t="s">
        <v>152</v>
      </c>
      <c r="G145" t="s">
        <v>194</v>
      </c>
      <c r="H145" t="s">
        <v>202</v>
      </c>
      <c r="I145" t="s">
        <v>203</v>
      </c>
      <c r="J145" t="s">
        <v>219</v>
      </c>
      <c r="K145" t="s">
        <v>168</v>
      </c>
      <c r="L145" t="s">
        <v>101</v>
      </c>
      <c r="M145" t="s">
        <v>102</v>
      </c>
      <c r="N145" t="s">
        <v>103</v>
      </c>
      <c r="O145" t="s">
        <v>104</v>
      </c>
      <c r="P145">
        <v>9</v>
      </c>
      <c r="Q145" s="4">
        <v>75.08</v>
      </c>
      <c r="R145" s="5">
        <v>0.04</v>
      </c>
      <c r="S145" s="4">
        <v>5.24</v>
      </c>
      <c r="T145" t="s">
        <v>122</v>
      </c>
      <c r="U145" t="s">
        <v>85</v>
      </c>
      <c r="V145">
        <v>1</v>
      </c>
    </row>
    <row r="146" spans="1:22">
      <c r="A146" t="s">
        <v>531</v>
      </c>
      <c r="B146" s="3">
        <v>45442</v>
      </c>
      <c r="C146" s="3">
        <v>45443</v>
      </c>
      <c r="D146" t="s">
        <v>173</v>
      </c>
      <c r="E146" t="s">
        <v>174</v>
      </c>
      <c r="F146" t="s">
        <v>89</v>
      </c>
      <c r="G146" t="s">
        <v>126</v>
      </c>
      <c r="H146" t="s">
        <v>127</v>
      </c>
      <c r="I146" t="s">
        <v>128</v>
      </c>
      <c r="J146" t="s">
        <v>219</v>
      </c>
      <c r="K146" t="s">
        <v>147</v>
      </c>
      <c r="L146" t="s">
        <v>169</v>
      </c>
      <c r="M146" t="s">
        <v>170</v>
      </c>
      <c r="N146" t="s">
        <v>103</v>
      </c>
      <c r="O146" t="s">
        <v>171</v>
      </c>
      <c r="P146">
        <v>6</v>
      </c>
      <c r="Q146" s="4">
        <v>14.72</v>
      </c>
      <c r="R146" s="5">
        <v>0.35</v>
      </c>
      <c r="S146" s="4">
        <v>6.59</v>
      </c>
      <c r="T146" t="s">
        <v>122</v>
      </c>
      <c r="U146" t="s">
        <v>85</v>
      </c>
      <c r="V146">
        <v>4</v>
      </c>
    </row>
    <row r="147" spans="1:22">
      <c r="A147" t="s">
        <v>532</v>
      </c>
      <c r="B147" s="3">
        <v>45447</v>
      </c>
      <c r="C147" s="3">
        <v>45453</v>
      </c>
      <c r="D147" t="s">
        <v>533</v>
      </c>
      <c r="E147" t="s">
        <v>534</v>
      </c>
      <c r="F147" t="s">
        <v>152</v>
      </c>
      <c r="G147" t="s">
        <v>75</v>
      </c>
      <c r="H147" t="s">
        <v>76</v>
      </c>
      <c r="I147" t="s">
        <v>77</v>
      </c>
      <c r="J147" t="s">
        <v>129</v>
      </c>
      <c r="K147" t="s">
        <v>79</v>
      </c>
      <c r="L147" t="s">
        <v>301</v>
      </c>
      <c r="M147" t="s">
        <v>302</v>
      </c>
      <c r="N147" t="s">
        <v>120</v>
      </c>
      <c r="O147" t="s">
        <v>190</v>
      </c>
      <c r="P147">
        <v>1</v>
      </c>
      <c r="Q147" s="4">
        <v>146.52000000000001</v>
      </c>
      <c r="R147" s="5">
        <v>7.0000000000000007E-2</v>
      </c>
      <c r="S147" s="4">
        <v>7.66</v>
      </c>
      <c r="T147" t="s">
        <v>122</v>
      </c>
      <c r="U147" t="s">
        <v>85</v>
      </c>
      <c r="V147">
        <v>4</v>
      </c>
    </row>
    <row r="148" spans="1:22">
      <c r="A148" t="s">
        <v>535</v>
      </c>
      <c r="B148" s="3">
        <v>45447</v>
      </c>
      <c r="C148" s="3">
        <v>45453</v>
      </c>
      <c r="D148" t="s">
        <v>519</v>
      </c>
      <c r="E148" t="s">
        <v>520</v>
      </c>
      <c r="F148" t="s">
        <v>74</v>
      </c>
      <c r="G148" t="s">
        <v>126</v>
      </c>
      <c r="H148" t="s">
        <v>127</v>
      </c>
      <c r="I148" t="s">
        <v>128</v>
      </c>
      <c r="J148" t="s">
        <v>219</v>
      </c>
      <c r="K148" t="s">
        <v>100</v>
      </c>
      <c r="L148" t="s">
        <v>234</v>
      </c>
      <c r="M148" t="s">
        <v>235</v>
      </c>
      <c r="N148" t="s">
        <v>93</v>
      </c>
      <c r="O148" t="s">
        <v>236</v>
      </c>
      <c r="P148">
        <v>3</v>
      </c>
      <c r="Q148" s="4">
        <v>140.12</v>
      </c>
      <c r="R148" s="5">
        <v>0.08</v>
      </c>
      <c r="S148" s="4">
        <v>29.85</v>
      </c>
      <c r="T148" t="s">
        <v>105</v>
      </c>
      <c r="U148" t="s">
        <v>85</v>
      </c>
      <c r="V148">
        <v>3</v>
      </c>
    </row>
    <row r="149" spans="1:22">
      <c r="A149" t="s">
        <v>536</v>
      </c>
      <c r="B149" s="3">
        <v>45449</v>
      </c>
      <c r="C149" s="3">
        <v>45454</v>
      </c>
      <c r="D149" t="s">
        <v>537</v>
      </c>
      <c r="E149" t="s">
        <v>538</v>
      </c>
      <c r="F149" t="s">
        <v>74</v>
      </c>
      <c r="G149" t="s">
        <v>138</v>
      </c>
      <c r="H149" t="s">
        <v>139</v>
      </c>
      <c r="I149" t="s">
        <v>140</v>
      </c>
      <c r="J149" t="s">
        <v>129</v>
      </c>
      <c r="K149" t="s">
        <v>130</v>
      </c>
      <c r="L149" t="s">
        <v>110</v>
      </c>
      <c r="M149" t="s">
        <v>111</v>
      </c>
      <c r="N149" t="s">
        <v>82</v>
      </c>
      <c r="O149" t="s">
        <v>112</v>
      </c>
      <c r="P149">
        <v>1</v>
      </c>
      <c r="Q149" s="4">
        <v>327.08</v>
      </c>
      <c r="R149" s="5">
        <v>0.02</v>
      </c>
      <c r="S149" s="4">
        <v>7.49</v>
      </c>
      <c r="T149" t="s">
        <v>122</v>
      </c>
      <c r="U149" t="s">
        <v>85</v>
      </c>
      <c r="V149">
        <v>3</v>
      </c>
    </row>
    <row r="150" spans="1:22">
      <c r="A150" t="s">
        <v>539</v>
      </c>
      <c r="B150" s="3">
        <v>45451</v>
      </c>
      <c r="C150" s="3">
        <v>45460</v>
      </c>
      <c r="D150" t="s">
        <v>282</v>
      </c>
      <c r="E150" t="s">
        <v>283</v>
      </c>
      <c r="F150" t="s">
        <v>89</v>
      </c>
      <c r="G150" t="s">
        <v>75</v>
      </c>
      <c r="H150" t="s">
        <v>273</v>
      </c>
      <c r="I150" t="s">
        <v>274</v>
      </c>
      <c r="J150" t="s">
        <v>109</v>
      </c>
      <c r="K150" t="s">
        <v>79</v>
      </c>
      <c r="L150" t="s">
        <v>131</v>
      </c>
      <c r="M150" t="s">
        <v>132</v>
      </c>
      <c r="N150" t="s">
        <v>120</v>
      </c>
      <c r="O150" t="s">
        <v>133</v>
      </c>
      <c r="P150">
        <v>2</v>
      </c>
      <c r="Q150" s="4">
        <v>86.24</v>
      </c>
      <c r="R150" s="5">
        <v>0.24</v>
      </c>
      <c r="S150" s="4">
        <v>14.59</v>
      </c>
      <c r="T150" t="s">
        <v>84</v>
      </c>
      <c r="U150" t="s">
        <v>148</v>
      </c>
      <c r="V150">
        <v>5</v>
      </c>
    </row>
    <row r="151" spans="1:22">
      <c r="A151" t="s">
        <v>540</v>
      </c>
      <c r="B151" s="3">
        <v>45454</v>
      </c>
      <c r="C151" s="3">
        <v>45464</v>
      </c>
      <c r="D151" t="s">
        <v>541</v>
      </c>
      <c r="E151" t="s">
        <v>542</v>
      </c>
      <c r="F151" t="s">
        <v>89</v>
      </c>
      <c r="G151" t="s">
        <v>138</v>
      </c>
      <c r="H151" t="s">
        <v>139</v>
      </c>
      <c r="I151" t="s">
        <v>140</v>
      </c>
      <c r="J151" t="s">
        <v>78</v>
      </c>
      <c r="K151" t="s">
        <v>147</v>
      </c>
      <c r="L151" t="s">
        <v>118</v>
      </c>
      <c r="M151" t="s">
        <v>119</v>
      </c>
      <c r="N151" t="s">
        <v>120</v>
      </c>
      <c r="O151" t="s">
        <v>121</v>
      </c>
      <c r="P151">
        <v>4</v>
      </c>
      <c r="Q151" s="4">
        <v>298.3</v>
      </c>
      <c r="R151" s="5">
        <v>0.1</v>
      </c>
      <c r="S151" s="4">
        <v>12.09</v>
      </c>
      <c r="T151" t="s">
        <v>105</v>
      </c>
      <c r="U151" t="s">
        <v>85</v>
      </c>
      <c r="V151">
        <v>3</v>
      </c>
    </row>
    <row r="152" spans="1:22">
      <c r="A152" t="s">
        <v>543</v>
      </c>
      <c r="B152" s="3">
        <v>45457</v>
      </c>
      <c r="C152" s="3">
        <v>45464</v>
      </c>
      <c r="D152" t="s">
        <v>451</v>
      </c>
      <c r="E152" t="s">
        <v>452</v>
      </c>
      <c r="F152" t="s">
        <v>89</v>
      </c>
      <c r="G152" t="s">
        <v>126</v>
      </c>
      <c r="H152" t="s">
        <v>160</v>
      </c>
      <c r="I152" t="s">
        <v>161</v>
      </c>
      <c r="J152" t="s">
        <v>219</v>
      </c>
      <c r="K152" t="s">
        <v>147</v>
      </c>
      <c r="L152" t="s">
        <v>162</v>
      </c>
      <c r="M152" t="s">
        <v>163</v>
      </c>
      <c r="N152" t="s">
        <v>120</v>
      </c>
      <c r="O152" t="s">
        <v>164</v>
      </c>
      <c r="P152">
        <v>2</v>
      </c>
      <c r="Q152" s="4">
        <v>935.32</v>
      </c>
      <c r="R152" s="5">
        <v>0.06</v>
      </c>
      <c r="S152" s="4">
        <v>6.02</v>
      </c>
      <c r="T152" t="s">
        <v>134</v>
      </c>
      <c r="U152" t="s">
        <v>148</v>
      </c>
      <c r="V152">
        <v>1</v>
      </c>
    </row>
    <row r="153" spans="1:22">
      <c r="A153" t="s">
        <v>544</v>
      </c>
      <c r="B153" s="3">
        <v>45457</v>
      </c>
      <c r="C153" s="3">
        <v>45464</v>
      </c>
      <c r="D153" t="s">
        <v>223</v>
      </c>
      <c r="E153" t="s">
        <v>224</v>
      </c>
      <c r="F153" t="s">
        <v>152</v>
      </c>
      <c r="G153" t="s">
        <v>194</v>
      </c>
      <c r="H153" t="s">
        <v>225</v>
      </c>
      <c r="I153" t="s">
        <v>226</v>
      </c>
      <c r="J153" t="s">
        <v>78</v>
      </c>
      <c r="K153" t="s">
        <v>168</v>
      </c>
      <c r="L153" t="s">
        <v>131</v>
      </c>
      <c r="M153" t="s">
        <v>132</v>
      </c>
      <c r="N153" t="s">
        <v>120</v>
      </c>
      <c r="O153" t="s">
        <v>133</v>
      </c>
      <c r="P153">
        <v>2</v>
      </c>
      <c r="Q153" s="4">
        <v>88.1</v>
      </c>
      <c r="R153" s="5">
        <v>0.26</v>
      </c>
      <c r="S153" s="4">
        <v>8.83</v>
      </c>
      <c r="T153" t="s">
        <v>122</v>
      </c>
      <c r="U153" t="s">
        <v>85</v>
      </c>
    </row>
    <row r="154" spans="1:22">
      <c r="A154" t="s">
        <v>545</v>
      </c>
      <c r="B154" s="3">
        <v>45459</v>
      </c>
      <c r="C154" s="3">
        <v>45467</v>
      </c>
      <c r="D154" t="s">
        <v>184</v>
      </c>
      <c r="E154" t="s">
        <v>185</v>
      </c>
      <c r="F154" t="s">
        <v>74</v>
      </c>
      <c r="G154" t="s">
        <v>138</v>
      </c>
      <c r="H154" t="s">
        <v>186</v>
      </c>
      <c r="I154" t="s">
        <v>187</v>
      </c>
      <c r="J154" t="s">
        <v>129</v>
      </c>
      <c r="K154" t="s">
        <v>100</v>
      </c>
      <c r="L154" t="s">
        <v>301</v>
      </c>
      <c r="M154" t="s">
        <v>302</v>
      </c>
      <c r="N154" t="s">
        <v>120</v>
      </c>
      <c r="O154" t="s">
        <v>190</v>
      </c>
      <c r="P154">
        <v>1</v>
      </c>
      <c r="Q154" s="4">
        <v>145.77000000000001</v>
      </c>
      <c r="R154" s="5">
        <v>0</v>
      </c>
      <c r="S154" s="4">
        <v>18.14</v>
      </c>
      <c r="T154" t="s">
        <v>134</v>
      </c>
      <c r="U154" t="s">
        <v>85</v>
      </c>
      <c r="V154">
        <v>4</v>
      </c>
    </row>
    <row r="155" spans="1:22">
      <c r="A155" t="s">
        <v>546</v>
      </c>
      <c r="B155" s="3">
        <v>45460</v>
      </c>
      <c r="C155" s="3">
        <v>45465</v>
      </c>
      <c r="D155" t="s">
        <v>547</v>
      </c>
      <c r="E155" t="s">
        <v>548</v>
      </c>
      <c r="F155" t="s">
        <v>152</v>
      </c>
      <c r="G155" t="s">
        <v>75</v>
      </c>
      <c r="H155" t="s">
        <v>116</v>
      </c>
      <c r="I155" t="s">
        <v>117</v>
      </c>
      <c r="J155" t="s">
        <v>109</v>
      </c>
      <c r="K155" t="s">
        <v>168</v>
      </c>
      <c r="L155" t="s">
        <v>155</v>
      </c>
      <c r="M155" t="s">
        <v>156</v>
      </c>
      <c r="N155" t="s">
        <v>82</v>
      </c>
      <c r="O155" t="s">
        <v>112</v>
      </c>
      <c r="P155">
        <v>1</v>
      </c>
      <c r="Q155" s="4">
        <v>169.43</v>
      </c>
      <c r="R155" s="5">
        <v>0.03</v>
      </c>
      <c r="S155" s="4">
        <v>7.17</v>
      </c>
      <c r="T155" t="s">
        <v>134</v>
      </c>
      <c r="U155" t="s">
        <v>85</v>
      </c>
    </row>
    <row r="156" spans="1:22">
      <c r="A156" t="s">
        <v>549</v>
      </c>
      <c r="B156" s="3">
        <v>45463</v>
      </c>
      <c r="C156" s="3">
        <v>45471</v>
      </c>
      <c r="D156" t="s">
        <v>550</v>
      </c>
      <c r="E156" t="s">
        <v>218</v>
      </c>
      <c r="F156" t="s">
        <v>152</v>
      </c>
      <c r="G156" t="s">
        <v>126</v>
      </c>
      <c r="H156" t="s">
        <v>127</v>
      </c>
      <c r="I156" t="s">
        <v>128</v>
      </c>
      <c r="J156" t="s">
        <v>78</v>
      </c>
      <c r="K156" t="s">
        <v>79</v>
      </c>
      <c r="L156" t="s">
        <v>118</v>
      </c>
      <c r="M156" t="s">
        <v>119</v>
      </c>
      <c r="N156" t="s">
        <v>120</v>
      </c>
      <c r="O156" t="s">
        <v>121</v>
      </c>
      <c r="P156">
        <v>4</v>
      </c>
      <c r="Q156" s="4">
        <v>272.14</v>
      </c>
      <c r="R156" s="5">
        <v>0.11</v>
      </c>
      <c r="S156" s="4">
        <v>7.75</v>
      </c>
      <c r="T156" t="s">
        <v>122</v>
      </c>
      <c r="U156" t="s">
        <v>85</v>
      </c>
      <c r="V156">
        <v>4</v>
      </c>
    </row>
    <row r="157" spans="1:22">
      <c r="A157" t="s">
        <v>551</v>
      </c>
      <c r="B157" s="3">
        <v>45463</v>
      </c>
      <c r="C157" s="3">
        <v>45473</v>
      </c>
      <c r="D157" t="s">
        <v>357</v>
      </c>
      <c r="E157" t="s">
        <v>358</v>
      </c>
      <c r="F157" t="s">
        <v>74</v>
      </c>
      <c r="G157" t="s">
        <v>75</v>
      </c>
      <c r="H157" t="s">
        <v>98</v>
      </c>
      <c r="I157" t="s">
        <v>99</v>
      </c>
      <c r="J157" t="s">
        <v>109</v>
      </c>
      <c r="K157" t="s">
        <v>79</v>
      </c>
      <c r="L157" t="s">
        <v>220</v>
      </c>
      <c r="M157" t="s">
        <v>221</v>
      </c>
      <c r="N157" t="s">
        <v>93</v>
      </c>
      <c r="O157" t="s">
        <v>177</v>
      </c>
      <c r="P157">
        <v>1</v>
      </c>
      <c r="Q157" s="4">
        <v>222.2</v>
      </c>
      <c r="R157" s="5">
        <v>0.03</v>
      </c>
      <c r="S157" s="4">
        <v>22.65</v>
      </c>
      <c r="T157" t="s">
        <v>105</v>
      </c>
      <c r="U157" t="s">
        <v>85</v>
      </c>
      <c r="V157">
        <v>3</v>
      </c>
    </row>
    <row r="158" spans="1:22">
      <c r="A158" t="s">
        <v>552</v>
      </c>
      <c r="B158" s="3">
        <v>45464</v>
      </c>
      <c r="C158" s="3">
        <v>45466</v>
      </c>
      <c r="D158" t="s">
        <v>87</v>
      </c>
      <c r="E158" t="s">
        <v>88</v>
      </c>
      <c r="F158" t="s">
        <v>89</v>
      </c>
      <c r="G158" t="s">
        <v>75</v>
      </c>
      <c r="H158" t="s">
        <v>76</v>
      </c>
      <c r="I158" t="s">
        <v>77</v>
      </c>
      <c r="J158" t="s">
        <v>219</v>
      </c>
      <c r="K158" t="s">
        <v>147</v>
      </c>
      <c r="L158" t="s">
        <v>101</v>
      </c>
      <c r="M158" t="s">
        <v>102</v>
      </c>
      <c r="N158" t="s">
        <v>103</v>
      </c>
      <c r="O158" t="s">
        <v>104</v>
      </c>
      <c r="P158">
        <v>10</v>
      </c>
      <c r="Q158" s="4">
        <v>74.48</v>
      </c>
      <c r="R158" s="5">
        <v>0.05</v>
      </c>
      <c r="S158" s="4">
        <v>5.7</v>
      </c>
      <c r="T158" t="s">
        <v>84</v>
      </c>
      <c r="U158" t="s">
        <v>85</v>
      </c>
      <c r="V158">
        <v>5</v>
      </c>
    </row>
    <row r="159" spans="1:22">
      <c r="A159" t="s">
        <v>553</v>
      </c>
      <c r="B159" s="3">
        <v>45465</v>
      </c>
      <c r="C159" s="3">
        <v>45468</v>
      </c>
      <c r="D159" t="s">
        <v>482</v>
      </c>
      <c r="E159" t="s">
        <v>483</v>
      </c>
      <c r="F159" t="s">
        <v>74</v>
      </c>
      <c r="G159" t="s">
        <v>194</v>
      </c>
      <c r="H159" t="s">
        <v>240</v>
      </c>
      <c r="I159" t="s">
        <v>241</v>
      </c>
      <c r="J159" t="s">
        <v>129</v>
      </c>
      <c r="K159" t="s">
        <v>90</v>
      </c>
      <c r="L159" t="s">
        <v>91</v>
      </c>
      <c r="M159" t="s">
        <v>92</v>
      </c>
      <c r="N159" t="s">
        <v>93</v>
      </c>
      <c r="O159" t="s">
        <v>94</v>
      </c>
      <c r="P159">
        <v>2</v>
      </c>
      <c r="Q159" s="4">
        <v>346.12</v>
      </c>
      <c r="R159" s="5">
        <v>0.25</v>
      </c>
      <c r="S159" s="4">
        <v>20.72</v>
      </c>
      <c r="T159" t="s">
        <v>122</v>
      </c>
      <c r="U159" t="s">
        <v>85</v>
      </c>
    </row>
    <row r="160" spans="1:22">
      <c r="A160" t="s">
        <v>554</v>
      </c>
      <c r="B160" s="3">
        <v>45467</v>
      </c>
      <c r="C160" s="3">
        <v>45470</v>
      </c>
      <c r="D160" t="s">
        <v>487</v>
      </c>
      <c r="E160" t="s">
        <v>470</v>
      </c>
      <c r="F160" t="s">
        <v>152</v>
      </c>
      <c r="G160" t="s">
        <v>75</v>
      </c>
      <c r="H160" t="s">
        <v>98</v>
      </c>
      <c r="I160" t="s">
        <v>99</v>
      </c>
      <c r="J160" t="s">
        <v>78</v>
      </c>
      <c r="K160" t="s">
        <v>100</v>
      </c>
      <c r="L160" t="s">
        <v>261</v>
      </c>
      <c r="M160" t="s">
        <v>262</v>
      </c>
      <c r="N160" t="s">
        <v>103</v>
      </c>
      <c r="O160" t="s">
        <v>104</v>
      </c>
      <c r="P160">
        <v>1</v>
      </c>
      <c r="Q160" s="4">
        <v>28</v>
      </c>
      <c r="R160" s="5">
        <v>0.04</v>
      </c>
      <c r="S160" s="4">
        <v>12.53</v>
      </c>
      <c r="T160" t="s">
        <v>122</v>
      </c>
      <c r="U160" t="s">
        <v>85</v>
      </c>
      <c r="V160">
        <v>3</v>
      </c>
    </row>
    <row r="161" spans="1:22">
      <c r="A161" t="s">
        <v>555</v>
      </c>
      <c r="B161" s="3">
        <v>45467</v>
      </c>
      <c r="C161" s="3">
        <v>45474</v>
      </c>
      <c r="D161" t="s">
        <v>556</v>
      </c>
      <c r="E161" t="s">
        <v>557</v>
      </c>
      <c r="F161" t="s">
        <v>152</v>
      </c>
      <c r="G161" t="s">
        <v>75</v>
      </c>
      <c r="H161" t="s">
        <v>212</v>
      </c>
      <c r="I161" t="s">
        <v>213</v>
      </c>
      <c r="J161" t="s">
        <v>109</v>
      </c>
      <c r="K161" t="s">
        <v>168</v>
      </c>
      <c r="L161" t="s">
        <v>359</v>
      </c>
      <c r="M161" t="s">
        <v>360</v>
      </c>
      <c r="N161" t="s">
        <v>93</v>
      </c>
      <c r="O161" t="s">
        <v>94</v>
      </c>
      <c r="P161">
        <v>3</v>
      </c>
      <c r="Q161" s="4">
        <v>471.37</v>
      </c>
      <c r="R161" s="5">
        <v>0.01</v>
      </c>
      <c r="S161" s="4">
        <v>23.78</v>
      </c>
      <c r="T161" t="s">
        <v>134</v>
      </c>
      <c r="U161" t="s">
        <v>85</v>
      </c>
      <c r="V161">
        <v>2</v>
      </c>
    </row>
    <row r="162" spans="1:22">
      <c r="A162" t="s">
        <v>558</v>
      </c>
      <c r="B162" s="3">
        <v>45468</v>
      </c>
      <c r="C162" s="3">
        <v>45476</v>
      </c>
      <c r="D162" t="s">
        <v>205</v>
      </c>
      <c r="E162" t="s">
        <v>206</v>
      </c>
      <c r="F162" t="s">
        <v>74</v>
      </c>
      <c r="G162" t="s">
        <v>194</v>
      </c>
      <c r="H162" t="s">
        <v>202</v>
      </c>
      <c r="I162" t="s">
        <v>203</v>
      </c>
      <c r="J162" t="s">
        <v>109</v>
      </c>
      <c r="K162" t="s">
        <v>100</v>
      </c>
      <c r="L162" t="s">
        <v>207</v>
      </c>
      <c r="M162" t="s">
        <v>208</v>
      </c>
      <c r="N162" t="s">
        <v>120</v>
      </c>
      <c r="O162" t="s">
        <v>164</v>
      </c>
      <c r="P162">
        <v>2</v>
      </c>
      <c r="Q162" s="4">
        <v>1472.21</v>
      </c>
      <c r="R162" s="5">
        <v>0.32</v>
      </c>
      <c r="S162" s="4">
        <v>12.66</v>
      </c>
      <c r="T162" t="s">
        <v>134</v>
      </c>
      <c r="U162" t="s">
        <v>85</v>
      </c>
      <c r="V162">
        <v>5</v>
      </c>
    </row>
    <row r="163" spans="1:22">
      <c r="A163" t="s">
        <v>559</v>
      </c>
      <c r="B163" s="3">
        <v>45470</v>
      </c>
      <c r="C163" s="3">
        <v>45480</v>
      </c>
      <c r="D163" t="s">
        <v>485</v>
      </c>
      <c r="E163" t="s">
        <v>193</v>
      </c>
      <c r="F163" t="s">
        <v>74</v>
      </c>
      <c r="G163" t="s">
        <v>138</v>
      </c>
      <c r="H163" t="s">
        <v>153</v>
      </c>
      <c r="I163" t="s">
        <v>154</v>
      </c>
      <c r="J163" t="s">
        <v>109</v>
      </c>
      <c r="K163" t="s">
        <v>79</v>
      </c>
      <c r="L163" t="s">
        <v>155</v>
      </c>
      <c r="M163" t="s">
        <v>156</v>
      </c>
      <c r="N163" t="s">
        <v>82</v>
      </c>
      <c r="O163" t="s">
        <v>112</v>
      </c>
      <c r="P163">
        <v>5</v>
      </c>
      <c r="Q163" s="4">
        <v>169.15</v>
      </c>
      <c r="R163" s="5">
        <v>0.04</v>
      </c>
      <c r="S163" s="4">
        <v>16.12</v>
      </c>
      <c r="T163" t="s">
        <v>122</v>
      </c>
      <c r="U163" t="s">
        <v>85</v>
      </c>
      <c r="V163">
        <v>5</v>
      </c>
    </row>
    <row r="164" spans="1:22">
      <c r="A164" t="s">
        <v>560</v>
      </c>
      <c r="B164" s="3">
        <v>45470</v>
      </c>
      <c r="C164" s="3">
        <v>45480</v>
      </c>
      <c r="D164" t="s">
        <v>136</v>
      </c>
      <c r="E164" t="s">
        <v>137</v>
      </c>
      <c r="F164" t="s">
        <v>74</v>
      </c>
      <c r="G164" t="s">
        <v>138</v>
      </c>
      <c r="H164" t="s">
        <v>139</v>
      </c>
      <c r="I164" t="s">
        <v>140</v>
      </c>
      <c r="J164" t="s">
        <v>219</v>
      </c>
      <c r="K164" t="s">
        <v>168</v>
      </c>
      <c r="L164" t="s">
        <v>301</v>
      </c>
      <c r="M164" t="s">
        <v>302</v>
      </c>
      <c r="N164" t="s">
        <v>120</v>
      </c>
      <c r="O164" t="s">
        <v>190</v>
      </c>
      <c r="P164">
        <v>4</v>
      </c>
      <c r="Q164" s="4">
        <v>145.75</v>
      </c>
      <c r="R164" s="5">
        <v>0.09</v>
      </c>
      <c r="S164" s="4">
        <v>18.84</v>
      </c>
      <c r="T164" t="s">
        <v>122</v>
      </c>
      <c r="U164" t="s">
        <v>85</v>
      </c>
      <c r="V164">
        <v>1</v>
      </c>
    </row>
    <row r="165" spans="1:22">
      <c r="A165" t="s">
        <v>561</v>
      </c>
      <c r="B165" s="3">
        <v>45471</v>
      </c>
      <c r="C165" s="3">
        <v>45473</v>
      </c>
      <c r="D165" t="s">
        <v>514</v>
      </c>
      <c r="E165" t="s">
        <v>515</v>
      </c>
      <c r="F165" t="s">
        <v>74</v>
      </c>
      <c r="G165" t="s">
        <v>75</v>
      </c>
      <c r="H165" t="s">
        <v>212</v>
      </c>
      <c r="I165" t="s">
        <v>213</v>
      </c>
      <c r="J165" t="s">
        <v>109</v>
      </c>
      <c r="K165" t="s">
        <v>79</v>
      </c>
      <c r="L165" t="s">
        <v>80</v>
      </c>
      <c r="M165" t="s">
        <v>81</v>
      </c>
      <c r="N165" t="s">
        <v>82</v>
      </c>
      <c r="O165" t="s">
        <v>83</v>
      </c>
      <c r="P165">
        <v>6</v>
      </c>
      <c r="Q165" s="4">
        <v>236.34</v>
      </c>
      <c r="R165" s="5">
        <v>0.03</v>
      </c>
      <c r="S165" s="4">
        <v>13.75</v>
      </c>
      <c r="T165" t="s">
        <v>84</v>
      </c>
      <c r="U165" t="s">
        <v>85</v>
      </c>
      <c r="V165">
        <v>4</v>
      </c>
    </row>
    <row r="166" spans="1:22">
      <c r="A166" t="s">
        <v>562</v>
      </c>
      <c r="B166" s="3">
        <v>45471</v>
      </c>
      <c r="C166" s="3">
        <v>45477</v>
      </c>
      <c r="D166" t="s">
        <v>563</v>
      </c>
      <c r="E166" t="s">
        <v>564</v>
      </c>
      <c r="F166" t="s">
        <v>152</v>
      </c>
      <c r="G166" t="s">
        <v>138</v>
      </c>
      <c r="H166" t="s">
        <v>139</v>
      </c>
      <c r="I166" t="s">
        <v>140</v>
      </c>
      <c r="J166" t="s">
        <v>78</v>
      </c>
      <c r="K166" t="s">
        <v>90</v>
      </c>
      <c r="L166" t="s">
        <v>162</v>
      </c>
      <c r="M166" t="s">
        <v>163</v>
      </c>
      <c r="N166" t="s">
        <v>120</v>
      </c>
      <c r="O166" t="s">
        <v>164</v>
      </c>
      <c r="P166">
        <v>1</v>
      </c>
      <c r="Q166" s="4">
        <v>938.93</v>
      </c>
      <c r="R166" s="5">
        <v>0.26</v>
      </c>
      <c r="S166" s="4">
        <v>11.81</v>
      </c>
      <c r="T166" t="s">
        <v>84</v>
      </c>
      <c r="U166" t="s">
        <v>85</v>
      </c>
      <c r="V166">
        <v>1</v>
      </c>
    </row>
    <row r="167" spans="1:22">
      <c r="A167" t="s">
        <v>565</v>
      </c>
      <c r="B167" s="3">
        <v>45473</v>
      </c>
      <c r="C167" s="3">
        <v>45482</v>
      </c>
      <c r="D167" t="s">
        <v>469</v>
      </c>
      <c r="E167" t="s">
        <v>470</v>
      </c>
      <c r="F167" t="s">
        <v>89</v>
      </c>
      <c r="G167" t="s">
        <v>138</v>
      </c>
      <c r="H167" t="s">
        <v>186</v>
      </c>
      <c r="I167" t="s">
        <v>187</v>
      </c>
      <c r="J167" t="s">
        <v>219</v>
      </c>
      <c r="K167" t="s">
        <v>90</v>
      </c>
      <c r="L167" t="s">
        <v>242</v>
      </c>
      <c r="M167" t="s">
        <v>243</v>
      </c>
      <c r="N167" t="s">
        <v>120</v>
      </c>
      <c r="O167" t="s">
        <v>133</v>
      </c>
      <c r="P167">
        <v>3</v>
      </c>
      <c r="Q167" s="4">
        <v>197.98</v>
      </c>
      <c r="R167" s="5">
        <v>0.24</v>
      </c>
      <c r="S167" s="4">
        <v>5.98</v>
      </c>
      <c r="T167" t="s">
        <v>134</v>
      </c>
      <c r="U167" t="s">
        <v>85</v>
      </c>
      <c r="V167">
        <v>4</v>
      </c>
    </row>
    <row r="168" spans="1:22">
      <c r="A168" t="s">
        <v>566</v>
      </c>
      <c r="B168" s="3">
        <v>45473</v>
      </c>
      <c r="C168" s="3">
        <v>45480</v>
      </c>
      <c r="D168" t="s">
        <v>430</v>
      </c>
      <c r="E168" t="s">
        <v>224</v>
      </c>
      <c r="F168" t="s">
        <v>74</v>
      </c>
      <c r="G168" t="s">
        <v>194</v>
      </c>
      <c r="H168" t="s">
        <v>225</v>
      </c>
      <c r="I168" t="s">
        <v>226</v>
      </c>
      <c r="J168" t="s">
        <v>109</v>
      </c>
      <c r="K168" t="s">
        <v>100</v>
      </c>
      <c r="L168" t="s">
        <v>101</v>
      </c>
      <c r="M168" t="s">
        <v>102</v>
      </c>
      <c r="N168" t="s">
        <v>103</v>
      </c>
      <c r="O168" t="s">
        <v>104</v>
      </c>
      <c r="P168">
        <v>4</v>
      </c>
      <c r="Q168" s="4">
        <v>76.28</v>
      </c>
      <c r="R168" s="5">
        <v>0.01</v>
      </c>
      <c r="S168" s="4">
        <v>16.29</v>
      </c>
      <c r="T168" t="s">
        <v>105</v>
      </c>
      <c r="U168" t="s">
        <v>85</v>
      </c>
      <c r="V168">
        <v>3</v>
      </c>
    </row>
    <row r="169" spans="1:22">
      <c r="A169" t="s">
        <v>567</v>
      </c>
      <c r="B169" s="3">
        <v>45476</v>
      </c>
      <c r="C169" s="3">
        <v>45481</v>
      </c>
      <c r="D169" t="s">
        <v>392</v>
      </c>
      <c r="E169" t="s">
        <v>393</v>
      </c>
      <c r="F169" t="s">
        <v>74</v>
      </c>
      <c r="G169" t="s">
        <v>126</v>
      </c>
      <c r="H169" t="s">
        <v>160</v>
      </c>
      <c r="I169" t="s">
        <v>161</v>
      </c>
      <c r="J169" t="s">
        <v>129</v>
      </c>
      <c r="K169" t="s">
        <v>90</v>
      </c>
      <c r="L169" t="s">
        <v>337</v>
      </c>
      <c r="M169" t="s">
        <v>338</v>
      </c>
      <c r="N169" t="s">
        <v>93</v>
      </c>
      <c r="O169" t="s">
        <v>236</v>
      </c>
      <c r="P169">
        <v>3</v>
      </c>
      <c r="Q169" s="4">
        <v>264.86</v>
      </c>
      <c r="R169" s="5">
        <v>0.11</v>
      </c>
      <c r="S169" s="4">
        <v>23.24</v>
      </c>
      <c r="T169" t="s">
        <v>84</v>
      </c>
      <c r="U169" t="s">
        <v>85</v>
      </c>
      <c r="V169">
        <v>3</v>
      </c>
    </row>
    <row r="170" spans="1:22">
      <c r="A170" t="s">
        <v>568</v>
      </c>
      <c r="B170" s="3">
        <v>45477</v>
      </c>
      <c r="C170" s="3">
        <v>45485</v>
      </c>
      <c r="D170" t="s">
        <v>276</v>
      </c>
      <c r="E170" t="s">
        <v>277</v>
      </c>
      <c r="F170" t="s">
        <v>152</v>
      </c>
      <c r="G170" t="s">
        <v>75</v>
      </c>
      <c r="H170" t="s">
        <v>212</v>
      </c>
      <c r="I170" t="s">
        <v>213</v>
      </c>
      <c r="J170" t="s">
        <v>219</v>
      </c>
      <c r="K170" t="s">
        <v>79</v>
      </c>
      <c r="L170" t="s">
        <v>175</v>
      </c>
      <c r="M170" t="s">
        <v>176</v>
      </c>
      <c r="N170" t="s">
        <v>93</v>
      </c>
      <c r="O170" t="s">
        <v>177</v>
      </c>
      <c r="P170">
        <v>3</v>
      </c>
      <c r="Q170" s="4">
        <v>173.59</v>
      </c>
      <c r="R170" s="5">
        <v>0.2</v>
      </c>
      <c r="S170" s="4">
        <v>24.73</v>
      </c>
      <c r="T170" t="s">
        <v>134</v>
      </c>
      <c r="U170" t="s">
        <v>148</v>
      </c>
    </row>
    <row r="171" spans="1:22">
      <c r="A171" t="s">
        <v>569</v>
      </c>
      <c r="B171" s="3">
        <v>45482</v>
      </c>
      <c r="C171" s="3">
        <v>45485</v>
      </c>
      <c r="D171" t="s">
        <v>570</v>
      </c>
      <c r="E171" t="s">
        <v>571</v>
      </c>
      <c r="F171" t="s">
        <v>152</v>
      </c>
      <c r="G171" t="s">
        <v>126</v>
      </c>
      <c r="H171" t="s">
        <v>160</v>
      </c>
      <c r="I171" t="s">
        <v>182</v>
      </c>
      <c r="J171" t="s">
        <v>78</v>
      </c>
      <c r="K171" t="s">
        <v>168</v>
      </c>
      <c r="L171" t="s">
        <v>431</v>
      </c>
      <c r="M171" t="s">
        <v>432</v>
      </c>
      <c r="N171" t="s">
        <v>103</v>
      </c>
      <c r="O171" t="s">
        <v>251</v>
      </c>
      <c r="P171">
        <v>5</v>
      </c>
      <c r="Q171" s="4">
        <v>37.979999999999997</v>
      </c>
      <c r="R171" s="5">
        <v>0.03</v>
      </c>
      <c r="S171" s="4">
        <v>5.82</v>
      </c>
      <c r="T171" t="s">
        <v>84</v>
      </c>
      <c r="U171" t="s">
        <v>85</v>
      </c>
      <c r="V171">
        <v>2</v>
      </c>
    </row>
    <row r="172" spans="1:22">
      <c r="A172" t="s">
        <v>572</v>
      </c>
      <c r="B172" s="3">
        <v>45482</v>
      </c>
      <c r="C172" s="3">
        <v>45488</v>
      </c>
      <c r="D172" t="s">
        <v>271</v>
      </c>
      <c r="E172" t="s">
        <v>272</v>
      </c>
      <c r="F172" t="s">
        <v>89</v>
      </c>
      <c r="G172" t="s">
        <v>75</v>
      </c>
      <c r="H172" t="s">
        <v>273</v>
      </c>
      <c r="I172" t="s">
        <v>274</v>
      </c>
      <c r="J172" t="s">
        <v>78</v>
      </c>
      <c r="K172" t="s">
        <v>147</v>
      </c>
      <c r="L172" t="s">
        <v>155</v>
      </c>
      <c r="M172" t="s">
        <v>156</v>
      </c>
      <c r="N172" t="s">
        <v>82</v>
      </c>
      <c r="O172" t="s">
        <v>112</v>
      </c>
      <c r="P172">
        <v>8</v>
      </c>
      <c r="Q172" s="4">
        <v>170.07</v>
      </c>
      <c r="R172" s="5">
        <v>0.05</v>
      </c>
      <c r="S172" s="4">
        <v>6.93</v>
      </c>
      <c r="T172" t="s">
        <v>122</v>
      </c>
      <c r="U172" t="s">
        <v>85</v>
      </c>
      <c r="V172">
        <v>2</v>
      </c>
    </row>
    <row r="173" spans="1:22">
      <c r="A173" t="s">
        <v>573</v>
      </c>
      <c r="B173" s="3">
        <v>45483</v>
      </c>
      <c r="C173" s="3">
        <v>45486</v>
      </c>
      <c r="D173" t="s">
        <v>166</v>
      </c>
      <c r="E173" t="s">
        <v>167</v>
      </c>
      <c r="F173" t="s">
        <v>74</v>
      </c>
      <c r="G173" t="s">
        <v>75</v>
      </c>
      <c r="H173" t="s">
        <v>116</v>
      </c>
      <c r="I173" t="s">
        <v>117</v>
      </c>
      <c r="J173" t="s">
        <v>78</v>
      </c>
      <c r="K173" t="s">
        <v>90</v>
      </c>
      <c r="L173" t="s">
        <v>141</v>
      </c>
      <c r="M173" t="s">
        <v>142</v>
      </c>
      <c r="N173" t="s">
        <v>103</v>
      </c>
      <c r="O173" t="s">
        <v>143</v>
      </c>
      <c r="P173">
        <v>5</v>
      </c>
      <c r="Q173" s="4">
        <v>35.42</v>
      </c>
      <c r="R173" s="5">
        <v>0.02</v>
      </c>
      <c r="S173" s="4">
        <v>9.43</v>
      </c>
      <c r="T173" t="s">
        <v>122</v>
      </c>
      <c r="U173" t="s">
        <v>85</v>
      </c>
      <c r="V173">
        <v>3</v>
      </c>
    </row>
    <row r="174" spans="1:22">
      <c r="A174" t="s">
        <v>574</v>
      </c>
      <c r="B174" s="3">
        <v>45484</v>
      </c>
      <c r="C174" s="3">
        <v>45488</v>
      </c>
      <c r="D174" t="s">
        <v>514</v>
      </c>
      <c r="E174" t="s">
        <v>515</v>
      </c>
      <c r="F174" t="s">
        <v>74</v>
      </c>
      <c r="G174" t="s">
        <v>75</v>
      </c>
      <c r="H174" t="s">
        <v>212</v>
      </c>
      <c r="I174" t="s">
        <v>213</v>
      </c>
      <c r="J174" t="s">
        <v>78</v>
      </c>
      <c r="K174" t="s">
        <v>79</v>
      </c>
      <c r="L174" t="s">
        <v>110</v>
      </c>
      <c r="M174" t="s">
        <v>111</v>
      </c>
      <c r="N174" t="s">
        <v>82</v>
      </c>
      <c r="O174" t="s">
        <v>112</v>
      </c>
      <c r="P174">
        <v>7</v>
      </c>
      <c r="Q174" s="4">
        <v>309.85000000000002</v>
      </c>
      <c r="R174" s="5">
        <v>0.05</v>
      </c>
      <c r="S174" s="4">
        <v>5.51</v>
      </c>
      <c r="T174" t="s">
        <v>134</v>
      </c>
      <c r="U174" t="s">
        <v>85</v>
      </c>
    </row>
    <row r="175" spans="1:22">
      <c r="A175" t="s">
        <v>575</v>
      </c>
      <c r="B175" s="3">
        <v>45484</v>
      </c>
      <c r="C175" s="3">
        <v>45492</v>
      </c>
      <c r="D175" t="s">
        <v>576</v>
      </c>
      <c r="E175" t="s">
        <v>577</v>
      </c>
      <c r="F175" t="s">
        <v>89</v>
      </c>
      <c r="G175" t="s">
        <v>126</v>
      </c>
      <c r="H175" t="s">
        <v>291</v>
      </c>
      <c r="I175" t="s">
        <v>292</v>
      </c>
      <c r="J175" t="s">
        <v>219</v>
      </c>
      <c r="K175" t="s">
        <v>168</v>
      </c>
      <c r="L175" t="s">
        <v>131</v>
      </c>
      <c r="M175" t="s">
        <v>132</v>
      </c>
      <c r="N175" t="s">
        <v>120</v>
      </c>
      <c r="O175" t="s">
        <v>133</v>
      </c>
      <c r="P175">
        <v>4</v>
      </c>
      <c r="Q175" s="4">
        <v>89.46</v>
      </c>
      <c r="R175" s="5">
        <v>0.04</v>
      </c>
      <c r="S175" s="4">
        <v>10.18</v>
      </c>
      <c r="T175" t="s">
        <v>84</v>
      </c>
      <c r="U175" t="s">
        <v>85</v>
      </c>
    </row>
    <row r="176" spans="1:22">
      <c r="A176" t="s">
        <v>578</v>
      </c>
      <c r="B176" s="3">
        <v>45485</v>
      </c>
      <c r="C176" s="3">
        <v>45486</v>
      </c>
      <c r="D176" t="s">
        <v>312</v>
      </c>
      <c r="E176" t="s">
        <v>313</v>
      </c>
      <c r="F176" t="s">
        <v>74</v>
      </c>
      <c r="G176" t="s">
        <v>194</v>
      </c>
      <c r="H176" t="s">
        <v>225</v>
      </c>
      <c r="I176" t="s">
        <v>226</v>
      </c>
      <c r="J176" t="s">
        <v>219</v>
      </c>
      <c r="K176" t="s">
        <v>147</v>
      </c>
      <c r="L176" t="s">
        <v>169</v>
      </c>
      <c r="M176" t="s">
        <v>170</v>
      </c>
      <c r="N176" t="s">
        <v>103</v>
      </c>
      <c r="O176" t="s">
        <v>171</v>
      </c>
      <c r="P176">
        <v>6</v>
      </c>
      <c r="Q176" s="4">
        <v>15.53</v>
      </c>
      <c r="R176" s="5">
        <v>0.28000000000000003</v>
      </c>
      <c r="S176" s="4">
        <v>15.24</v>
      </c>
      <c r="T176" t="s">
        <v>105</v>
      </c>
      <c r="U176" t="s">
        <v>85</v>
      </c>
      <c r="V176">
        <v>4</v>
      </c>
    </row>
    <row r="177" spans="1:22">
      <c r="A177" t="s">
        <v>579</v>
      </c>
      <c r="B177" s="3">
        <v>45485</v>
      </c>
      <c r="C177" s="3">
        <v>45486</v>
      </c>
      <c r="D177" t="s">
        <v>445</v>
      </c>
      <c r="E177" t="s">
        <v>446</v>
      </c>
      <c r="F177" t="s">
        <v>152</v>
      </c>
      <c r="G177" t="s">
        <v>126</v>
      </c>
      <c r="H177" t="s">
        <v>160</v>
      </c>
      <c r="I177" t="s">
        <v>182</v>
      </c>
      <c r="J177" t="s">
        <v>219</v>
      </c>
      <c r="K177" t="s">
        <v>90</v>
      </c>
      <c r="L177" t="s">
        <v>197</v>
      </c>
      <c r="M177" t="s">
        <v>198</v>
      </c>
      <c r="N177" t="s">
        <v>120</v>
      </c>
      <c r="O177" t="s">
        <v>121</v>
      </c>
      <c r="P177">
        <v>2</v>
      </c>
      <c r="Q177" s="4">
        <v>553.65</v>
      </c>
      <c r="R177" s="5">
        <v>0.04</v>
      </c>
      <c r="S177" s="4">
        <v>17.84</v>
      </c>
      <c r="T177" t="s">
        <v>134</v>
      </c>
      <c r="U177" t="s">
        <v>85</v>
      </c>
    </row>
    <row r="178" spans="1:22">
      <c r="A178" t="s">
        <v>580</v>
      </c>
      <c r="B178" s="3">
        <v>45486</v>
      </c>
      <c r="C178" s="3">
        <v>45489</v>
      </c>
      <c r="D178" t="s">
        <v>184</v>
      </c>
      <c r="E178" t="s">
        <v>185</v>
      </c>
      <c r="F178" t="s">
        <v>74</v>
      </c>
      <c r="G178" t="s">
        <v>138</v>
      </c>
      <c r="H178" t="s">
        <v>186</v>
      </c>
      <c r="I178" t="s">
        <v>187</v>
      </c>
      <c r="J178" t="s">
        <v>109</v>
      </c>
      <c r="K178" t="s">
        <v>100</v>
      </c>
      <c r="L178" t="s">
        <v>242</v>
      </c>
      <c r="M178" t="s">
        <v>243</v>
      </c>
      <c r="N178" t="s">
        <v>120</v>
      </c>
      <c r="O178" t="s">
        <v>133</v>
      </c>
      <c r="P178">
        <v>4</v>
      </c>
      <c r="Q178" s="4">
        <v>178.59</v>
      </c>
      <c r="R178" s="5">
        <v>0.08</v>
      </c>
      <c r="S178" s="4">
        <v>13.81</v>
      </c>
      <c r="T178" t="s">
        <v>134</v>
      </c>
      <c r="U178" t="s">
        <v>85</v>
      </c>
      <c r="V178">
        <v>5</v>
      </c>
    </row>
    <row r="179" spans="1:22">
      <c r="A179" t="s">
        <v>581</v>
      </c>
      <c r="B179" s="3">
        <v>45487</v>
      </c>
      <c r="C179" s="3">
        <v>45493</v>
      </c>
      <c r="D179" t="s">
        <v>490</v>
      </c>
      <c r="E179" t="s">
        <v>491</v>
      </c>
      <c r="F179" t="s">
        <v>152</v>
      </c>
      <c r="G179" t="s">
        <v>194</v>
      </c>
      <c r="H179" t="s">
        <v>202</v>
      </c>
      <c r="I179" t="s">
        <v>203</v>
      </c>
      <c r="J179" t="s">
        <v>78</v>
      </c>
      <c r="K179" t="s">
        <v>147</v>
      </c>
      <c r="L179" t="s">
        <v>118</v>
      </c>
      <c r="M179" t="s">
        <v>119</v>
      </c>
      <c r="N179" t="s">
        <v>120</v>
      </c>
      <c r="O179" t="s">
        <v>121</v>
      </c>
      <c r="P179">
        <v>3</v>
      </c>
      <c r="Q179" s="4">
        <v>282.75</v>
      </c>
      <c r="R179" s="5">
        <v>0.1</v>
      </c>
      <c r="S179" s="4">
        <v>5.5</v>
      </c>
      <c r="T179" t="s">
        <v>122</v>
      </c>
      <c r="U179" t="s">
        <v>85</v>
      </c>
      <c r="V179">
        <v>1</v>
      </c>
    </row>
    <row r="180" spans="1:22">
      <c r="A180" t="s">
        <v>582</v>
      </c>
      <c r="B180" s="3">
        <v>45487</v>
      </c>
      <c r="C180" s="3">
        <v>45495</v>
      </c>
      <c r="D180" t="s">
        <v>583</v>
      </c>
      <c r="E180" t="s">
        <v>584</v>
      </c>
      <c r="F180" t="s">
        <v>89</v>
      </c>
      <c r="G180" t="s">
        <v>138</v>
      </c>
      <c r="H180" t="s">
        <v>139</v>
      </c>
      <c r="I180" t="s">
        <v>140</v>
      </c>
      <c r="J180" t="s">
        <v>109</v>
      </c>
      <c r="K180" t="s">
        <v>79</v>
      </c>
      <c r="L180" t="s">
        <v>110</v>
      </c>
      <c r="M180" t="s">
        <v>111</v>
      </c>
      <c r="N180" t="s">
        <v>82</v>
      </c>
      <c r="O180" t="s">
        <v>112</v>
      </c>
      <c r="P180">
        <v>4</v>
      </c>
      <c r="Q180" s="4">
        <v>323.60000000000002</v>
      </c>
      <c r="R180" s="5">
        <v>0.09</v>
      </c>
      <c r="S180" s="4">
        <v>10.34</v>
      </c>
      <c r="T180" t="s">
        <v>122</v>
      </c>
      <c r="U180" t="s">
        <v>85</v>
      </c>
      <c r="V180">
        <v>3</v>
      </c>
    </row>
    <row r="181" spans="1:22">
      <c r="A181" t="s">
        <v>585</v>
      </c>
      <c r="B181" s="3">
        <v>45488</v>
      </c>
      <c r="C181" s="3">
        <v>45496</v>
      </c>
      <c r="D181" t="s">
        <v>586</v>
      </c>
      <c r="E181" t="s">
        <v>587</v>
      </c>
      <c r="F181" t="s">
        <v>89</v>
      </c>
      <c r="G181" t="s">
        <v>138</v>
      </c>
      <c r="H181" t="s">
        <v>139</v>
      </c>
      <c r="I181" t="s">
        <v>140</v>
      </c>
      <c r="J181" t="s">
        <v>219</v>
      </c>
      <c r="K181" t="s">
        <v>168</v>
      </c>
      <c r="L181" t="s">
        <v>141</v>
      </c>
      <c r="M181" t="s">
        <v>142</v>
      </c>
      <c r="N181" t="s">
        <v>103</v>
      </c>
      <c r="O181" t="s">
        <v>143</v>
      </c>
      <c r="P181">
        <v>9</v>
      </c>
      <c r="Q181" s="4">
        <v>34.56</v>
      </c>
      <c r="R181" s="5">
        <v>0.02</v>
      </c>
      <c r="S181" s="4">
        <v>10.47</v>
      </c>
      <c r="T181" t="s">
        <v>84</v>
      </c>
      <c r="U181" t="s">
        <v>85</v>
      </c>
      <c r="V181">
        <v>2</v>
      </c>
    </row>
    <row r="182" spans="1:22">
      <c r="A182" t="s">
        <v>588</v>
      </c>
      <c r="B182" s="3">
        <v>45490</v>
      </c>
      <c r="C182" s="3">
        <v>45491</v>
      </c>
      <c r="D182" t="s">
        <v>145</v>
      </c>
      <c r="E182" t="s">
        <v>146</v>
      </c>
      <c r="F182" t="s">
        <v>74</v>
      </c>
      <c r="G182" t="s">
        <v>75</v>
      </c>
      <c r="H182" t="s">
        <v>116</v>
      </c>
      <c r="I182" t="s">
        <v>117</v>
      </c>
      <c r="J182" t="s">
        <v>219</v>
      </c>
      <c r="K182" t="s">
        <v>100</v>
      </c>
      <c r="L182" t="s">
        <v>431</v>
      </c>
      <c r="M182" t="s">
        <v>432</v>
      </c>
      <c r="N182" t="s">
        <v>103</v>
      </c>
      <c r="O182" t="s">
        <v>251</v>
      </c>
      <c r="P182">
        <v>7</v>
      </c>
      <c r="Q182" s="4">
        <v>37.159999999999997</v>
      </c>
      <c r="R182" s="5">
        <v>0.03</v>
      </c>
      <c r="S182" s="4">
        <v>15.87</v>
      </c>
      <c r="T182" t="s">
        <v>122</v>
      </c>
      <c r="U182" t="s">
        <v>85</v>
      </c>
      <c r="V182">
        <v>5</v>
      </c>
    </row>
    <row r="183" spans="1:22">
      <c r="A183" t="s">
        <v>589</v>
      </c>
      <c r="B183" s="3">
        <v>45491</v>
      </c>
      <c r="C183" s="3">
        <v>45492</v>
      </c>
      <c r="D183" t="s">
        <v>362</v>
      </c>
      <c r="E183" t="s">
        <v>363</v>
      </c>
      <c r="F183" t="s">
        <v>89</v>
      </c>
      <c r="G183" t="s">
        <v>194</v>
      </c>
      <c r="H183" t="s">
        <v>240</v>
      </c>
      <c r="I183" t="s">
        <v>241</v>
      </c>
      <c r="J183" t="s">
        <v>78</v>
      </c>
      <c r="K183" t="s">
        <v>90</v>
      </c>
      <c r="L183" t="s">
        <v>234</v>
      </c>
      <c r="M183" t="s">
        <v>235</v>
      </c>
      <c r="N183" t="s">
        <v>93</v>
      </c>
      <c r="O183" t="s">
        <v>236</v>
      </c>
      <c r="P183">
        <v>2</v>
      </c>
      <c r="Q183" s="4">
        <v>154.97999999999999</v>
      </c>
      <c r="R183" s="5">
        <v>0.02</v>
      </c>
      <c r="S183" s="4">
        <v>21.22</v>
      </c>
      <c r="T183" t="s">
        <v>84</v>
      </c>
      <c r="U183" t="s">
        <v>85</v>
      </c>
      <c r="V183">
        <v>3</v>
      </c>
    </row>
    <row r="184" spans="1:22">
      <c r="A184" t="s">
        <v>590</v>
      </c>
      <c r="B184" s="3">
        <v>45494</v>
      </c>
      <c r="C184" s="3">
        <v>45501</v>
      </c>
      <c r="D184" t="s">
        <v>591</v>
      </c>
      <c r="E184" t="s">
        <v>592</v>
      </c>
      <c r="F184" t="s">
        <v>74</v>
      </c>
      <c r="G184" t="s">
        <v>126</v>
      </c>
      <c r="H184" t="s">
        <v>160</v>
      </c>
      <c r="I184" t="s">
        <v>161</v>
      </c>
      <c r="J184" t="s">
        <v>78</v>
      </c>
      <c r="K184" t="s">
        <v>168</v>
      </c>
      <c r="L184" t="s">
        <v>131</v>
      </c>
      <c r="M184" t="s">
        <v>132</v>
      </c>
      <c r="N184" t="s">
        <v>120</v>
      </c>
      <c r="O184" t="s">
        <v>133</v>
      </c>
      <c r="P184">
        <v>3</v>
      </c>
      <c r="Q184" s="4">
        <v>89.47</v>
      </c>
      <c r="R184" s="5">
        <v>0</v>
      </c>
      <c r="S184" s="4">
        <v>19.89</v>
      </c>
      <c r="T184" t="s">
        <v>122</v>
      </c>
      <c r="U184" t="s">
        <v>85</v>
      </c>
      <c r="V184">
        <v>5</v>
      </c>
    </row>
    <row r="185" spans="1:22">
      <c r="A185" t="s">
        <v>593</v>
      </c>
      <c r="B185" s="3">
        <v>45494</v>
      </c>
      <c r="C185" s="3">
        <v>45503</v>
      </c>
      <c r="D185" t="s">
        <v>594</v>
      </c>
      <c r="E185" t="s">
        <v>595</v>
      </c>
      <c r="F185" t="s">
        <v>74</v>
      </c>
      <c r="G185" t="s">
        <v>75</v>
      </c>
      <c r="H185" t="s">
        <v>76</v>
      </c>
      <c r="I185" t="s">
        <v>77</v>
      </c>
      <c r="J185" t="s">
        <v>219</v>
      </c>
      <c r="K185" t="s">
        <v>130</v>
      </c>
      <c r="L185" t="s">
        <v>431</v>
      </c>
      <c r="M185" t="s">
        <v>432</v>
      </c>
      <c r="N185" t="s">
        <v>103</v>
      </c>
      <c r="O185" t="s">
        <v>251</v>
      </c>
      <c r="P185">
        <v>6</v>
      </c>
      <c r="Q185" s="4">
        <v>40.049999999999997</v>
      </c>
      <c r="R185" s="5">
        <v>0.06</v>
      </c>
      <c r="S185" s="4">
        <v>8.4600000000000009</v>
      </c>
      <c r="T185" t="s">
        <v>134</v>
      </c>
      <c r="U185" t="s">
        <v>85</v>
      </c>
      <c r="V185">
        <v>1</v>
      </c>
    </row>
    <row r="186" spans="1:22">
      <c r="A186" t="s">
        <v>596</v>
      </c>
      <c r="B186" s="3">
        <v>45495</v>
      </c>
      <c r="C186" s="3">
        <v>45499</v>
      </c>
      <c r="D186" t="s">
        <v>482</v>
      </c>
      <c r="E186" t="s">
        <v>483</v>
      </c>
      <c r="F186" t="s">
        <v>74</v>
      </c>
      <c r="G186" t="s">
        <v>194</v>
      </c>
      <c r="H186" t="s">
        <v>240</v>
      </c>
      <c r="I186" t="s">
        <v>241</v>
      </c>
      <c r="J186" t="s">
        <v>129</v>
      </c>
      <c r="K186" t="s">
        <v>79</v>
      </c>
      <c r="L186" t="s">
        <v>169</v>
      </c>
      <c r="M186" t="s">
        <v>170</v>
      </c>
      <c r="N186" t="s">
        <v>103</v>
      </c>
      <c r="O186" t="s">
        <v>171</v>
      </c>
      <c r="P186">
        <v>8</v>
      </c>
      <c r="Q186" s="4">
        <v>14.55</v>
      </c>
      <c r="R186" s="5">
        <v>0.11</v>
      </c>
      <c r="S186" s="4">
        <v>15.68</v>
      </c>
      <c r="T186" t="s">
        <v>134</v>
      </c>
      <c r="U186" t="s">
        <v>85</v>
      </c>
      <c r="V186">
        <v>5</v>
      </c>
    </row>
    <row r="187" spans="1:22">
      <c r="A187" t="s">
        <v>597</v>
      </c>
      <c r="B187" s="3">
        <v>45495</v>
      </c>
      <c r="C187" s="3">
        <v>45503</v>
      </c>
      <c r="D187" t="s">
        <v>598</v>
      </c>
      <c r="E187" t="s">
        <v>599</v>
      </c>
      <c r="F187" t="s">
        <v>89</v>
      </c>
      <c r="G187" t="s">
        <v>138</v>
      </c>
      <c r="H187" t="s">
        <v>457</v>
      </c>
      <c r="I187" t="s">
        <v>458</v>
      </c>
      <c r="J187" t="s">
        <v>109</v>
      </c>
      <c r="K187" t="s">
        <v>100</v>
      </c>
      <c r="L187" t="s">
        <v>188</v>
      </c>
      <c r="M187" t="s">
        <v>189</v>
      </c>
      <c r="N187" t="s">
        <v>120</v>
      </c>
      <c r="O187" t="s">
        <v>190</v>
      </c>
      <c r="P187">
        <v>2</v>
      </c>
      <c r="Q187" s="4">
        <v>57.62</v>
      </c>
      <c r="R187" s="5">
        <v>0.06</v>
      </c>
      <c r="S187" s="4">
        <v>20.38</v>
      </c>
      <c r="T187" t="s">
        <v>122</v>
      </c>
      <c r="U187" t="s">
        <v>85</v>
      </c>
      <c r="V187">
        <v>2</v>
      </c>
    </row>
    <row r="188" spans="1:22">
      <c r="A188" t="s">
        <v>600</v>
      </c>
      <c r="B188" s="3">
        <v>45495</v>
      </c>
      <c r="C188" s="3">
        <v>45497</v>
      </c>
      <c r="D188" t="s">
        <v>601</v>
      </c>
      <c r="E188" t="s">
        <v>351</v>
      </c>
      <c r="F188" t="s">
        <v>74</v>
      </c>
      <c r="G188" t="s">
        <v>194</v>
      </c>
      <c r="H188" t="s">
        <v>240</v>
      </c>
      <c r="I188" t="s">
        <v>241</v>
      </c>
      <c r="J188" t="s">
        <v>109</v>
      </c>
      <c r="K188" t="s">
        <v>147</v>
      </c>
      <c r="L188" t="s">
        <v>162</v>
      </c>
      <c r="M188" t="s">
        <v>163</v>
      </c>
      <c r="N188" t="s">
        <v>120</v>
      </c>
      <c r="O188" t="s">
        <v>164</v>
      </c>
      <c r="P188">
        <v>3</v>
      </c>
      <c r="Q188" s="4">
        <v>908.53</v>
      </c>
      <c r="R188" s="5">
        <v>0.08</v>
      </c>
      <c r="S188" s="4">
        <v>12.17</v>
      </c>
      <c r="T188" t="s">
        <v>84</v>
      </c>
      <c r="U188" t="s">
        <v>85</v>
      </c>
    </row>
    <row r="189" spans="1:22">
      <c r="A189" t="s">
        <v>602</v>
      </c>
      <c r="B189" s="3">
        <v>45496</v>
      </c>
      <c r="C189" s="3">
        <v>45505</v>
      </c>
      <c r="D189" t="s">
        <v>335</v>
      </c>
      <c r="E189" t="s">
        <v>336</v>
      </c>
      <c r="F189" t="s">
        <v>74</v>
      </c>
      <c r="G189" t="s">
        <v>126</v>
      </c>
      <c r="H189" t="s">
        <v>291</v>
      </c>
      <c r="I189" t="s">
        <v>292</v>
      </c>
      <c r="J189" t="s">
        <v>78</v>
      </c>
      <c r="K189" t="s">
        <v>168</v>
      </c>
      <c r="L189" t="s">
        <v>254</v>
      </c>
      <c r="M189" t="s">
        <v>255</v>
      </c>
      <c r="N189" t="s">
        <v>82</v>
      </c>
      <c r="O189" t="s">
        <v>83</v>
      </c>
      <c r="P189">
        <v>8</v>
      </c>
      <c r="Q189" s="4">
        <v>99.4</v>
      </c>
      <c r="R189" s="5">
        <v>0.06</v>
      </c>
      <c r="S189" s="4">
        <v>11.21</v>
      </c>
      <c r="T189" t="s">
        <v>134</v>
      </c>
      <c r="U189" t="s">
        <v>85</v>
      </c>
      <c r="V189">
        <v>1</v>
      </c>
    </row>
    <row r="190" spans="1:22">
      <c r="A190" t="s">
        <v>603</v>
      </c>
      <c r="B190" s="3">
        <v>45498</v>
      </c>
      <c r="C190" s="3">
        <v>45508</v>
      </c>
      <c r="D190" t="s">
        <v>400</v>
      </c>
      <c r="E190" t="s">
        <v>316</v>
      </c>
      <c r="F190" t="s">
        <v>152</v>
      </c>
      <c r="G190" t="s">
        <v>75</v>
      </c>
      <c r="H190" t="s">
        <v>273</v>
      </c>
      <c r="I190" t="s">
        <v>274</v>
      </c>
      <c r="J190" t="s">
        <v>109</v>
      </c>
      <c r="K190" t="s">
        <v>79</v>
      </c>
      <c r="L190" t="s">
        <v>254</v>
      </c>
      <c r="M190" t="s">
        <v>255</v>
      </c>
      <c r="N190" t="s">
        <v>82</v>
      </c>
      <c r="O190" t="s">
        <v>83</v>
      </c>
      <c r="P190">
        <v>5</v>
      </c>
      <c r="Q190" s="4">
        <v>91.19</v>
      </c>
      <c r="R190" s="5">
        <v>0.11</v>
      </c>
      <c r="S190" s="4">
        <v>10.07</v>
      </c>
      <c r="T190" t="s">
        <v>105</v>
      </c>
      <c r="U190" t="s">
        <v>85</v>
      </c>
      <c r="V190">
        <v>4</v>
      </c>
    </row>
    <row r="191" spans="1:22">
      <c r="A191" t="s">
        <v>604</v>
      </c>
      <c r="B191" s="3">
        <v>45500</v>
      </c>
      <c r="C191" s="3">
        <v>45509</v>
      </c>
      <c r="D191" t="s">
        <v>605</v>
      </c>
      <c r="E191" t="s">
        <v>606</v>
      </c>
      <c r="F191" t="s">
        <v>74</v>
      </c>
      <c r="G191" t="s">
        <v>138</v>
      </c>
      <c r="H191" t="s">
        <v>153</v>
      </c>
      <c r="I191" t="s">
        <v>154</v>
      </c>
      <c r="J191" t="s">
        <v>78</v>
      </c>
      <c r="K191" t="s">
        <v>100</v>
      </c>
      <c r="L191" t="s">
        <v>249</v>
      </c>
      <c r="M191" t="s">
        <v>250</v>
      </c>
      <c r="N191" t="s">
        <v>103</v>
      </c>
      <c r="O191" t="s">
        <v>251</v>
      </c>
      <c r="P191">
        <v>2</v>
      </c>
      <c r="Q191" s="4">
        <v>20.84</v>
      </c>
      <c r="R191" s="5">
        <v>0.04</v>
      </c>
      <c r="S191" s="4">
        <v>6.29</v>
      </c>
      <c r="T191" t="s">
        <v>84</v>
      </c>
      <c r="U191" t="s">
        <v>85</v>
      </c>
      <c r="V191">
        <v>4</v>
      </c>
    </row>
    <row r="192" spans="1:22">
      <c r="A192" t="s">
        <v>607</v>
      </c>
      <c r="B192" s="3">
        <v>45500</v>
      </c>
      <c r="C192" s="3">
        <v>45505</v>
      </c>
      <c r="D192" t="s">
        <v>497</v>
      </c>
      <c r="E192" t="s">
        <v>498</v>
      </c>
      <c r="F192" t="s">
        <v>89</v>
      </c>
      <c r="G192" t="s">
        <v>126</v>
      </c>
      <c r="H192" t="s">
        <v>291</v>
      </c>
      <c r="I192" t="s">
        <v>292</v>
      </c>
      <c r="J192" t="s">
        <v>109</v>
      </c>
      <c r="K192" t="s">
        <v>79</v>
      </c>
      <c r="L192" t="s">
        <v>207</v>
      </c>
      <c r="M192" t="s">
        <v>208</v>
      </c>
      <c r="N192" t="s">
        <v>120</v>
      </c>
      <c r="O192" t="s">
        <v>164</v>
      </c>
      <c r="P192">
        <v>2</v>
      </c>
      <c r="Q192" s="4">
        <v>1340.94</v>
      </c>
      <c r="R192" s="5">
        <v>0.1</v>
      </c>
      <c r="S192" s="4">
        <v>12.15</v>
      </c>
      <c r="T192" t="s">
        <v>105</v>
      </c>
      <c r="U192" t="s">
        <v>85</v>
      </c>
      <c r="V192">
        <v>2</v>
      </c>
    </row>
    <row r="193" spans="1:22">
      <c r="A193" t="s">
        <v>607</v>
      </c>
      <c r="B193" s="3">
        <v>45500</v>
      </c>
      <c r="C193" s="3">
        <v>45505</v>
      </c>
      <c r="D193" t="s">
        <v>497</v>
      </c>
      <c r="E193" t="s">
        <v>498</v>
      </c>
      <c r="F193" t="s">
        <v>89</v>
      </c>
      <c r="G193" t="s">
        <v>126</v>
      </c>
      <c r="H193" t="s">
        <v>291</v>
      </c>
      <c r="I193" t="s">
        <v>292</v>
      </c>
      <c r="J193" t="s">
        <v>109</v>
      </c>
      <c r="K193" t="s">
        <v>79</v>
      </c>
      <c r="L193" t="s">
        <v>207</v>
      </c>
      <c r="M193" t="s">
        <v>208</v>
      </c>
      <c r="N193" t="s">
        <v>120</v>
      </c>
      <c r="O193" t="s">
        <v>164</v>
      </c>
      <c r="P193">
        <v>2</v>
      </c>
      <c r="Q193" s="4">
        <v>1340.94</v>
      </c>
      <c r="R193" s="5">
        <v>0.1</v>
      </c>
      <c r="S193" s="4">
        <v>12.15</v>
      </c>
      <c r="T193" t="s">
        <v>105</v>
      </c>
      <c r="U193" t="s">
        <v>85</v>
      </c>
      <c r="V193">
        <v>2</v>
      </c>
    </row>
    <row r="194" spans="1:22">
      <c r="A194" t="s">
        <v>608</v>
      </c>
      <c r="B194" s="3">
        <v>45500</v>
      </c>
      <c r="C194" s="3">
        <v>45505</v>
      </c>
      <c r="D194" t="s">
        <v>309</v>
      </c>
      <c r="E194" t="s">
        <v>310</v>
      </c>
      <c r="F194" t="s">
        <v>89</v>
      </c>
      <c r="G194" t="s">
        <v>75</v>
      </c>
      <c r="H194" t="s">
        <v>76</v>
      </c>
      <c r="I194" t="s">
        <v>77</v>
      </c>
      <c r="J194" t="s">
        <v>109</v>
      </c>
      <c r="K194" t="s">
        <v>79</v>
      </c>
      <c r="L194" t="s">
        <v>101</v>
      </c>
      <c r="M194" t="s">
        <v>102</v>
      </c>
      <c r="N194" t="s">
        <v>103</v>
      </c>
      <c r="O194" t="s">
        <v>104</v>
      </c>
      <c r="P194">
        <v>4</v>
      </c>
      <c r="Q194" s="4">
        <v>75.260000000000005</v>
      </c>
      <c r="R194" s="5">
        <v>0</v>
      </c>
      <c r="S194" s="4">
        <v>13.7</v>
      </c>
      <c r="T194" t="s">
        <v>134</v>
      </c>
      <c r="U194" t="s">
        <v>85</v>
      </c>
      <c r="V194">
        <v>5</v>
      </c>
    </row>
    <row r="195" spans="1:22">
      <c r="A195" t="s">
        <v>609</v>
      </c>
      <c r="B195" s="3">
        <v>45500</v>
      </c>
      <c r="C195" s="3">
        <v>45502</v>
      </c>
      <c r="D195" t="s">
        <v>504</v>
      </c>
      <c r="E195" t="s">
        <v>505</v>
      </c>
      <c r="F195" t="s">
        <v>74</v>
      </c>
      <c r="G195" t="s">
        <v>126</v>
      </c>
      <c r="H195" t="s">
        <v>160</v>
      </c>
      <c r="I195" t="s">
        <v>161</v>
      </c>
      <c r="J195" t="s">
        <v>129</v>
      </c>
      <c r="K195" t="s">
        <v>100</v>
      </c>
      <c r="L195" t="s">
        <v>188</v>
      </c>
      <c r="M195" t="s">
        <v>189</v>
      </c>
      <c r="N195" t="s">
        <v>120</v>
      </c>
      <c r="O195" t="s">
        <v>190</v>
      </c>
      <c r="P195">
        <v>1</v>
      </c>
      <c r="Q195" s="4">
        <v>57.24</v>
      </c>
      <c r="R195" s="5">
        <v>0.01</v>
      </c>
      <c r="S195" s="4">
        <v>5.56</v>
      </c>
      <c r="T195" t="s">
        <v>134</v>
      </c>
      <c r="U195" t="s">
        <v>85</v>
      </c>
      <c r="V195">
        <v>2</v>
      </c>
    </row>
    <row r="196" spans="1:22">
      <c r="A196" t="s">
        <v>610</v>
      </c>
      <c r="B196" s="3">
        <v>45500</v>
      </c>
      <c r="C196" s="3">
        <v>45509</v>
      </c>
      <c r="D196" t="s">
        <v>372</v>
      </c>
      <c r="E196" t="s">
        <v>373</v>
      </c>
      <c r="F196" t="s">
        <v>89</v>
      </c>
      <c r="G196" t="s">
        <v>138</v>
      </c>
      <c r="H196" t="s">
        <v>347</v>
      </c>
      <c r="I196" t="s">
        <v>348</v>
      </c>
      <c r="J196" t="s">
        <v>129</v>
      </c>
      <c r="K196" t="s">
        <v>79</v>
      </c>
      <c r="L196" t="s">
        <v>214</v>
      </c>
      <c r="M196" t="s">
        <v>215</v>
      </c>
      <c r="N196" t="s">
        <v>103</v>
      </c>
      <c r="O196" t="s">
        <v>171</v>
      </c>
      <c r="P196">
        <v>4</v>
      </c>
      <c r="Q196" s="4">
        <v>12.14</v>
      </c>
      <c r="R196" s="5">
        <v>0.1</v>
      </c>
      <c r="S196" s="4">
        <v>10.92</v>
      </c>
      <c r="T196" t="s">
        <v>105</v>
      </c>
      <c r="U196" t="s">
        <v>85</v>
      </c>
      <c r="V196">
        <v>5</v>
      </c>
    </row>
    <row r="197" spans="1:22">
      <c r="A197" t="s">
        <v>611</v>
      </c>
      <c r="B197" s="3">
        <v>45501</v>
      </c>
      <c r="C197" s="3">
        <v>45510</v>
      </c>
      <c r="E197" t="s">
        <v>351</v>
      </c>
      <c r="F197" t="s">
        <v>152</v>
      </c>
      <c r="G197" t="s">
        <v>126</v>
      </c>
      <c r="H197" t="s">
        <v>160</v>
      </c>
      <c r="I197" t="s">
        <v>182</v>
      </c>
      <c r="J197" t="s">
        <v>219</v>
      </c>
      <c r="K197" t="s">
        <v>90</v>
      </c>
      <c r="L197" t="s">
        <v>169</v>
      </c>
      <c r="M197" t="s">
        <v>170</v>
      </c>
      <c r="N197" t="s">
        <v>103</v>
      </c>
      <c r="O197" t="s">
        <v>171</v>
      </c>
      <c r="P197">
        <v>10</v>
      </c>
      <c r="Q197" s="4">
        <v>15.35</v>
      </c>
      <c r="R197" s="5">
        <v>0.11</v>
      </c>
      <c r="S197" s="4">
        <v>10.039999999999999</v>
      </c>
      <c r="T197" t="s">
        <v>122</v>
      </c>
      <c r="U197" t="s">
        <v>85</v>
      </c>
      <c r="V197">
        <v>4</v>
      </c>
    </row>
    <row r="198" spans="1:22">
      <c r="A198" t="s">
        <v>612</v>
      </c>
      <c r="B198" s="3">
        <v>45501</v>
      </c>
      <c r="C198" s="3">
        <v>45511</v>
      </c>
      <c r="D198" t="s">
        <v>613</v>
      </c>
      <c r="E198" t="s">
        <v>614</v>
      </c>
      <c r="F198" t="s">
        <v>74</v>
      </c>
      <c r="G198" t="s">
        <v>194</v>
      </c>
      <c r="H198" t="s">
        <v>195</v>
      </c>
      <c r="I198" t="s">
        <v>196</v>
      </c>
      <c r="J198" t="s">
        <v>129</v>
      </c>
      <c r="K198" t="s">
        <v>147</v>
      </c>
      <c r="L198" t="s">
        <v>301</v>
      </c>
      <c r="M198" t="s">
        <v>302</v>
      </c>
      <c r="N198" t="s">
        <v>120</v>
      </c>
      <c r="O198" t="s">
        <v>190</v>
      </c>
      <c r="P198">
        <v>1</v>
      </c>
      <c r="Q198" s="4">
        <v>139.02000000000001</v>
      </c>
      <c r="R198" s="5">
        <v>0.06</v>
      </c>
      <c r="S198" s="4">
        <v>7.05</v>
      </c>
      <c r="T198" t="s">
        <v>84</v>
      </c>
      <c r="U198" t="s">
        <v>85</v>
      </c>
      <c r="V198">
        <v>1</v>
      </c>
    </row>
    <row r="199" spans="1:22">
      <c r="A199" t="s">
        <v>615</v>
      </c>
      <c r="B199" s="3">
        <v>45502</v>
      </c>
      <c r="C199" s="3">
        <v>45511</v>
      </c>
      <c r="D199" t="s">
        <v>616</v>
      </c>
      <c r="E199" t="s">
        <v>617</v>
      </c>
      <c r="F199" t="s">
        <v>152</v>
      </c>
      <c r="G199" t="s">
        <v>194</v>
      </c>
      <c r="H199" t="s">
        <v>230</v>
      </c>
      <c r="I199" t="s">
        <v>231</v>
      </c>
      <c r="J199" t="s">
        <v>78</v>
      </c>
      <c r="K199" t="s">
        <v>168</v>
      </c>
      <c r="L199" t="s">
        <v>214</v>
      </c>
      <c r="M199" t="s">
        <v>215</v>
      </c>
      <c r="N199" t="s">
        <v>103</v>
      </c>
      <c r="O199" t="s">
        <v>171</v>
      </c>
      <c r="P199">
        <v>5</v>
      </c>
      <c r="Q199" s="4">
        <v>11.86</v>
      </c>
      <c r="R199" s="5">
        <v>0.03</v>
      </c>
      <c r="S199" s="4">
        <v>10.119999999999999</v>
      </c>
      <c r="T199" t="s">
        <v>105</v>
      </c>
      <c r="U199" t="s">
        <v>85</v>
      </c>
      <c r="V199">
        <v>3</v>
      </c>
    </row>
    <row r="200" spans="1:22">
      <c r="A200" t="s">
        <v>618</v>
      </c>
      <c r="B200" s="3">
        <v>45502</v>
      </c>
      <c r="C200" s="3">
        <v>45509</v>
      </c>
      <c r="D200" t="s">
        <v>245</v>
      </c>
      <c r="E200" t="s">
        <v>246</v>
      </c>
      <c r="F200" t="s">
        <v>74</v>
      </c>
      <c r="G200" t="s">
        <v>138</v>
      </c>
      <c r="H200" t="s">
        <v>139</v>
      </c>
      <c r="I200" t="s">
        <v>140</v>
      </c>
      <c r="J200" t="s">
        <v>78</v>
      </c>
      <c r="K200" t="s">
        <v>619</v>
      </c>
      <c r="L200" t="s">
        <v>101</v>
      </c>
      <c r="M200" t="s">
        <v>102</v>
      </c>
      <c r="N200" t="s">
        <v>103</v>
      </c>
      <c r="O200" t="s">
        <v>104</v>
      </c>
      <c r="P200">
        <v>1</v>
      </c>
      <c r="Q200" s="4">
        <v>77.599999999999994</v>
      </c>
      <c r="R200" s="5">
        <v>0.05</v>
      </c>
      <c r="S200" s="4">
        <v>12.46</v>
      </c>
      <c r="T200" t="s">
        <v>84</v>
      </c>
      <c r="U200" t="s">
        <v>85</v>
      </c>
      <c r="V200">
        <v>4</v>
      </c>
    </row>
    <row r="201" spans="1:22">
      <c r="A201" t="s">
        <v>620</v>
      </c>
      <c r="B201" s="3">
        <v>45503</v>
      </c>
      <c r="C201" s="3">
        <v>45510</v>
      </c>
      <c r="D201" t="s">
        <v>621</v>
      </c>
      <c r="E201" t="s">
        <v>622</v>
      </c>
      <c r="F201" t="s">
        <v>74</v>
      </c>
      <c r="G201" t="s">
        <v>194</v>
      </c>
      <c r="H201" t="s">
        <v>230</v>
      </c>
      <c r="I201" t="s">
        <v>231</v>
      </c>
      <c r="J201" t="s">
        <v>78</v>
      </c>
      <c r="K201" t="s">
        <v>130</v>
      </c>
      <c r="L201" t="s">
        <v>155</v>
      </c>
      <c r="M201" t="s">
        <v>156</v>
      </c>
      <c r="N201" t="s">
        <v>82</v>
      </c>
      <c r="O201" t="s">
        <v>112</v>
      </c>
      <c r="P201">
        <v>9</v>
      </c>
      <c r="Q201" s="4">
        <v>162.78</v>
      </c>
      <c r="R201" s="5">
        <v>0.04</v>
      </c>
      <c r="S201" s="4">
        <v>6.25</v>
      </c>
      <c r="T201" t="s">
        <v>122</v>
      </c>
      <c r="U201" t="s">
        <v>85</v>
      </c>
      <c r="V201">
        <v>4</v>
      </c>
    </row>
    <row r="202" spans="1:22">
      <c r="A202" t="s">
        <v>623</v>
      </c>
      <c r="B202" s="3">
        <v>45504</v>
      </c>
      <c r="C202" s="3">
        <v>45507</v>
      </c>
      <c r="D202" t="s">
        <v>392</v>
      </c>
      <c r="E202" t="s">
        <v>393</v>
      </c>
      <c r="F202" t="s">
        <v>74</v>
      </c>
      <c r="G202" t="s">
        <v>126</v>
      </c>
      <c r="H202" t="s">
        <v>160</v>
      </c>
      <c r="I202" t="s">
        <v>161</v>
      </c>
      <c r="J202" t="s">
        <v>219</v>
      </c>
      <c r="K202" t="s">
        <v>130</v>
      </c>
      <c r="L202" t="s">
        <v>249</v>
      </c>
      <c r="M202" t="s">
        <v>250</v>
      </c>
      <c r="N202" t="s">
        <v>103</v>
      </c>
      <c r="O202" t="s">
        <v>251</v>
      </c>
      <c r="P202">
        <v>5</v>
      </c>
      <c r="Q202" s="4">
        <v>22.67</v>
      </c>
      <c r="R202" s="5">
        <v>0.1</v>
      </c>
      <c r="S202" s="4">
        <v>12.74</v>
      </c>
      <c r="T202" t="s">
        <v>134</v>
      </c>
      <c r="U202" t="s">
        <v>85</v>
      </c>
      <c r="V202">
        <v>2</v>
      </c>
    </row>
    <row r="203" spans="1:22">
      <c r="A203" t="s">
        <v>624</v>
      </c>
      <c r="B203" s="3">
        <v>45505</v>
      </c>
      <c r="C203" s="3">
        <v>45507</v>
      </c>
      <c r="D203" t="s">
        <v>173</v>
      </c>
      <c r="E203" t="s">
        <v>174</v>
      </c>
      <c r="F203" t="s">
        <v>89</v>
      </c>
      <c r="G203" t="s">
        <v>126</v>
      </c>
      <c r="H203" t="s">
        <v>127</v>
      </c>
      <c r="I203" t="s">
        <v>128</v>
      </c>
      <c r="J203" t="s">
        <v>109</v>
      </c>
      <c r="K203" t="s">
        <v>79</v>
      </c>
      <c r="L203" t="s">
        <v>337</v>
      </c>
      <c r="M203" t="s">
        <v>338</v>
      </c>
      <c r="N203" t="s">
        <v>93</v>
      </c>
      <c r="O203" t="s">
        <v>236</v>
      </c>
      <c r="P203">
        <v>3</v>
      </c>
      <c r="Q203" s="4">
        <v>266.27</v>
      </c>
      <c r="R203" s="5">
        <v>7.0000000000000007E-2</v>
      </c>
      <c r="S203" s="4">
        <v>22.86</v>
      </c>
      <c r="T203" t="s">
        <v>134</v>
      </c>
      <c r="U203" t="s">
        <v>85</v>
      </c>
      <c r="V203">
        <v>5</v>
      </c>
    </row>
    <row r="204" spans="1:22">
      <c r="A204" t="s">
        <v>624</v>
      </c>
      <c r="B204" s="3">
        <v>45505</v>
      </c>
      <c r="C204" s="3">
        <v>45507</v>
      </c>
      <c r="D204" t="s">
        <v>173</v>
      </c>
      <c r="E204" t="s">
        <v>174</v>
      </c>
      <c r="F204" t="s">
        <v>89</v>
      </c>
      <c r="G204" t="s">
        <v>126</v>
      </c>
      <c r="H204" t="s">
        <v>127</v>
      </c>
      <c r="I204" t="s">
        <v>128</v>
      </c>
      <c r="J204" t="s">
        <v>109</v>
      </c>
      <c r="K204" t="s">
        <v>79</v>
      </c>
      <c r="L204" t="s">
        <v>337</v>
      </c>
      <c r="M204" t="s">
        <v>338</v>
      </c>
      <c r="N204" t="s">
        <v>93</v>
      </c>
      <c r="O204" t="s">
        <v>236</v>
      </c>
      <c r="P204">
        <v>3</v>
      </c>
      <c r="Q204" s="4">
        <v>266.27</v>
      </c>
      <c r="R204" s="5">
        <v>7.0000000000000007E-2</v>
      </c>
      <c r="S204" s="4">
        <v>22.86</v>
      </c>
      <c r="T204" t="s">
        <v>134</v>
      </c>
      <c r="U204" t="s">
        <v>85</v>
      </c>
      <c r="V204">
        <v>5</v>
      </c>
    </row>
    <row r="205" spans="1:22">
      <c r="A205" t="s">
        <v>625</v>
      </c>
      <c r="B205" s="3">
        <v>45505</v>
      </c>
      <c r="C205" s="3">
        <v>45511</v>
      </c>
      <c r="D205" t="s">
        <v>372</v>
      </c>
      <c r="E205" t="s">
        <v>373</v>
      </c>
      <c r="F205" t="s">
        <v>89</v>
      </c>
      <c r="G205" t="s">
        <v>138</v>
      </c>
      <c r="H205" t="s">
        <v>347</v>
      </c>
      <c r="I205" t="s">
        <v>348</v>
      </c>
      <c r="J205" t="s">
        <v>219</v>
      </c>
      <c r="K205" t="s">
        <v>90</v>
      </c>
      <c r="L205" t="s">
        <v>118</v>
      </c>
      <c r="M205" t="s">
        <v>119</v>
      </c>
      <c r="N205" t="s">
        <v>120</v>
      </c>
      <c r="O205" t="s">
        <v>121</v>
      </c>
      <c r="P205">
        <v>2</v>
      </c>
      <c r="Q205" s="4">
        <v>297.58999999999997</v>
      </c>
      <c r="R205" s="5">
        <v>0.12</v>
      </c>
      <c r="S205" s="4">
        <v>14.52</v>
      </c>
      <c r="T205" t="s">
        <v>105</v>
      </c>
      <c r="U205" t="s">
        <v>85</v>
      </c>
      <c r="V205">
        <v>1</v>
      </c>
    </row>
    <row r="206" spans="1:22">
      <c r="A206" t="s">
        <v>626</v>
      </c>
      <c r="B206" s="3">
        <v>45505</v>
      </c>
      <c r="C206" s="3">
        <v>45509</v>
      </c>
      <c r="D206" t="s">
        <v>627</v>
      </c>
      <c r="E206" t="s">
        <v>542</v>
      </c>
      <c r="F206" t="s">
        <v>152</v>
      </c>
      <c r="G206" t="s">
        <v>194</v>
      </c>
      <c r="H206" t="s">
        <v>240</v>
      </c>
      <c r="I206" t="s">
        <v>241</v>
      </c>
      <c r="J206" t="s">
        <v>109</v>
      </c>
      <c r="K206" t="s">
        <v>100</v>
      </c>
      <c r="L206" t="s">
        <v>261</v>
      </c>
      <c r="M206" t="s">
        <v>262</v>
      </c>
      <c r="N206" t="s">
        <v>103</v>
      </c>
      <c r="O206" t="s">
        <v>104</v>
      </c>
      <c r="P206">
        <v>2</v>
      </c>
      <c r="Q206" s="4">
        <v>28.6</v>
      </c>
      <c r="R206" s="5">
        <v>0</v>
      </c>
      <c r="S206" s="4">
        <v>12.03</v>
      </c>
      <c r="T206" t="s">
        <v>122</v>
      </c>
      <c r="U206" t="s">
        <v>85</v>
      </c>
      <c r="V206">
        <v>2</v>
      </c>
    </row>
    <row r="207" spans="1:22">
      <c r="A207" t="s">
        <v>628</v>
      </c>
      <c r="B207" s="3">
        <v>45507</v>
      </c>
      <c r="C207" s="3">
        <v>45517</v>
      </c>
      <c r="D207" t="s">
        <v>362</v>
      </c>
      <c r="E207" t="s">
        <v>363</v>
      </c>
      <c r="F207" t="s">
        <v>89</v>
      </c>
      <c r="G207" t="s">
        <v>194</v>
      </c>
      <c r="H207" t="s">
        <v>240</v>
      </c>
      <c r="I207" t="s">
        <v>241</v>
      </c>
      <c r="J207" t="s">
        <v>109</v>
      </c>
      <c r="K207" t="s">
        <v>79</v>
      </c>
      <c r="L207" t="s">
        <v>359</v>
      </c>
      <c r="M207" t="s">
        <v>360</v>
      </c>
      <c r="N207" t="s">
        <v>93</v>
      </c>
      <c r="O207" t="s">
        <v>94</v>
      </c>
      <c r="P207">
        <v>3</v>
      </c>
      <c r="Q207" s="4">
        <v>468.23</v>
      </c>
      <c r="R207" s="5">
        <v>0.06</v>
      </c>
      <c r="S207" s="4">
        <v>22.53</v>
      </c>
      <c r="T207" t="s">
        <v>134</v>
      </c>
      <c r="U207" t="s">
        <v>85</v>
      </c>
      <c r="V207">
        <v>5</v>
      </c>
    </row>
    <row r="208" spans="1:22">
      <c r="A208" t="s">
        <v>629</v>
      </c>
      <c r="B208" s="3">
        <v>45508</v>
      </c>
      <c r="C208" s="3">
        <v>45509</v>
      </c>
      <c r="D208" t="s">
        <v>630</v>
      </c>
      <c r="E208" t="s">
        <v>631</v>
      </c>
      <c r="F208" t="s">
        <v>152</v>
      </c>
      <c r="G208" t="s">
        <v>126</v>
      </c>
      <c r="H208" t="s">
        <v>160</v>
      </c>
      <c r="I208" t="s">
        <v>182</v>
      </c>
      <c r="J208" t="s">
        <v>219</v>
      </c>
      <c r="K208" t="s">
        <v>130</v>
      </c>
      <c r="L208" t="s">
        <v>197</v>
      </c>
      <c r="M208" t="s">
        <v>198</v>
      </c>
      <c r="N208" t="s">
        <v>120</v>
      </c>
      <c r="O208" t="s">
        <v>121</v>
      </c>
      <c r="P208">
        <v>3</v>
      </c>
      <c r="Q208" s="4">
        <v>513.01</v>
      </c>
      <c r="R208" s="5">
        <v>0.12</v>
      </c>
      <c r="S208" s="4">
        <v>13.79</v>
      </c>
      <c r="T208" t="s">
        <v>134</v>
      </c>
      <c r="U208" t="s">
        <v>85</v>
      </c>
      <c r="V208">
        <v>4</v>
      </c>
    </row>
    <row r="209" spans="1:22">
      <c r="A209" t="s">
        <v>632</v>
      </c>
      <c r="B209" s="3">
        <v>45511</v>
      </c>
      <c r="C209" s="3">
        <v>45519</v>
      </c>
      <c r="D209" t="s">
        <v>454</v>
      </c>
      <c r="E209" t="s">
        <v>329</v>
      </c>
      <c r="F209" t="s">
        <v>89</v>
      </c>
      <c r="G209" t="s">
        <v>75</v>
      </c>
      <c r="H209" t="s">
        <v>212</v>
      </c>
      <c r="I209" t="s">
        <v>213</v>
      </c>
      <c r="J209" t="s">
        <v>78</v>
      </c>
      <c r="K209" t="s">
        <v>168</v>
      </c>
      <c r="L209" t="s">
        <v>141</v>
      </c>
      <c r="M209" t="s">
        <v>142</v>
      </c>
      <c r="N209" t="s">
        <v>103</v>
      </c>
      <c r="O209" t="s">
        <v>143</v>
      </c>
      <c r="P209">
        <v>10</v>
      </c>
      <c r="Q209" s="4">
        <v>36.74</v>
      </c>
      <c r="R209" s="5">
        <v>0.05</v>
      </c>
      <c r="S209" s="4">
        <v>7.95</v>
      </c>
      <c r="T209" t="s">
        <v>134</v>
      </c>
      <c r="U209" t="s">
        <v>85</v>
      </c>
      <c r="V209">
        <v>5</v>
      </c>
    </row>
    <row r="210" spans="1:22">
      <c r="A210" t="s">
        <v>633</v>
      </c>
      <c r="B210" s="3">
        <v>45513</v>
      </c>
      <c r="C210" s="3">
        <v>45514</v>
      </c>
      <c r="D210" t="s">
        <v>634</v>
      </c>
      <c r="E210" t="s">
        <v>635</v>
      </c>
      <c r="F210" t="s">
        <v>152</v>
      </c>
      <c r="G210" t="s">
        <v>138</v>
      </c>
      <c r="H210" t="s">
        <v>457</v>
      </c>
      <c r="I210" t="s">
        <v>458</v>
      </c>
      <c r="J210" t="s">
        <v>129</v>
      </c>
      <c r="K210" t="s">
        <v>90</v>
      </c>
      <c r="L210" t="s">
        <v>188</v>
      </c>
      <c r="M210" t="s">
        <v>189</v>
      </c>
      <c r="N210" t="s">
        <v>120</v>
      </c>
      <c r="O210" t="s">
        <v>190</v>
      </c>
      <c r="P210">
        <v>2</v>
      </c>
      <c r="Q210" s="4">
        <v>57.37</v>
      </c>
      <c r="R210" s="5">
        <v>0.01</v>
      </c>
      <c r="S210" s="4">
        <v>6.51</v>
      </c>
      <c r="T210" t="s">
        <v>84</v>
      </c>
      <c r="U210" t="s">
        <v>85</v>
      </c>
      <c r="V210">
        <v>1</v>
      </c>
    </row>
    <row r="211" spans="1:22">
      <c r="A211" t="s">
        <v>636</v>
      </c>
      <c r="B211" s="3">
        <v>45513</v>
      </c>
      <c r="C211" s="3">
        <v>45519</v>
      </c>
      <c r="D211" t="s">
        <v>533</v>
      </c>
      <c r="E211" t="s">
        <v>534</v>
      </c>
      <c r="F211" t="s">
        <v>152</v>
      </c>
      <c r="G211" t="s">
        <v>75</v>
      </c>
      <c r="H211" t="s">
        <v>76</v>
      </c>
      <c r="I211" t="s">
        <v>77</v>
      </c>
      <c r="J211" t="s">
        <v>219</v>
      </c>
      <c r="K211" t="s">
        <v>79</v>
      </c>
      <c r="L211" t="s">
        <v>249</v>
      </c>
      <c r="M211" t="s">
        <v>250</v>
      </c>
      <c r="N211" t="s">
        <v>103</v>
      </c>
      <c r="O211" t="s">
        <v>251</v>
      </c>
      <c r="P211">
        <v>7</v>
      </c>
      <c r="Q211" s="4">
        <v>21.89</v>
      </c>
      <c r="R211" s="5">
        <v>0.27</v>
      </c>
      <c r="S211" s="4">
        <v>9.67</v>
      </c>
      <c r="T211" t="s">
        <v>134</v>
      </c>
      <c r="U211" t="s">
        <v>85</v>
      </c>
      <c r="V211">
        <v>1</v>
      </c>
    </row>
    <row r="212" spans="1:22">
      <c r="A212" t="s">
        <v>637</v>
      </c>
      <c r="B212" s="3">
        <v>45514</v>
      </c>
      <c r="C212" s="3">
        <v>45519</v>
      </c>
      <c r="D212" t="s">
        <v>396</v>
      </c>
      <c r="E212" t="s">
        <v>397</v>
      </c>
      <c r="F212" t="s">
        <v>152</v>
      </c>
      <c r="G212" t="s">
        <v>138</v>
      </c>
      <c r="H212" t="s">
        <v>186</v>
      </c>
      <c r="I212" t="s">
        <v>187</v>
      </c>
      <c r="J212" t="s">
        <v>78</v>
      </c>
      <c r="K212" t="s">
        <v>130</v>
      </c>
      <c r="L212" t="s">
        <v>207</v>
      </c>
      <c r="M212" t="s">
        <v>208</v>
      </c>
      <c r="N212" t="s">
        <v>120</v>
      </c>
      <c r="O212" t="s">
        <v>164</v>
      </c>
      <c r="P212">
        <v>4</v>
      </c>
      <c r="Q212" s="4">
        <v>1318.02</v>
      </c>
      <c r="R212" s="5">
        <v>0.03</v>
      </c>
      <c r="S212" s="4">
        <v>21.77</v>
      </c>
      <c r="T212" t="s">
        <v>105</v>
      </c>
      <c r="U212" t="s">
        <v>85</v>
      </c>
      <c r="V212">
        <v>3</v>
      </c>
    </row>
    <row r="213" spans="1:22">
      <c r="A213" t="s">
        <v>638</v>
      </c>
      <c r="B213" s="3">
        <v>45514</v>
      </c>
      <c r="C213" s="3">
        <v>45516</v>
      </c>
      <c r="D213" t="s">
        <v>504</v>
      </c>
      <c r="E213" t="s">
        <v>505</v>
      </c>
      <c r="F213" t="s">
        <v>74</v>
      </c>
      <c r="G213" t="s">
        <v>126</v>
      </c>
      <c r="H213" t="s">
        <v>160</v>
      </c>
      <c r="I213" t="s">
        <v>161</v>
      </c>
      <c r="J213" t="s">
        <v>129</v>
      </c>
      <c r="K213" t="s">
        <v>90</v>
      </c>
      <c r="L213" t="s">
        <v>214</v>
      </c>
      <c r="M213" t="s">
        <v>215</v>
      </c>
      <c r="N213" t="s">
        <v>103</v>
      </c>
      <c r="O213" t="s">
        <v>171</v>
      </c>
      <c r="P213">
        <v>4</v>
      </c>
      <c r="Q213" s="4">
        <v>11.64</v>
      </c>
      <c r="R213" s="5">
        <v>0.09</v>
      </c>
      <c r="S213" s="4">
        <v>15.49</v>
      </c>
      <c r="T213" t="s">
        <v>84</v>
      </c>
      <c r="U213" t="s">
        <v>85</v>
      </c>
    </row>
    <row r="214" spans="1:22">
      <c r="A214" t="s">
        <v>639</v>
      </c>
      <c r="B214" s="3">
        <v>45516</v>
      </c>
      <c r="C214" s="3">
        <v>45524</v>
      </c>
      <c r="D214" t="s">
        <v>192</v>
      </c>
      <c r="E214" t="s">
        <v>193</v>
      </c>
      <c r="F214" t="s">
        <v>89</v>
      </c>
      <c r="G214" t="s">
        <v>194</v>
      </c>
      <c r="H214" t="s">
        <v>195</v>
      </c>
      <c r="I214" t="s">
        <v>196</v>
      </c>
      <c r="J214" t="s">
        <v>109</v>
      </c>
      <c r="K214" t="s">
        <v>79</v>
      </c>
      <c r="L214" t="s">
        <v>249</v>
      </c>
      <c r="M214" t="s">
        <v>250</v>
      </c>
      <c r="N214" t="s">
        <v>103</v>
      </c>
      <c r="O214" t="s">
        <v>251</v>
      </c>
      <c r="P214">
        <v>7</v>
      </c>
      <c r="Q214" s="4">
        <v>20.86</v>
      </c>
      <c r="R214" s="5">
        <v>0.06</v>
      </c>
      <c r="S214" s="4">
        <v>5.26</v>
      </c>
      <c r="T214" t="s">
        <v>122</v>
      </c>
      <c r="U214" t="s">
        <v>85</v>
      </c>
    </row>
    <row r="215" spans="1:22">
      <c r="A215" t="s">
        <v>640</v>
      </c>
      <c r="B215" s="3">
        <v>45516</v>
      </c>
      <c r="C215" s="3">
        <v>45525</v>
      </c>
      <c r="D215" t="s">
        <v>641</v>
      </c>
      <c r="E215" t="s">
        <v>642</v>
      </c>
      <c r="F215" t="s">
        <v>89</v>
      </c>
      <c r="G215" t="s">
        <v>194</v>
      </c>
      <c r="H215" t="s">
        <v>195</v>
      </c>
      <c r="I215" t="s">
        <v>196</v>
      </c>
      <c r="J215" t="s">
        <v>129</v>
      </c>
      <c r="K215" t="s">
        <v>90</v>
      </c>
      <c r="L215" t="s">
        <v>301</v>
      </c>
      <c r="M215" t="s">
        <v>302</v>
      </c>
      <c r="N215" t="s">
        <v>120</v>
      </c>
      <c r="O215" t="s">
        <v>190</v>
      </c>
      <c r="P215">
        <v>3</v>
      </c>
      <c r="Q215" s="4">
        <v>140.46</v>
      </c>
      <c r="R215" s="5">
        <v>0.02</v>
      </c>
      <c r="S215" s="4">
        <v>5.12</v>
      </c>
      <c r="T215" t="s">
        <v>84</v>
      </c>
      <c r="U215" t="s">
        <v>85</v>
      </c>
      <c r="V215">
        <v>5</v>
      </c>
    </row>
    <row r="216" spans="1:22">
      <c r="A216" t="s">
        <v>643</v>
      </c>
      <c r="B216" s="3">
        <v>45516</v>
      </c>
      <c r="C216" s="3">
        <v>45519</v>
      </c>
      <c r="D216" t="s">
        <v>406</v>
      </c>
      <c r="E216" t="s">
        <v>407</v>
      </c>
      <c r="F216" t="s">
        <v>89</v>
      </c>
      <c r="G216" t="s">
        <v>75</v>
      </c>
      <c r="H216" t="s">
        <v>116</v>
      </c>
      <c r="I216" t="s">
        <v>117</v>
      </c>
      <c r="J216" t="s">
        <v>78</v>
      </c>
      <c r="K216" t="s">
        <v>147</v>
      </c>
      <c r="L216" t="s">
        <v>261</v>
      </c>
      <c r="M216" t="s">
        <v>262</v>
      </c>
      <c r="N216" t="s">
        <v>103</v>
      </c>
      <c r="O216" t="s">
        <v>104</v>
      </c>
      <c r="P216">
        <v>3</v>
      </c>
      <c r="Q216" s="4">
        <v>27.1</v>
      </c>
      <c r="R216" s="5">
        <v>0.09</v>
      </c>
      <c r="S216" s="4">
        <v>9.61</v>
      </c>
      <c r="T216" t="s">
        <v>84</v>
      </c>
      <c r="U216" t="s">
        <v>148</v>
      </c>
    </row>
    <row r="217" spans="1:22">
      <c r="A217" t="s">
        <v>644</v>
      </c>
      <c r="B217" s="3">
        <v>45517</v>
      </c>
      <c r="C217" s="3">
        <v>45518</v>
      </c>
      <c r="D217" t="s">
        <v>514</v>
      </c>
      <c r="E217" t="s">
        <v>515</v>
      </c>
      <c r="F217" t="s">
        <v>74</v>
      </c>
      <c r="G217" t="s">
        <v>75</v>
      </c>
      <c r="H217" t="s">
        <v>212</v>
      </c>
      <c r="I217" t="s">
        <v>213</v>
      </c>
      <c r="J217" t="s">
        <v>129</v>
      </c>
      <c r="K217" t="s">
        <v>168</v>
      </c>
      <c r="L217" t="s">
        <v>207</v>
      </c>
      <c r="M217" t="s">
        <v>208</v>
      </c>
      <c r="N217" t="s">
        <v>120</v>
      </c>
      <c r="O217" t="s">
        <v>164</v>
      </c>
      <c r="P217">
        <v>4</v>
      </c>
      <c r="Q217" s="4">
        <v>1377.09</v>
      </c>
      <c r="R217" s="5">
        <v>0.12</v>
      </c>
      <c r="S217" s="4">
        <v>18.93</v>
      </c>
      <c r="T217" t="s">
        <v>122</v>
      </c>
      <c r="U217" t="s">
        <v>85</v>
      </c>
      <c r="V217">
        <v>1</v>
      </c>
    </row>
    <row r="218" spans="1:22">
      <c r="A218" t="s">
        <v>645</v>
      </c>
      <c r="B218" s="3">
        <v>45518</v>
      </c>
      <c r="C218" s="3">
        <v>45526</v>
      </c>
      <c r="D218" t="s">
        <v>646</v>
      </c>
      <c r="E218" t="s">
        <v>647</v>
      </c>
      <c r="F218" t="s">
        <v>89</v>
      </c>
      <c r="G218" t="s">
        <v>126</v>
      </c>
      <c r="H218" t="s">
        <v>127</v>
      </c>
      <c r="I218" t="s">
        <v>128</v>
      </c>
      <c r="J218" t="s">
        <v>219</v>
      </c>
      <c r="K218" t="s">
        <v>79</v>
      </c>
      <c r="L218" t="s">
        <v>242</v>
      </c>
      <c r="M218" t="s">
        <v>243</v>
      </c>
      <c r="N218" t="s">
        <v>120</v>
      </c>
      <c r="O218" t="s">
        <v>133</v>
      </c>
      <c r="P218">
        <v>3</v>
      </c>
      <c r="Q218" s="4">
        <v>182.56</v>
      </c>
      <c r="R218" s="5">
        <v>0.09</v>
      </c>
      <c r="S218" s="4">
        <v>8.85</v>
      </c>
      <c r="T218" t="s">
        <v>122</v>
      </c>
      <c r="U218" t="s">
        <v>85</v>
      </c>
      <c r="V218">
        <v>5</v>
      </c>
    </row>
    <row r="219" spans="1:22">
      <c r="A219" t="s">
        <v>648</v>
      </c>
      <c r="B219" s="3">
        <v>45518</v>
      </c>
      <c r="C219" s="3">
        <v>45526</v>
      </c>
      <c r="D219" t="s">
        <v>649</v>
      </c>
      <c r="E219" t="s">
        <v>650</v>
      </c>
      <c r="F219" t="s">
        <v>152</v>
      </c>
      <c r="G219" t="s">
        <v>138</v>
      </c>
      <c r="H219" t="s">
        <v>186</v>
      </c>
      <c r="I219" t="s">
        <v>187</v>
      </c>
      <c r="J219" t="s">
        <v>129</v>
      </c>
      <c r="K219" t="s">
        <v>168</v>
      </c>
      <c r="L219" t="s">
        <v>214</v>
      </c>
      <c r="M219" t="s">
        <v>215</v>
      </c>
      <c r="N219" t="s">
        <v>103</v>
      </c>
      <c r="O219" t="s">
        <v>171</v>
      </c>
      <c r="P219">
        <v>7</v>
      </c>
      <c r="Q219" s="4">
        <v>11.68</v>
      </c>
      <c r="R219" s="5">
        <v>0.1</v>
      </c>
      <c r="S219" s="4">
        <v>9.24</v>
      </c>
      <c r="T219" t="s">
        <v>105</v>
      </c>
      <c r="U219" t="s">
        <v>85</v>
      </c>
      <c r="V219">
        <v>5</v>
      </c>
    </row>
    <row r="220" spans="1:22">
      <c r="A220" t="s">
        <v>651</v>
      </c>
      <c r="B220" s="3">
        <v>45519</v>
      </c>
      <c r="C220" s="3">
        <v>45525</v>
      </c>
      <c r="D220" t="s">
        <v>271</v>
      </c>
      <c r="E220" t="s">
        <v>272</v>
      </c>
      <c r="F220" t="s">
        <v>89</v>
      </c>
      <c r="G220" t="s">
        <v>75</v>
      </c>
      <c r="H220" t="s">
        <v>273</v>
      </c>
      <c r="I220" t="s">
        <v>274</v>
      </c>
      <c r="J220" t="s">
        <v>129</v>
      </c>
      <c r="K220" t="s">
        <v>79</v>
      </c>
      <c r="L220" t="s">
        <v>254</v>
      </c>
      <c r="M220" t="s">
        <v>255</v>
      </c>
      <c r="N220" t="s">
        <v>82</v>
      </c>
      <c r="O220" t="s">
        <v>83</v>
      </c>
      <c r="P220">
        <v>7</v>
      </c>
      <c r="Q220" s="4">
        <v>93.98</v>
      </c>
      <c r="R220" s="5">
        <v>0.12</v>
      </c>
      <c r="S220" s="4">
        <v>11.39</v>
      </c>
      <c r="T220" t="s">
        <v>84</v>
      </c>
      <c r="U220" t="s">
        <v>85</v>
      </c>
      <c r="V220">
        <v>3</v>
      </c>
    </row>
    <row r="221" spans="1:22">
      <c r="A221" t="s">
        <v>652</v>
      </c>
      <c r="B221" s="3">
        <v>45519</v>
      </c>
      <c r="C221" s="3">
        <v>45522</v>
      </c>
      <c r="D221" t="s">
        <v>107</v>
      </c>
      <c r="E221" t="s">
        <v>108</v>
      </c>
      <c r="F221" t="s">
        <v>74</v>
      </c>
      <c r="G221" t="s">
        <v>75</v>
      </c>
      <c r="H221" t="s">
        <v>98</v>
      </c>
      <c r="I221" t="s">
        <v>99</v>
      </c>
      <c r="J221" t="s">
        <v>129</v>
      </c>
      <c r="K221" t="s">
        <v>79</v>
      </c>
      <c r="L221" t="s">
        <v>141</v>
      </c>
      <c r="M221" t="s">
        <v>142</v>
      </c>
      <c r="N221" t="s">
        <v>103</v>
      </c>
      <c r="O221" t="s">
        <v>143</v>
      </c>
      <c r="P221">
        <v>10</v>
      </c>
      <c r="Q221" s="4">
        <v>34.19</v>
      </c>
      <c r="R221" s="5">
        <v>0.1</v>
      </c>
      <c r="S221" s="4">
        <v>16.54</v>
      </c>
      <c r="T221" t="s">
        <v>134</v>
      </c>
      <c r="U221" t="s">
        <v>85</v>
      </c>
      <c r="V221">
        <v>4</v>
      </c>
    </row>
    <row r="222" spans="1:22">
      <c r="A222" t="s">
        <v>653</v>
      </c>
      <c r="B222" s="3">
        <v>45519</v>
      </c>
      <c r="C222" s="3">
        <v>45528</v>
      </c>
      <c r="D222" t="s">
        <v>519</v>
      </c>
      <c r="E222" t="s">
        <v>520</v>
      </c>
      <c r="F222" t="s">
        <v>74</v>
      </c>
      <c r="G222" t="s">
        <v>126</v>
      </c>
      <c r="H222" t="s">
        <v>127</v>
      </c>
      <c r="I222" t="s">
        <v>128</v>
      </c>
      <c r="J222" t="s">
        <v>219</v>
      </c>
      <c r="K222" t="s">
        <v>168</v>
      </c>
      <c r="L222" t="s">
        <v>301</v>
      </c>
      <c r="M222" t="s">
        <v>302</v>
      </c>
      <c r="N222" t="s">
        <v>120</v>
      </c>
      <c r="O222" t="s">
        <v>190</v>
      </c>
      <c r="P222">
        <v>3</v>
      </c>
      <c r="Q222" s="4">
        <v>143.59</v>
      </c>
      <c r="R222" s="5">
        <v>0.01</v>
      </c>
      <c r="S222" s="4">
        <v>15.99</v>
      </c>
      <c r="T222" t="s">
        <v>134</v>
      </c>
      <c r="U222" t="s">
        <v>85</v>
      </c>
      <c r="V222">
        <v>1</v>
      </c>
    </row>
    <row r="223" spans="1:22">
      <c r="A223" t="s">
        <v>654</v>
      </c>
      <c r="B223" s="3">
        <v>45519</v>
      </c>
      <c r="C223" s="3">
        <v>45529</v>
      </c>
      <c r="D223" t="s">
        <v>427</v>
      </c>
      <c r="E223" t="s">
        <v>428</v>
      </c>
      <c r="F223" t="s">
        <v>152</v>
      </c>
      <c r="G223" t="s">
        <v>194</v>
      </c>
      <c r="H223" t="s">
        <v>240</v>
      </c>
      <c r="I223" t="s">
        <v>241</v>
      </c>
      <c r="J223" t="s">
        <v>219</v>
      </c>
      <c r="K223" t="s">
        <v>100</v>
      </c>
      <c r="L223" t="s">
        <v>101</v>
      </c>
      <c r="M223" t="s">
        <v>102</v>
      </c>
      <c r="N223" t="s">
        <v>103</v>
      </c>
      <c r="O223" t="s">
        <v>104</v>
      </c>
      <c r="P223">
        <v>5</v>
      </c>
      <c r="Q223" s="4">
        <v>72.52</v>
      </c>
      <c r="R223" s="5">
        <v>0.06</v>
      </c>
      <c r="S223" s="4">
        <v>13.72</v>
      </c>
      <c r="T223" t="s">
        <v>84</v>
      </c>
      <c r="U223" t="s">
        <v>85</v>
      </c>
      <c r="V223">
        <v>3</v>
      </c>
    </row>
    <row r="224" spans="1:22">
      <c r="A224" t="s">
        <v>655</v>
      </c>
      <c r="B224" s="3">
        <v>45520</v>
      </c>
      <c r="C224" s="3">
        <v>45528</v>
      </c>
      <c r="D224" t="s">
        <v>469</v>
      </c>
      <c r="E224" t="s">
        <v>470</v>
      </c>
      <c r="F224" t="s">
        <v>89</v>
      </c>
      <c r="G224" t="s">
        <v>138</v>
      </c>
      <c r="H224" t="s">
        <v>186</v>
      </c>
      <c r="I224" t="s">
        <v>187</v>
      </c>
      <c r="J224" t="s">
        <v>219</v>
      </c>
      <c r="K224" t="s">
        <v>168</v>
      </c>
      <c r="L224" t="s">
        <v>220</v>
      </c>
      <c r="M224" t="s">
        <v>221</v>
      </c>
      <c r="N224" t="s">
        <v>93</v>
      </c>
      <c r="O224" t="s">
        <v>177</v>
      </c>
      <c r="P224">
        <v>3</v>
      </c>
      <c r="Q224" s="4">
        <v>230.56</v>
      </c>
      <c r="R224" s="5">
        <v>0.02</v>
      </c>
      <c r="S224" s="4">
        <v>18.16</v>
      </c>
      <c r="T224" t="s">
        <v>122</v>
      </c>
      <c r="U224" t="s">
        <v>85</v>
      </c>
    </row>
    <row r="225" spans="1:22">
      <c r="A225" t="s">
        <v>656</v>
      </c>
      <c r="B225" s="3">
        <v>45522</v>
      </c>
      <c r="C225" s="3">
        <v>45527</v>
      </c>
      <c r="D225" t="s">
        <v>627</v>
      </c>
      <c r="E225" t="s">
        <v>542</v>
      </c>
      <c r="F225" t="s">
        <v>152</v>
      </c>
      <c r="G225" t="s">
        <v>194</v>
      </c>
      <c r="H225" t="s">
        <v>240</v>
      </c>
      <c r="I225" t="s">
        <v>241</v>
      </c>
      <c r="J225" t="s">
        <v>78</v>
      </c>
      <c r="K225" t="s">
        <v>168</v>
      </c>
      <c r="L225" t="s">
        <v>284</v>
      </c>
      <c r="M225" t="s">
        <v>285</v>
      </c>
      <c r="N225" t="s">
        <v>103</v>
      </c>
      <c r="O225" t="s">
        <v>143</v>
      </c>
      <c r="P225">
        <v>2</v>
      </c>
      <c r="Q225" s="4">
        <v>28.09</v>
      </c>
      <c r="R225" s="5">
        <v>0.1</v>
      </c>
      <c r="S225" s="4">
        <v>12.37</v>
      </c>
      <c r="T225" t="s">
        <v>122</v>
      </c>
      <c r="U225" t="s">
        <v>85</v>
      </c>
      <c r="V225">
        <v>4</v>
      </c>
    </row>
    <row r="226" spans="1:22">
      <c r="A226" t="s">
        <v>657</v>
      </c>
      <c r="B226" s="3">
        <v>45524</v>
      </c>
      <c r="C226" s="3">
        <v>45534</v>
      </c>
      <c r="D226" t="s">
        <v>150</v>
      </c>
      <c r="E226" t="s">
        <v>151</v>
      </c>
      <c r="F226" t="s">
        <v>152</v>
      </c>
      <c r="G226" t="s">
        <v>138</v>
      </c>
      <c r="H226" t="s">
        <v>153</v>
      </c>
      <c r="I226" t="s">
        <v>154</v>
      </c>
      <c r="J226" t="s">
        <v>78</v>
      </c>
      <c r="K226" t="s">
        <v>90</v>
      </c>
      <c r="L226" t="s">
        <v>175</v>
      </c>
      <c r="M226" t="s">
        <v>176</v>
      </c>
      <c r="N226" t="s">
        <v>93</v>
      </c>
      <c r="O226" t="s">
        <v>177</v>
      </c>
      <c r="P226">
        <v>3</v>
      </c>
      <c r="Q226" s="4">
        <v>175.9</v>
      </c>
      <c r="R226" s="5">
        <v>7.0000000000000007E-2</v>
      </c>
      <c r="S226" s="4">
        <v>25.86</v>
      </c>
      <c r="T226" t="s">
        <v>105</v>
      </c>
      <c r="U226" t="s">
        <v>85</v>
      </c>
      <c r="V226">
        <v>3</v>
      </c>
    </row>
    <row r="227" spans="1:22">
      <c r="A227" t="s">
        <v>658</v>
      </c>
      <c r="B227" s="3">
        <v>45525</v>
      </c>
      <c r="C227" s="3">
        <v>45532</v>
      </c>
      <c r="D227" t="s">
        <v>659</v>
      </c>
      <c r="E227" t="s">
        <v>660</v>
      </c>
      <c r="F227" t="s">
        <v>74</v>
      </c>
      <c r="G227" t="s">
        <v>126</v>
      </c>
      <c r="H227" t="s">
        <v>291</v>
      </c>
      <c r="I227" t="s">
        <v>292</v>
      </c>
      <c r="J227" t="s">
        <v>78</v>
      </c>
      <c r="K227" t="s">
        <v>168</v>
      </c>
      <c r="L227" t="s">
        <v>118</v>
      </c>
      <c r="M227" t="s">
        <v>119</v>
      </c>
      <c r="N227" t="s">
        <v>120</v>
      </c>
      <c r="O227" t="s">
        <v>121</v>
      </c>
      <c r="P227">
        <v>2</v>
      </c>
      <c r="Q227" s="4">
        <v>274.79000000000002</v>
      </c>
      <c r="R227" s="5">
        <v>0.22</v>
      </c>
      <c r="S227" s="4">
        <v>11.08</v>
      </c>
      <c r="T227" t="s">
        <v>105</v>
      </c>
      <c r="U227" t="s">
        <v>85</v>
      </c>
      <c r="V227">
        <v>5</v>
      </c>
    </row>
    <row r="228" spans="1:22">
      <c r="A228" t="s">
        <v>661</v>
      </c>
      <c r="B228" s="3">
        <v>45529</v>
      </c>
      <c r="C228" s="3">
        <v>45530</v>
      </c>
      <c r="D228" t="s">
        <v>341</v>
      </c>
      <c r="E228" t="s">
        <v>342</v>
      </c>
      <c r="F228" t="s">
        <v>89</v>
      </c>
      <c r="G228" t="s">
        <v>138</v>
      </c>
      <c r="H228" t="s">
        <v>186</v>
      </c>
      <c r="I228" t="s">
        <v>187</v>
      </c>
      <c r="J228" t="s">
        <v>219</v>
      </c>
      <c r="K228" t="s">
        <v>130</v>
      </c>
      <c r="L228" t="s">
        <v>220</v>
      </c>
      <c r="M228" t="s">
        <v>221</v>
      </c>
      <c r="N228" t="s">
        <v>93</v>
      </c>
      <c r="O228" t="s">
        <v>177</v>
      </c>
      <c r="P228">
        <v>2</v>
      </c>
      <c r="Q228" s="4">
        <v>238.58</v>
      </c>
      <c r="R228" s="5">
        <v>7.0000000000000007E-2</v>
      </c>
      <c r="S228" s="4">
        <v>20.46</v>
      </c>
      <c r="T228" t="s">
        <v>122</v>
      </c>
      <c r="U228" t="s">
        <v>85</v>
      </c>
      <c r="V228">
        <v>5</v>
      </c>
    </row>
    <row r="229" spans="1:22">
      <c r="A229" t="s">
        <v>662</v>
      </c>
      <c r="B229" s="3">
        <v>45529</v>
      </c>
      <c r="C229" s="3">
        <v>45534</v>
      </c>
      <c r="D229" t="s">
        <v>663</v>
      </c>
      <c r="E229" t="s">
        <v>664</v>
      </c>
      <c r="F229" t="s">
        <v>89</v>
      </c>
      <c r="G229" t="s">
        <v>194</v>
      </c>
      <c r="H229" t="s">
        <v>230</v>
      </c>
      <c r="I229" t="s">
        <v>231</v>
      </c>
      <c r="J229" t="s">
        <v>129</v>
      </c>
      <c r="K229" t="s">
        <v>168</v>
      </c>
      <c r="L229" t="s">
        <v>234</v>
      </c>
      <c r="M229" t="s">
        <v>235</v>
      </c>
      <c r="N229" t="s">
        <v>93</v>
      </c>
      <c r="O229" t="s">
        <v>236</v>
      </c>
      <c r="P229">
        <v>3</v>
      </c>
      <c r="Q229" s="4">
        <v>150.56</v>
      </c>
      <c r="R229" s="5">
        <v>0.02</v>
      </c>
      <c r="S229" s="4">
        <v>19.89</v>
      </c>
      <c r="T229" t="s">
        <v>122</v>
      </c>
      <c r="U229" t="s">
        <v>85</v>
      </c>
      <c r="V229">
        <v>3</v>
      </c>
    </row>
    <row r="230" spans="1:22">
      <c r="A230" t="s">
        <v>665</v>
      </c>
      <c r="B230" s="3">
        <v>45535</v>
      </c>
      <c r="C230" s="3">
        <v>45542</v>
      </c>
      <c r="D230" t="s">
        <v>627</v>
      </c>
      <c r="E230" t="s">
        <v>542</v>
      </c>
      <c r="F230" t="s">
        <v>152</v>
      </c>
      <c r="G230" t="s">
        <v>194</v>
      </c>
      <c r="H230" t="s">
        <v>240</v>
      </c>
      <c r="I230" t="s">
        <v>241</v>
      </c>
      <c r="J230" t="s">
        <v>109</v>
      </c>
      <c r="K230" t="s">
        <v>90</v>
      </c>
      <c r="L230" t="s">
        <v>175</v>
      </c>
      <c r="M230" t="s">
        <v>176</v>
      </c>
      <c r="N230" t="s">
        <v>93</v>
      </c>
      <c r="O230" t="s">
        <v>177</v>
      </c>
      <c r="P230">
        <v>1</v>
      </c>
      <c r="Q230" s="4">
        <v>169.69</v>
      </c>
      <c r="R230" s="5">
        <v>0.1</v>
      </c>
      <c r="S230" s="4">
        <v>29.7</v>
      </c>
      <c r="T230" t="s">
        <v>84</v>
      </c>
      <c r="U230" t="s">
        <v>85</v>
      </c>
      <c r="V230">
        <v>5</v>
      </c>
    </row>
    <row r="231" spans="1:22">
      <c r="A231" t="s">
        <v>666</v>
      </c>
      <c r="B231" s="3">
        <v>45538</v>
      </c>
      <c r="C231" s="3">
        <v>45545</v>
      </c>
      <c r="D231" t="s">
        <v>667</v>
      </c>
      <c r="E231" t="s">
        <v>336</v>
      </c>
      <c r="F231" t="s">
        <v>152</v>
      </c>
      <c r="G231" t="s">
        <v>138</v>
      </c>
      <c r="H231" t="s">
        <v>457</v>
      </c>
      <c r="I231" t="s">
        <v>458</v>
      </c>
      <c r="J231" t="s">
        <v>219</v>
      </c>
      <c r="K231" t="s">
        <v>79</v>
      </c>
      <c r="L231" t="s">
        <v>214</v>
      </c>
      <c r="M231" t="s">
        <v>215</v>
      </c>
      <c r="N231" t="s">
        <v>103</v>
      </c>
      <c r="O231" t="s">
        <v>171</v>
      </c>
      <c r="P231">
        <v>10</v>
      </c>
      <c r="Q231" s="4">
        <v>12.01</v>
      </c>
      <c r="R231" s="5">
        <v>0.03</v>
      </c>
      <c r="S231" s="4">
        <v>15.24</v>
      </c>
      <c r="T231" t="s">
        <v>84</v>
      </c>
      <c r="U231" t="s">
        <v>85</v>
      </c>
      <c r="V231">
        <v>4</v>
      </c>
    </row>
    <row r="232" spans="1:22">
      <c r="A232" t="s">
        <v>668</v>
      </c>
      <c r="B232" s="3">
        <v>45541</v>
      </c>
      <c r="C232" s="3">
        <v>45550</v>
      </c>
      <c r="D232" t="s">
        <v>586</v>
      </c>
      <c r="E232" t="s">
        <v>587</v>
      </c>
      <c r="F232" t="s">
        <v>89</v>
      </c>
      <c r="G232" t="s">
        <v>138</v>
      </c>
      <c r="H232" t="s">
        <v>139</v>
      </c>
      <c r="I232" t="s">
        <v>140</v>
      </c>
      <c r="J232" t="s">
        <v>129</v>
      </c>
      <c r="K232" t="s">
        <v>90</v>
      </c>
      <c r="L232" t="s">
        <v>155</v>
      </c>
      <c r="M232" t="s">
        <v>156</v>
      </c>
      <c r="N232" t="s">
        <v>82</v>
      </c>
      <c r="O232" t="s">
        <v>112</v>
      </c>
      <c r="P232">
        <v>9</v>
      </c>
      <c r="Q232" s="4">
        <v>159.61000000000001</v>
      </c>
      <c r="R232" s="5">
        <v>0.03</v>
      </c>
      <c r="S232" s="4">
        <v>10.45</v>
      </c>
      <c r="T232" t="s">
        <v>122</v>
      </c>
      <c r="U232" t="s">
        <v>85</v>
      </c>
      <c r="V232">
        <v>1</v>
      </c>
    </row>
    <row r="233" spans="1:22">
      <c r="A233" t="s">
        <v>669</v>
      </c>
      <c r="B233" s="3">
        <v>45543</v>
      </c>
      <c r="C233" s="3">
        <v>45553</v>
      </c>
      <c r="D233" t="s">
        <v>389</v>
      </c>
      <c r="E233" t="s">
        <v>390</v>
      </c>
      <c r="F233" t="s">
        <v>89</v>
      </c>
      <c r="G233" t="s">
        <v>138</v>
      </c>
      <c r="H233" t="s">
        <v>186</v>
      </c>
      <c r="I233" t="s">
        <v>187</v>
      </c>
      <c r="J233" t="s">
        <v>129</v>
      </c>
      <c r="K233" t="s">
        <v>130</v>
      </c>
      <c r="L233" t="s">
        <v>110</v>
      </c>
      <c r="M233" t="s">
        <v>111</v>
      </c>
      <c r="N233" t="s">
        <v>82</v>
      </c>
      <c r="O233" t="s">
        <v>112</v>
      </c>
      <c r="P233">
        <v>5</v>
      </c>
      <c r="Q233" s="4">
        <v>304.74</v>
      </c>
      <c r="R233" s="5">
        <v>0.01</v>
      </c>
      <c r="S233" s="4">
        <v>13.15</v>
      </c>
      <c r="T233" t="s">
        <v>105</v>
      </c>
      <c r="U233" t="s">
        <v>85</v>
      </c>
    </row>
    <row r="234" spans="1:22">
      <c r="A234" t="s">
        <v>670</v>
      </c>
      <c r="B234" s="3">
        <v>45544</v>
      </c>
      <c r="C234" s="3">
        <v>45549</v>
      </c>
      <c r="D234" t="s">
        <v>350</v>
      </c>
      <c r="E234" t="s">
        <v>351</v>
      </c>
      <c r="F234" t="s">
        <v>152</v>
      </c>
      <c r="G234" t="s">
        <v>126</v>
      </c>
      <c r="H234" t="s">
        <v>160</v>
      </c>
      <c r="I234" t="s">
        <v>182</v>
      </c>
      <c r="J234" t="s">
        <v>129</v>
      </c>
      <c r="K234" t="s">
        <v>168</v>
      </c>
      <c r="L234" t="s">
        <v>337</v>
      </c>
      <c r="M234" t="s">
        <v>338</v>
      </c>
      <c r="N234" t="s">
        <v>93</v>
      </c>
      <c r="O234" t="s">
        <v>236</v>
      </c>
      <c r="P234">
        <v>2</v>
      </c>
      <c r="Q234" s="4">
        <v>271.18</v>
      </c>
      <c r="R234" s="5">
        <v>0.23</v>
      </c>
      <c r="S234" s="4">
        <v>27.19</v>
      </c>
      <c r="T234" t="s">
        <v>105</v>
      </c>
      <c r="U234" t="s">
        <v>85</v>
      </c>
      <c r="V234">
        <v>5</v>
      </c>
    </row>
    <row r="235" spans="1:22">
      <c r="A235" t="s">
        <v>671</v>
      </c>
      <c r="B235" s="3">
        <v>45545</v>
      </c>
      <c r="C235" s="3">
        <v>45554</v>
      </c>
      <c r="D235" t="s">
        <v>271</v>
      </c>
      <c r="E235" t="s">
        <v>272</v>
      </c>
      <c r="F235" t="s">
        <v>89</v>
      </c>
      <c r="G235" t="s">
        <v>75</v>
      </c>
      <c r="H235" t="s">
        <v>273</v>
      </c>
      <c r="I235" t="s">
        <v>274</v>
      </c>
      <c r="J235" t="s">
        <v>219</v>
      </c>
      <c r="K235" t="s">
        <v>90</v>
      </c>
      <c r="L235" t="s">
        <v>261</v>
      </c>
      <c r="M235" t="s">
        <v>262</v>
      </c>
      <c r="N235" t="s">
        <v>103</v>
      </c>
      <c r="O235" t="s">
        <v>104</v>
      </c>
      <c r="P235">
        <v>4</v>
      </c>
      <c r="Q235" s="4">
        <v>25.75</v>
      </c>
      <c r="R235" s="5">
        <v>0.01</v>
      </c>
      <c r="S235" s="4">
        <v>5.57</v>
      </c>
      <c r="T235" t="s">
        <v>122</v>
      </c>
      <c r="U235" t="s">
        <v>85</v>
      </c>
      <c r="V235">
        <v>1</v>
      </c>
    </row>
    <row r="236" spans="1:22">
      <c r="A236" t="s">
        <v>672</v>
      </c>
      <c r="B236" s="3">
        <v>45545</v>
      </c>
      <c r="C236" s="3">
        <v>45554</v>
      </c>
      <c r="D236" t="s">
        <v>454</v>
      </c>
      <c r="E236" t="s">
        <v>329</v>
      </c>
      <c r="F236" t="s">
        <v>89</v>
      </c>
      <c r="G236" t="s">
        <v>75</v>
      </c>
      <c r="H236" t="s">
        <v>212</v>
      </c>
      <c r="I236" t="s">
        <v>213</v>
      </c>
      <c r="J236" t="s">
        <v>129</v>
      </c>
      <c r="K236" t="s">
        <v>168</v>
      </c>
      <c r="L236" t="s">
        <v>91</v>
      </c>
      <c r="M236" t="s">
        <v>92</v>
      </c>
      <c r="N236" t="s">
        <v>93</v>
      </c>
      <c r="O236" t="s">
        <v>94</v>
      </c>
      <c r="P236">
        <v>3</v>
      </c>
      <c r="Q236" s="4">
        <v>342.69</v>
      </c>
      <c r="R236" s="5">
        <v>0.08</v>
      </c>
      <c r="S236" s="4">
        <v>27.07</v>
      </c>
      <c r="T236" t="s">
        <v>122</v>
      </c>
      <c r="U236" t="s">
        <v>148</v>
      </c>
    </row>
    <row r="237" spans="1:22">
      <c r="A237" t="s">
        <v>673</v>
      </c>
      <c r="B237" s="3">
        <v>45546</v>
      </c>
      <c r="C237" s="3">
        <v>45555</v>
      </c>
      <c r="D237" t="s">
        <v>522</v>
      </c>
      <c r="E237" t="s">
        <v>512</v>
      </c>
      <c r="F237" t="s">
        <v>74</v>
      </c>
      <c r="G237" t="s">
        <v>194</v>
      </c>
      <c r="H237" t="s">
        <v>230</v>
      </c>
      <c r="I237" t="s">
        <v>231</v>
      </c>
      <c r="J237" t="s">
        <v>109</v>
      </c>
      <c r="K237" t="s">
        <v>100</v>
      </c>
      <c r="L237" t="s">
        <v>101</v>
      </c>
      <c r="M237" t="s">
        <v>102</v>
      </c>
      <c r="N237" t="s">
        <v>103</v>
      </c>
      <c r="O237" t="s">
        <v>104</v>
      </c>
      <c r="P237">
        <v>9</v>
      </c>
      <c r="Q237" s="4">
        <v>75.53</v>
      </c>
      <c r="R237" s="5">
        <v>0.02</v>
      </c>
      <c r="S237" s="4">
        <v>13.1</v>
      </c>
      <c r="T237" t="s">
        <v>105</v>
      </c>
      <c r="U237" t="s">
        <v>85</v>
      </c>
      <c r="V237">
        <v>4</v>
      </c>
    </row>
    <row r="238" spans="1:22">
      <c r="A238" t="s">
        <v>674</v>
      </c>
      <c r="B238" s="3">
        <v>45549</v>
      </c>
      <c r="C238" s="3">
        <v>45559</v>
      </c>
      <c r="D238" t="s">
        <v>504</v>
      </c>
      <c r="E238" t="s">
        <v>505</v>
      </c>
      <c r="F238" t="s">
        <v>74</v>
      </c>
      <c r="G238" t="s">
        <v>126</v>
      </c>
      <c r="H238" t="s">
        <v>160</v>
      </c>
      <c r="I238" t="s">
        <v>161</v>
      </c>
      <c r="J238" t="s">
        <v>78</v>
      </c>
      <c r="K238" t="s">
        <v>100</v>
      </c>
      <c r="L238" t="s">
        <v>301</v>
      </c>
      <c r="M238" t="s">
        <v>302</v>
      </c>
      <c r="N238" t="s">
        <v>120</v>
      </c>
      <c r="O238" t="s">
        <v>190</v>
      </c>
      <c r="P238">
        <v>1</v>
      </c>
      <c r="Q238" s="4">
        <v>141.57</v>
      </c>
      <c r="R238" s="5">
        <v>0.03</v>
      </c>
      <c r="S238" s="4">
        <v>12.09</v>
      </c>
      <c r="T238" t="s">
        <v>122</v>
      </c>
      <c r="U238" t="s">
        <v>85</v>
      </c>
      <c r="V238">
        <v>3</v>
      </c>
    </row>
    <row r="239" spans="1:22">
      <c r="A239" t="s">
        <v>675</v>
      </c>
      <c r="B239" s="3">
        <v>45551</v>
      </c>
      <c r="C239" s="3">
        <v>45556</v>
      </c>
      <c r="D239" t="s">
        <v>368</v>
      </c>
      <c r="E239" t="s">
        <v>369</v>
      </c>
      <c r="F239" t="s">
        <v>89</v>
      </c>
      <c r="G239" t="s">
        <v>194</v>
      </c>
      <c r="H239" t="s">
        <v>240</v>
      </c>
      <c r="I239" t="s">
        <v>241</v>
      </c>
      <c r="J239" t="s">
        <v>129</v>
      </c>
      <c r="K239" t="s">
        <v>90</v>
      </c>
      <c r="L239" t="s">
        <v>207</v>
      </c>
      <c r="M239" t="s">
        <v>208</v>
      </c>
      <c r="N239" t="s">
        <v>120</v>
      </c>
      <c r="O239" t="s">
        <v>164</v>
      </c>
      <c r="P239">
        <v>4</v>
      </c>
      <c r="Q239" s="4">
        <v>1377.16</v>
      </c>
      <c r="R239" s="5">
        <v>0.04</v>
      </c>
      <c r="S239" s="4">
        <v>21</v>
      </c>
      <c r="T239" t="s">
        <v>84</v>
      </c>
      <c r="U239" t="s">
        <v>85</v>
      </c>
      <c r="V239">
        <v>2</v>
      </c>
    </row>
    <row r="240" spans="1:22">
      <c r="A240" t="s">
        <v>676</v>
      </c>
      <c r="B240" s="3">
        <v>45553</v>
      </c>
      <c r="C240" s="3">
        <v>45561</v>
      </c>
      <c r="D240" t="s">
        <v>677</v>
      </c>
      <c r="E240" t="s">
        <v>678</v>
      </c>
      <c r="F240" t="s">
        <v>152</v>
      </c>
      <c r="G240" t="s">
        <v>138</v>
      </c>
      <c r="H240" t="s">
        <v>347</v>
      </c>
      <c r="I240" t="s">
        <v>348</v>
      </c>
      <c r="J240" t="s">
        <v>219</v>
      </c>
      <c r="K240" t="s">
        <v>90</v>
      </c>
      <c r="L240" t="s">
        <v>207</v>
      </c>
      <c r="M240" t="s">
        <v>208</v>
      </c>
      <c r="N240" t="s">
        <v>120</v>
      </c>
      <c r="O240" t="s">
        <v>164</v>
      </c>
      <c r="P240">
        <v>1</v>
      </c>
      <c r="Q240" s="4">
        <v>1359.78</v>
      </c>
      <c r="R240" s="5">
        <v>0.03</v>
      </c>
      <c r="S240" s="4">
        <v>7.49</v>
      </c>
      <c r="T240" t="s">
        <v>134</v>
      </c>
      <c r="U240" t="s">
        <v>85</v>
      </c>
      <c r="V240">
        <v>2</v>
      </c>
    </row>
    <row r="241" spans="1:22">
      <c r="A241" t="s">
        <v>679</v>
      </c>
      <c r="B241" s="3">
        <v>45554</v>
      </c>
      <c r="C241" s="3">
        <v>45561</v>
      </c>
      <c r="D241" t="s">
        <v>223</v>
      </c>
      <c r="E241" t="s">
        <v>224</v>
      </c>
      <c r="F241" t="s">
        <v>152</v>
      </c>
      <c r="G241" t="s">
        <v>194</v>
      </c>
      <c r="H241" t="s">
        <v>225</v>
      </c>
      <c r="I241" t="s">
        <v>226</v>
      </c>
      <c r="J241" t="s">
        <v>129</v>
      </c>
      <c r="K241" t="s">
        <v>100</v>
      </c>
      <c r="L241" t="s">
        <v>431</v>
      </c>
      <c r="M241" t="s">
        <v>432</v>
      </c>
      <c r="N241" t="s">
        <v>103</v>
      </c>
      <c r="O241" t="s">
        <v>251</v>
      </c>
      <c r="P241">
        <v>9</v>
      </c>
      <c r="Q241" s="4">
        <v>39.1</v>
      </c>
      <c r="R241" s="5">
        <v>0.1</v>
      </c>
      <c r="S241" s="4">
        <v>5.8</v>
      </c>
      <c r="T241" t="s">
        <v>134</v>
      </c>
      <c r="U241" t="s">
        <v>85</v>
      </c>
      <c r="V241">
        <v>5</v>
      </c>
    </row>
    <row r="242" spans="1:22">
      <c r="A242" t="s">
        <v>680</v>
      </c>
      <c r="B242" s="3">
        <v>45555</v>
      </c>
      <c r="C242" s="3">
        <v>45565</v>
      </c>
      <c r="D242" t="s">
        <v>210</v>
      </c>
      <c r="E242" t="s">
        <v>211</v>
      </c>
      <c r="F242" t="s">
        <v>89</v>
      </c>
      <c r="G242" t="s">
        <v>75</v>
      </c>
      <c r="H242" t="s">
        <v>212</v>
      </c>
      <c r="I242" t="s">
        <v>213</v>
      </c>
      <c r="J242" t="s">
        <v>219</v>
      </c>
      <c r="K242" t="s">
        <v>90</v>
      </c>
      <c r="L242" t="s">
        <v>91</v>
      </c>
      <c r="M242" t="s">
        <v>92</v>
      </c>
      <c r="N242" t="s">
        <v>93</v>
      </c>
      <c r="O242" t="s">
        <v>94</v>
      </c>
      <c r="P242">
        <v>1</v>
      </c>
      <c r="Q242" s="4">
        <v>339.99</v>
      </c>
      <c r="R242" s="5">
        <v>0.08</v>
      </c>
      <c r="S242" s="4">
        <v>27.42</v>
      </c>
      <c r="T242" t="s">
        <v>122</v>
      </c>
      <c r="U242" t="s">
        <v>85</v>
      </c>
    </row>
    <row r="243" spans="1:22">
      <c r="A243" t="s">
        <v>681</v>
      </c>
      <c r="B243" s="3">
        <v>45558</v>
      </c>
      <c r="C243" s="3">
        <v>45565</v>
      </c>
      <c r="D243" t="s">
        <v>406</v>
      </c>
      <c r="E243" t="s">
        <v>407</v>
      </c>
      <c r="F243" t="s">
        <v>89</v>
      </c>
      <c r="G243" t="s">
        <v>75</v>
      </c>
      <c r="H243" t="s">
        <v>116</v>
      </c>
      <c r="I243" t="s">
        <v>117</v>
      </c>
      <c r="J243" t="s">
        <v>219</v>
      </c>
      <c r="K243" t="s">
        <v>79</v>
      </c>
      <c r="L243" t="s">
        <v>91</v>
      </c>
      <c r="M243" t="s">
        <v>92</v>
      </c>
      <c r="N243" t="s">
        <v>93</v>
      </c>
      <c r="O243" t="s">
        <v>94</v>
      </c>
      <c r="P243">
        <v>1</v>
      </c>
      <c r="Q243" s="4">
        <v>329.87</v>
      </c>
      <c r="R243" s="5">
        <v>0.11</v>
      </c>
      <c r="S243" s="4">
        <v>29.36</v>
      </c>
      <c r="T243" t="s">
        <v>105</v>
      </c>
      <c r="U243" t="s">
        <v>85</v>
      </c>
      <c r="V243">
        <v>3</v>
      </c>
    </row>
    <row r="244" spans="1:22">
      <c r="A244" t="s">
        <v>682</v>
      </c>
      <c r="B244" s="3">
        <v>45558</v>
      </c>
      <c r="C244" s="3">
        <v>45564</v>
      </c>
      <c r="D244" t="s">
        <v>345</v>
      </c>
      <c r="E244" t="s">
        <v>346</v>
      </c>
      <c r="F244" t="s">
        <v>89</v>
      </c>
      <c r="G244" t="s">
        <v>138</v>
      </c>
      <c r="H244" t="s">
        <v>347</v>
      </c>
      <c r="I244" t="s">
        <v>348</v>
      </c>
      <c r="J244" t="s">
        <v>78</v>
      </c>
      <c r="K244" t="s">
        <v>90</v>
      </c>
      <c r="L244" t="s">
        <v>110</v>
      </c>
      <c r="M244" t="s">
        <v>111</v>
      </c>
      <c r="N244" t="s">
        <v>82</v>
      </c>
      <c r="O244" t="s">
        <v>112</v>
      </c>
      <c r="P244">
        <v>1</v>
      </c>
      <c r="Q244" s="4">
        <v>331.87</v>
      </c>
      <c r="R244" s="5">
        <v>0.06</v>
      </c>
      <c r="S244" s="4">
        <v>9.1300000000000008</v>
      </c>
      <c r="T244" t="s">
        <v>84</v>
      </c>
      <c r="U244" t="s">
        <v>85</v>
      </c>
      <c r="V244">
        <v>4</v>
      </c>
    </row>
    <row r="245" spans="1:22">
      <c r="A245" t="s">
        <v>683</v>
      </c>
      <c r="B245" s="3">
        <v>45559</v>
      </c>
      <c r="C245" s="3">
        <v>45561</v>
      </c>
      <c r="D245" t="s">
        <v>469</v>
      </c>
      <c r="E245" t="s">
        <v>470</v>
      </c>
      <c r="F245" t="s">
        <v>89</v>
      </c>
      <c r="G245" t="s">
        <v>138</v>
      </c>
      <c r="H245" t="s">
        <v>186</v>
      </c>
      <c r="I245" t="s">
        <v>187</v>
      </c>
      <c r="J245" t="s">
        <v>109</v>
      </c>
      <c r="K245" t="s">
        <v>130</v>
      </c>
      <c r="L245" t="s">
        <v>110</v>
      </c>
      <c r="M245" t="s">
        <v>111</v>
      </c>
      <c r="N245" t="s">
        <v>82</v>
      </c>
      <c r="O245" t="s">
        <v>112</v>
      </c>
      <c r="P245">
        <v>1</v>
      </c>
      <c r="Q245" s="4">
        <v>324.16000000000003</v>
      </c>
      <c r="R245" s="5">
        <v>0.01</v>
      </c>
      <c r="S245" s="4">
        <v>5.91</v>
      </c>
      <c r="T245" t="s">
        <v>134</v>
      </c>
      <c r="U245" t="s">
        <v>85</v>
      </c>
    </row>
    <row r="246" spans="1:22">
      <c r="A246" t="s">
        <v>684</v>
      </c>
      <c r="B246" s="3">
        <v>45562</v>
      </c>
      <c r="C246" s="3">
        <v>45569</v>
      </c>
      <c r="D246" t="s">
        <v>514</v>
      </c>
      <c r="E246" t="s">
        <v>515</v>
      </c>
      <c r="F246" t="s">
        <v>74</v>
      </c>
      <c r="G246" t="s">
        <v>75</v>
      </c>
      <c r="H246" t="s">
        <v>212</v>
      </c>
      <c r="I246" t="s">
        <v>213</v>
      </c>
      <c r="J246" t="s">
        <v>219</v>
      </c>
      <c r="K246" t="s">
        <v>79</v>
      </c>
      <c r="L246" t="s">
        <v>284</v>
      </c>
      <c r="M246" t="s">
        <v>285</v>
      </c>
      <c r="N246" t="s">
        <v>103</v>
      </c>
      <c r="O246" t="s">
        <v>143</v>
      </c>
      <c r="P246">
        <v>1</v>
      </c>
      <c r="Q246" s="4">
        <v>28.23</v>
      </c>
      <c r="R246" s="5">
        <v>0.01</v>
      </c>
      <c r="S246" s="4">
        <v>9.64</v>
      </c>
      <c r="T246" t="s">
        <v>105</v>
      </c>
      <c r="U246" t="s">
        <v>85</v>
      </c>
      <c r="V246">
        <v>4</v>
      </c>
    </row>
    <row r="247" spans="1:22">
      <c r="A247" t="s">
        <v>685</v>
      </c>
      <c r="B247" s="3">
        <v>45562</v>
      </c>
      <c r="C247" s="3">
        <v>45571</v>
      </c>
      <c r="D247" t="s">
        <v>514</v>
      </c>
      <c r="E247" t="s">
        <v>515</v>
      </c>
      <c r="F247" t="s">
        <v>74</v>
      </c>
      <c r="G247" t="s">
        <v>75</v>
      </c>
      <c r="H247" t="s">
        <v>212</v>
      </c>
      <c r="I247" t="s">
        <v>213</v>
      </c>
      <c r="J247" t="s">
        <v>219</v>
      </c>
      <c r="K247" t="s">
        <v>79</v>
      </c>
      <c r="L247" t="s">
        <v>101</v>
      </c>
      <c r="M247" t="s">
        <v>102</v>
      </c>
      <c r="N247" t="s">
        <v>103</v>
      </c>
      <c r="O247" t="s">
        <v>104</v>
      </c>
      <c r="P247">
        <v>9</v>
      </c>
      <c r="Q247" s="4">
        <v>71.03</v>
      </c>
      <c r="R247" s="5">
        <v>0.05</v>
      </c>
      <c r="S247" s="4">
        <v>11.24</v>
      </c>
      <c r="T247" t="s">
        <v>105</v>
      </c>
      <c r="U247" t="s">
        <v>85</v>
      </c>
      <c r="V247">
        <v>1</v>
      </c>
    </row>
    <row r="248" spans="1:22">
      <c r="A248" t="s">
        <v>686</v>
      </c>
      <c r="B248" s="3">
        <v>45562</v>
      </c>
      <c r="C248" s="3">
        <v>45565</v>
      </c>
      <c r="D248" t="s">
        <v>504</v>
      </c>
      <c r="E248" t="s">
        <v>505</v>
      </c>
      <c r="F248" t="s">
        <v>74</v>
      </c>
      <c r="G248" t="s">
        <v>126</v>
      </c>
      <c r="H248" t="s">
        <v>160</v>
      </c>
      <c r="I248" t="s">
        <v>161</v>
      </c>
      <c r="J248" t="s">
        <v>109</v>
      </c>
      <c r="K248" t="s">
        <v>100</v>
      </c>
      <c r="L248" t="s">
        <v>234</v>
      </c>
      <c r="M248" t="s">
        <v>235</v>
      </c>
      <c r="N248" t="s">
        <v>93</v>
      </c>
      <c r="O248" t="s">
        <v>236</v>
      </c>
      <c r="P248">
        <v>1</v>
      </c>
      <c r="Q248" s="4">
        <v>143.31</v>
      </c>
      <c r="R248" s="5">
        <v>0.01</v>
      </c>
      <c r="S248" s="4">
        <v>22.31</v>
      </c>
      <c r="T248" t="s">
        <v>134</v>
      </c>
      <c r="U248" t="s">
        <v>85</v>
      </c>
      <c r="V248">
        <v>1</v>
      </c>
    </row>
    <row r="249" spans="1:22">
      <c r="A249" t="s">
        <v>687</v>
      </c>
      <c r="B249" s="3">
        <v>45562</v>
      </c>
      <c r="C249" s="3">
        <v>45567</v>
      </c>
      <c r="D249" t="s">
        <v>646</v>
      </c>
      <c r="E249" t="s">
        <v>647</v>
      </c>
      <c r="F249" t="s">
        <v>89</v>
      </c>
      <c r="G249" t="s">
        <v>126</v>
      </c>
      <c r="H249" t="s">
        <v>127</v>
      </c>
      <c r="I249" t="s">
        <v>128</v>
      </c>
      <c r="J249" t="s">
        <v>219</v>
      </c>
      <c r="K249" t="s">
        <v>100</v>
      </c>
      <c r="L249" t="s">
        <v>91</v>
      </c>
      <c r="M249" t="s">
        <v>92</v>
      </c>
      <c r="N249" t="s">
        <v>93</v>
      </c>
      <c r="O249" t="s">
        <v>94</v>
      </c>
      <c r="P249">
        <v>2</v>
      </c>
      <c r="Q249" s="4">
        <v>326.13</v>
      </c>
      <c r="R249" s="5">
        <v>0.03</v>
      </c>
      <c r="S249" s="4">
        <v>29.35</v>
      </c>
      <c r="T249" t="s">
        <v>134</v>
      </c>
      <c r="U249" t="s">
        <v>85</v>
      </c>
      <c r="V249">
        <v>2</v>
      </c>
    </row>
    <row r="250" spans="1:22">
      <c r="A250" t="s">
        <v>688</v>
      </c>
      <c r="B250" s="3">
        <v>45563</v>
      </c>
      <c r="C250" s="3">
        <v>45572</v>
      </c>
      <c r="D250" t="s">
        <v>451</v>
      </c>
      <c r="E250" t="s">
        <v>452</v>
      </c>
      <c r="F250" t="s">
        <v>89</v>
      </c>
      <c r="G250" t="s">
        <v>126</v>
      </c>
      <c r="H250" t="s">
        <v>160</v>
      </c>
      <c r="I250" t="s">
        <v>161</v>
      </c>
      <c r="J250" t="s">
        <v>219</v>
      </c>
      <c r="K250" t="s">
        <v>100</v>
      </c>
      <c r="L250" t="s">
        <v>101</v>
      </c>
      <c r="M250" t="s">
        <v>102</v>
      </c>
      <c r="N250" t="s">
        <v>103</v>
      </c>
      <c r="O250" t="s">
        <v>104</v>
      </c>
      <c r="P250">
        <v>4</v>
      </c>
      <c r="Q250" s="4">
        <v>78.13</v>
      </c>
      <c r="R250" s="5">
        <v>0.1</v>
      </c>
      <c r="S250" s="4">
        <v>15.68</v>
      </c>
      <c r="T250" t="s">
        <v>84</v>
      </c>
      <c r="U250" t="s">
        <v>85</v>
      </c>
      <c r="V250">
        <v>2</v>
      </c>
    </row>
    <row r="251" spans="1:22">
      <c r="A251" t="s">
        <v>689</v>
      </c>
      <c r="B251" s="3">
        <v>45563</v>
      </c>
      <c r="C251" s="3">
        <v>45570</v>
      </c>
      <c r="D251" t="s">
        <v>158</v>
      </c>
      <c r="E251" t="s">
        <v>159</v>
      </c>
      <c r="F251" t="s">
        <v>89</v>
      </c>
      <c r="G251" t="s">
        <v>126</v>
      </c>
      <c r="H251" t="s">
        <v>160</v>
      </c>
      <c r="I251" t="s">
        <v>161</v>
      </c>
      <c r="J251" t="s">
        <v>129</v>
      </c>
      <c r="K251" t="s">
        <v>79</v>
      </c>
      <c r="L251" t="s">
        <v>431</v>
      </c>
      <c r="M251" t="s">
        <v>432</v>
      </c>
      <c r="N251" t="s">
        <v>103</v>
      </c>
      <c r="O251" t="s">
        <v>251</v>
      </c>
      <c r="P251">
        <v>8</v>
      </c>
      <c r="Q251" s="4">
        <v>39.049999999999997</v>
      </c>
      <c r="R251" s="5">
        <v>0.05</v>
      </c>
      <c r="S251" s="4">
        <v>11.8</v>
      </c>
      <c r="T251" t="s">
        <v>122</v>
      </c>
      <c r="U251" t="s">
        <v>85</v>
      </c>
      <c r="V251">
        <v>4</v>
      </c>
    </row>
    <row r="252" spans="1:22">
      <c r="A252" t="s">
        <v>690</v>
      </c>
      <c r="B252" s="3">
        <v>45567</v>
      </c>
      <c r="C252" s="3">
        <v>45575</v>
      </c>
      <c r="D252" t="s">
        <v>419</v>
      </c>
      <c r="E252" t="s">
        <v>420</v>
      </c>
      <c r="F252" t="s">
        <v>74</v>
      </c>
      <c r="G252" t="s">
        <v>126</v>
      </c>
      <c r="H252" t="s">
        <v>160</v>
      </c>
      <c r="I252" t="s">
        <v>161</v>
      </c>
      <c r="J252" t="s">
        <v>109</v>
      </c>
      <c r="K252" t="s">
        <v>79</v>
      </c>
      <c r="L252" t="s">
        <v>234</v>
      </c>
      <c r="M252" t="s">
        <v>235</v>
      </c>
      <c r="N252" t="s">
        <v>93</v>
      </c>
      <c r="O252" t="s">
        <v>236</v>
      </c>
      <c r="P252">
        <v>3</v>
      </c>
      <c r="Q252" s="4">
        <v>152.91</v>
      </c>
      <c r="R252" s="5">
        <v>0.05</v>
      </c>
      <c r="S252" s="4">
        <v>21.03</v>
      </c>
      <c r="T252" t="s">
        <v>84</v>
      </c>
      <c r="U252" t="s">
        <v>85</v>
      </c>
    </row>
    <row r="253" spans="1:22">
      <c r="A253" t="s">
        <v>691</v>
      </c>
      <c r="B253" s="3">
        <v>45569</v>
      </c>
      <c r="C253" s="3">
        <v>45579</v>
      </c>
      <c r="D253" t="s">
        <v>692</v>
      </c>
      <c r="E253" t="s">
        <v>193</v>
      </c>
      <c r="F253" t="s">
        <v>74</v>
      </c>
      <c r="G253" t="s">
        <v>194</v>
      </c>
      <c r="H253" t="s">
        <v>202</v>
      </c>
      <c r="I253" t="s">
        <v>203</v>
      </c>
      <c r="J253" t="s">
        <v>219</v>
      </c>
      <c r="K253" t="s">
        <v>147</v>
      </c>
      <c r="L253" t="s">
        <v>131</v>
      </c>
      <c r="M253" t="s">
        <v>132</v>
      </c>
      <c r="N253" t="s">
        <v>120</v>
      </c>
      <c r="O253" t="s">
        <v>133</v>
      </c>
      <c r="P253">
        <v>2</v>
      </c>
      <c r="Q253" s="4">
        <v>85.47</v>
      </c>
      <c r="R253" s="5">
        <v>0.08</v>
      </c>
      <c r="S253" s="4">
        <v>8.56</v>
      </c>
      <c r="T253" t="s">
        <v>122</v>
      </c>
      <c r="U253" t="s">
        <v>85</v>
      </c>
      <c r="V253">
        <v>1</v>
      </c>
    </row>
    <row r="254" spans="1:22">
      <c r="A254" t="s">
        <v>693</v>
      </c>
      <c r="B254" s="3">
        <v>45570</v>
      </c>
      <c r="C254" s="3">
        <v>45571</v>
      </c>
      <c r="D254" t="s">
        <v>694</v>
      </c>
      <c r="E254" t="s">
        <v>695</v>
      </c>
      <c r="F254" t="s">
        <v>89</v>
      </c>
      <c r="G254" t="s">
        <v>194</v>
      </c>
      <c r="H254" t="s">
        <v>225</v>
      </c>
      <c r="I254" t="s">
        <v>226</v>
      </c>
      <c r="J254" t="s">
        <v>129</v>
      </c>
      <c r="K254" t="s">
        <v>79</v>
      </c>
      <c r="L254" t="s">
        <v>207</v>
      </c>
      <c r="M254" t="s">
        <v>208</v>
      </c>
      <c r="N254" t="s">
        <v>120</v>
      </c>
      <c r="O254" t="s">
        <v>164</v>
      </c>
      <c r="P254">
        <v>3</v>
      </c>
      <c r="Q254" s="4">
        <v>1327.72</v>
      </c>
      <c r="R254" s="5">
        <v>0.11</v>
      </c>
      <c r="S254" s="4">
        <v>5.47</v>
      </c>
      <c r="T254" t="s">
        <v>122</v>
      </c>
      <c r="U254" t="s">
        <v>85</v>
      </c>
      <c r="V254">
        <v>5</v>
      </c>
    </row>
    <row r="255" spans="1:22">
      <c r="A255" t="s">
        <v>696</v>
      </c>
      <c r="B255" s="3">
        <v>45573</v>
      </c>
      <c r="C255" s="3">
        <v>45579</v>
      </c>
      <c r="D255" t="s">
        <v>378</v>
      </c>
      <c r="E255" t="s">
        <v>379</v>
      </c>
      <c r="F255" t="s">
        <v>152</v>
      </c>
      <c r="G255" t="s">
        <v>126</v>
      </c>
      <c r="H255" t="s">
        <v>160</v>
      </c>
      <c r="I255" t="s">
        <v>161</v>
      </c>
      <c r="J255" t="s">
        <v>219</v>
      </c>
      <c r="K255" t="s">
        <v>130</v>
      </c>
      <c r="L255" t="s">
        <v>162</v>
      </c>
      <c r="M255" t="s">
        <v>163</v>
      </c>
      <c r="N255" t="s">
        <v>120</v>
      </c>
      <c r="O255" t="s">
        <v>164</v>
      </c>
      <c r="P255">
        <v>1</v>
      </c>
      <c r="Q255" s="4">
        <v>901.42</v>
      </c>
      <c r="R255" s="5">
        <v>0.11</v>
      </c>
      <c r="S255" s="4">
        <v>10.49</v>
      </c>
      <c r="T255" t="s">
        <v>122</v>
      </c>
      <c r="U255" t="s">
        <v>85</v>
      </c>
    </row>
    <row r="256" spans="1:22">
      <c r="A256" t="s">
        <v>697</v>
      </c>
      <c r="B256" s="3">
        <v>45574</v>
      </c>
      <c r="C256" s="3">
        <v>45585</v>
      </c>
      <c r="D256" t="s">
        <v>698</v>
      </c>
      <c r="E256" t="s">
        <v>699</v>
      </c>
      <c r="F256" t="s">
        <v>74</v>
      </c>
      <c r="G256" t="s">
        <v>138</v>
      </c>
      <c r="H256" t="s">
        <v>457</v>
      </c>
      <c r="I256" t="s">
        <v>458</v>
      </c>
      <c r="J256" t="s">
        <v>78</v>
      </c>
      <c r="K256" t="s">
        <v>79</v>
      </c>
      <c r="L256" t="s">
        <v>214</v>
      </c>
      <c r="M256" t="s">
        <v>215</v>
      </c>
      <c r="N256" t="s">
        <v>103</v>
      </c>
      <c r="O256" t="s">
        <v>171</v>
      </c>
      <c r="P256">
        <v>9</v>
      </c>
      <c r="Q256" s="4">
        <v>12.29</v>
      </c>
      <c r="R256" s="5">
        <v>0.02</v>
      </c>
      <c r="S256" s="4">
        <v>11.48</v>
      </c>
      <c r="T256" t="s">
        <v>105</v>
      </c>
      <c r="U256" t="s">
        <v>85</v>
      </c>
      <c r="V256">
        <v>4</v>
      </c>
    </row>
    <row r="257" spans="1:22">
      <c r="A257" t="s">
        <v>700</v>
      </c>
      <c r="B257" s="3">
        <v>45575</v>
      </c>
      <c r="C257" s="3">
        <v>45576</v>
      </c>
      <c r="D257" t="s">
        <v>472</v>
      </c>
      <c r="E257" t="s">
        <v>272</v>
      </c>
      <c r="F257" t="s">
        <v>89</v>
      </c>
      <c r="G257" t="s">
        <v>194</v>
      </c>
      <c r="H257" t="s">
        <v>240</v>
      </c>
      <c r="I257" t="s">
        <v>241</v>
      </c>
      <c r="J257" t="s">
        <v>109</v>
      </c>
      <c r="K257" t="s">
        <v>147</v>
      </c>
      <c r="L257" t="s">
        <v>162</v>
      </c>
      <c r="M257" t="s">
        <v>163</v>
      </c>
      <c r="N257" t="s">
        <v>120</v>
      </c>
      <c r="O257" t="s">
        <v>164</v>
      </c>
      <c r="P257">
        <v>3</v>
      </c>
      <c r="Q257" s="4">
        <v>920.41</v>
      </c>
      <c r="R257" s="5">
        <v>0.06</v>
      </c>
      <c r="S257" s="4">
        <v>12.03</v>
      </c>
      <c r="T257" t="s">
        <v>122</v>
      </c>
      <c r="U257" t="s">
        <v>85</v>
      </c>
      <c r="V257">
        <v>2</v>
      </c>
    </row>
    <row r="258" spans="1:22">
      <c r="A258" t="s">
        <v>701</v>
      </c>
      <c r="B258" s="3">
        <v>45575</v>
      </c>
      <c r="C258" s="3">
        <v>45583</v>
      </c>
      <c r="D258" t="s">
        <v>276</v>
      </c>
      <c r="E258" t="s">
        <v>277</v>
      </c>
      <c r="F258" t="s">
        <v>152</v>
      </c>
      <c r="G258" t="s">
        <v>75</v>
      </c>
      <c r="H258" t="s">
        <v>212</v>
      </c>
      <c r="I258" t="s">
        <v>213</v>
      </c>
      <c r="J258" t="s">
        <v>129</v>
      </c>
      <c r="K258" t="s">
        <v>147</v>
      </c>
      <c r="L258" t="s">
        <v>242</v>
      </c>
      <c r="M258" t="s">
        <v>243</v>
      </c>
      <c r="N258" t="s">
        <v>120</v>
      </c>
      <c r="O258" t="s">
        <v>133</v>
      </c>
      <c r="P258">
        <v>4</v>
      </c>
      <c r="Q258" s="4">
        <v>194.7</v>
      </c>
      <c r="R258" s="5">
        <v>0.02</v>
      </c>
      <c r="S258" s="4">
        <v>15.42</v>
      </c>
      <c r="T258" t="s">
        <v>105</v>
      </c>
      <c r="U258" t="s">
        <v>85</v>
      </c>
      <c r="V258">
        <v>5</v>
      </c>
    </row>
    <row r="259" spans="1:22">
      <c r="A259" t="s">
        <v>702</v>
      </c>
      <c r="B259" s="3">
        <v>45576</v>
      </c>
      <c r="C259" s="3">
        <v>45582</v>
      </c>
      <c r="D259" t="s">
        <v>463</v>
      </c>
      <c r="E259" t="s">
        <v>464</v>
      </c>
      <c r="F259" t="s">
        <v>152</v>
      </c>
      <c r="G259" t="s">
        <v>194</v>
      </c>
      <c r="H259" t="s">
        <v>202</v>
      </c>
      <c r="I259" t="s">
        <v>203</v>
      </c>
      <c r="J259" t="s">
        <v>219</v>
      </c>
      <c r="K259" t="s">
        <v>147</v>
      </c>
      <c r="L259" t="s">
        <v>110</v>
      </c>
      <c r="M259" t="s">
        <v>111</v>
      </c>
      <c r="N259" t="s">
        <v>82</v>
      </c>
      <c r="O259" t="s">
        <v>112</v>
      </c>
      <c r="P259">
        <v>2</v>
      </c>
      <c r="Q259" s="4">
        <v>310.82</v>
      </c>
      <c r="R259" s="5">
        <v>0.11</v>
      </c>
      <c r="S259" s="4">
        <v>7</v>
      </c>
      <c r="T259" t="s">
        <v>84</v>
      </c>
      <c r="U259" t="s">
        <v>85</v>
      </c>
      <c r="V259">
        <v>3</v>
      </c>
    </row>
    <row r="260" spans="1:22">
      <c r="A260" t="s">
        <v>703</v>
      </c>
      <c r="B260" s="3">
        <v>45576</v>
      </c>
      <c r="C260" s="3">
        <v>45581</v>
      </c>
      <c r="D260" t="s">
        <v>704</v>
      </c>
      <c r="E260" t="s">
        <v>705</v>
      </c>
      <c r="F260" t="s">
        <v>89</v>
      </c>
      <c r="G260" t="s">
        <v>138</v>
      </c>
      <c r="H260" t="s">
        <v>186</v>
      </c>
      <c r="I260" t="s">
        <v>187</v>
      </c>
      <c r="J260" t="s">
        <v>129</v>
      </c>
      <c r="K260" t="s">
        <v>168</v>
      </c>
      <c r="L260" t="s">
        <v>162</v>
      </c>
      <c r="M260" t="s">
        <v>163</v>
      </c>
      <c r="N260" t="s">
        <v>120</v>
      </c>
      <c r="O260" t="s">
        <v>164</v>
      </c>
      <c r="P260">
        <v>3</v>
      </c>
      <c r="Q260" s="4">
        <v>845.52</v>
      </c>
      <c r="R260" s="5">
        <v>0.1</v>
      </c>
      <c r="S260" s="4">
        <v>12.6</v>
      </c>
      <c r="T260" t="s">
        <v>122</v>
      </c>
      <c r="U260" t="s">
        <v>85</v>
      </c>
      <c r="V260">
        <v>1</v>
      </c>
    </row>
    <row r="261" spans="1:22">
      <c r="A261" t="s">
        <v>706</v>
      </c>
      <c r="B261" s="3">
        <v>45576</v>
      </c>
      <c r="C261" s="3">
        <v>45580</v>
      </c>
      <c r="D261" t="s">
        <v>541</v>
      </c>
      <c r="E261" t="s">
        <v>542</v>
      </c>
      <c r="F261" t="s">
        <v>89</v>
      </c>
      <c r="G261" t="s">
        <v>138</v>
      </c>
      <c r="H261" t="s">
        <v>139</v>
      </c>
      <c r="I261" t="s">
        <v>140</v>
      </c>
      <c r="J261" t="s">
        <v>129</v>
      </c>
      <c r="K261" t="s">
        <v>90</v>
      </c>
      <c r="L261" t="s">
        <v>197</v>
      </c>
      <c r="M261" t="s">
        <v>198</v>
      </c>
      <c r="N261" t="s">
        <v>120</v>
      </c>
      <c r="O261" t="s">
        <v>121</v>
      </c>
      <c r="P261">
        <v>3</v>
      </c>
      <c r="Q261" s="4">
        <v>512.22</v>
      </c>
      <c r="R261" s="5">
        <v>0.01</v>
      </c>
      <c r="S261" s="4">
        <v>11.84</v>
      </c>
      <c r="T261" t="s">
        <v>134</v>
      </c>
      <c r="U261" t="s">
        <v>85</v>
      </c>
      <c r="V261">
        <v>3</v>
      </c>
    </row>
    <row r="262" spans="1:22">
      <c r="A262" t="s">
        <v>707</v>
      </c>
      <c r="B262" s="3">
        <v>45577</v>
      </c>
      <c r="C262" s="3">
        <v>45583</v>
      </c>
      <c r="D262" t="s">
        <v>474</v>
      </c>
      <c r="E262" t="s">
        <v>475</v>
      </c>
      <c r="F262" t="s">
        <v>74</v>
      </c>
      <c r="G262" t="s">
        <v>138</v>
      </c>
      <c r="H262" t="s">
        <v>153</v>
      </c>
      <c r="I262" t="s">
        <v>154</v>
      </c>
      <c r="J262" t="s">
        <v>219</v>
      </c>
      <c r="K262" t="s">
        <v>90</v>
      </c>
      <c r="L262" t="s">
        <v>220</v>
      </c>
      <c r="M262" t="s">
        <v>221</v>
      </c>
      <c r="N262" t="s">
        <v>93</v>
      </c>
      <c r="O262" t="s">
        <v>177</v>
      </c>
      <c r="P262">
        <v>3</v>
      </c>
      <c r="Q262" s="4">
        <v>228.02</v>
      </c>
      <c r="R262" s="5">
        <v>0.05</v>
      </c>
      <c r="S262" s="4">
        <v>20.48</v>
      </c>
      <c r="T262" t="s">
        <v>105</v>
      </c>
      <c r="U262" t="s">
        <v>85</v>
      </c>
      <c r="V262">
        <v>2</v>
      </c>
    </row>
    <row r="263" spans="1:22">
      <c r="A263" t="s">
        <v>708</v>
      </c>
      <c r="B263" s="3">
        <v>45578</v>
      </c>
      <c r="C263" s="3">
        <v>45582</v>
      </c>
      <c r="D263" t="s">
        <v>630</v>
      </c>
      <c r="E263" t="s">
        <v>631</v>
      </c>
      <c r="F263" t="s">
        <v>152</v>
      </c>
      <c r="G263" t="s">
        <v>126</v>
      </c>
      <c r="H263" t="s">
        <v>160</v>
      </c>
      <c r="I263" t="s">
        <v>182</v>
      </c>
      <c r="J263" t="s">
        <v>129</v>
      </c>
      <c r="K263" t="s">
        <v>79</v>
      </c>
      <c r="L263" t="s">
        <v>249</v>
      </c>
      <c r="M263" t="s">
        <v>250</v>
      </c>
      <c r="N263" t="s">
        <v>103</v>
      </c>
      <c r="O263" t="s">
        <v>251</v>
      </c>
      <c r="P263">
        <v>10</v>
      </c>
      <c r="Q263" s="4">
        <v>22.83</v>
      </c>
      <c r="R263" s="5">
        <v>0.32</v>
      </c>
      <c r="S263" s="4">
        <v>11.13</v>
      </c>
      <c r="T263" t="s">
        <v>105</v>
      </c>
      <c r="U263" t="s">
        <v>85</v>
      </c>
      <c r="V263">
        <v>3</v>
      </c>
    </row>
    <row r="264" spans="1:22">
      <c r="A264" t="s">
        <v>709</v>
      </c>
      <c r="B264" s="3">
        <v>45578</v>
      </c>
      <c r="C264" s="3">
        <v>45588</v>
      </c>
      <c r="D264" t="s">
        <v>556</v>
      </c>
      <c r="E264" t="s">
        <v>557</v>
      </c>
      <c r="F264" t="s">
        <v>152</v>
      </c>
      <c r="G264" t="s">
        <v>75</v>
      </c>
      <c r="H264" t="s">
        <v>212</v>
      </c>
      <c r="I264" t="s">
        <v>213</v>
      </c>
      <c r="J264" t="s">
        <v>129</v>
      </c>
      <c r="K264" t="s">
        <v>168</v>
      </c>
      <c r="L264" t="s">
        <v>188</v>
      </c>
      <c r="M264" t="s">
        <v>189</v>
      </c>
      <c r="N264" t="s">
        <v>120</v>
      </c>
      <c r="O264" t="s">
        <v>190</v>
      </c>
      <c r="P264">
        <v>2</v>
      </c>
      <c r="Q264" s="4">
        <v>55.92</v>
      </c>
      <c r="R264" s="5">
        <v>7.0000000000000007E-2</v>
      </c>
      <c r="S264" s="4">
        <v>18.18</v>
      </c>
      <c r="T264" t="s">
        <v>84</v>
      </c>
      <c r="U264" t="s">
        <v>85</v>
      </c>
      <c r="V264">
        <v>5</v>
      </c>
    </row>
    <row r="265" spans="1:22">
      <c r="A265" t="s">
        <v>710</v>
      </c>
      <c r="B265" s="3">
        <v>45578</v>
      </c>
      <c r="C265" s="3">
        <v>45581</v>
      </c>
      <c r="D265" t="s">
        <v>550</v>
      </c>
      <c r="E265" t="s">
        <v>218</v>
      </c>
      <c r="F265" t="s">
        <v>152</v>
      </c>
      <c r="G265" t="s">
        <v>126</v>
      </c>
      <c r="H265" t="s">
        <v>127</v>
      </c>
      <c r="I265" t="s">
        <v>128</v>
      </c>
      <c r="J265" t="s">
        <v>109</v>
      </c>
      <c r="K265" t="s">
        <v>79</v>
      </c>
      <c r="L265" t="s">
        <v>155</v>
      </c>
      <c r="M265" t="s">
        <v>156</v>
      </c>
      <c r="N265" t="s">
        <v>82</v>
      </c>
      <c r="O265" t="s">
        <v>112</v>
      </c>
      <c r="P265">
        <v>4</v>
      </c>
      <c r="Q265" s="4">
        <v>166.63</v>
      </c>
      <c r="R265" s="5">
        <v>0.04</v>
      </c>
      <c r="S265" s="4">
        <v>12.14</v>
      </c>
      <c r="T265" t="s">
        <v>122</v>
      </c>
      <c r="U265" t="s">
        <v>85</v>
      </c>
    </row>
    <row r="266" spans="1:22">
      <c r="A266" t="s">
        <v>711</v>
      </c>
      <c r="B266" s="3">
        <v>45580</v>
      </c>
      <c r="C266" s="3">
        <v>45588</v>
      </c>
      <c r="D266" t="s">
        <v>712</v>
      </c>
      <c r="E266" t="s">
        <v>515</v>
      </c>
      <c r="F266" t="s">
        <v>152</v>
      </c>
      <c r="G266" t="s">
        <v>138</v>
      </c>
      <c r="H266" t="s">
        <v>153</v>
      </c>
      <c r="I266" t="s">
        <v>154</v>
      </c>
      <c r="J266" t="s">
        <v>129</v>
      </c>
      <c r="K266" t="s">
        <v>168</v>
      </c>
      <c r="L266" t="s">
        <v>118</v>
      </c>
      <c r="M266" t="s">
        <v>119</v>
      </c>
      <c r="N266" t="s">
        <v>120</v>
      </c>
      <c r="O266" t="s">
        <v>121</v>
      </c>
      <c r="P266">
        <v>2</v>
      </c>
      <c r="Q266" s="4">
        <v>292.77</v>
      </c>
      <c r="R266" s="5">
        <v>0.01</v>
      </c>
      <c r="S266" s="4">
        <v>21.08</v>
      </c>
      <c r="T266" t="s">
        <v>134</v>
      </c>
      <c r="U266" t="s">
        <v>85</v>
      </c>
      <c r="V266">
        <v>3</v>
      </c>
    </row>
    <row r="267" spans="1:22">
      <c r="A267" t="s">
        <v>713</v>
      </c>
      <c r="B267" s="3">
        <v>45580</v>
      </c>
      <c r="C267" s="3">
        <v>45581</v>
      </c>
      <c r="D267" t="s">
        <v>714</v>
      </c>
      <c r="E267" t="s">
        <v>715</v>
      </c>
      <c r="F267" t="s">
        <v>89</v>
      </c>
      <c r="G267" t="s">
        <v>126</v>
      </c>
      <c r="H267" t="s">
        <v>160</v>
      </c>
      <c r="I267" t="s">
        <v>161</v>
      </c>
      <c r="J267" t="s">
        <v>219</v>
      </c>
      <c r="K267" t="s">
        <v>79</v>
      </c>
      <c r="L267" t="s">
        <v>254</v>
      </c>
      <c r="M267" t="s">
        <v>255</v>
      </c>
      <c r="N267" t="s">
        <v>716</v>
      </c>
      <c r="O267" t="s">
        <v>83</v>
      </c>
      <c r="P267">
        <v>5</v>
      </c>
      <c r="Q267" s="4">
        <v>95.8</v>
      </c>
      <c r="R267" s="5">
        <v>0.05</v>
      </c>
      <c r="S267" s="4">
        <v>10.61</v>
      </c>
      <c r="T267" t="s">
        <v>122</v>
      </c>
      <c r="U267" t="s">
        <v>85</v>
      </c>
      <c r="V267">
        <v>5</v>
      </c>
    </row>
    <row r="268" spans="1:22">
      <c r="A268" t="s">
        <v>717</v>
      </c>
      <c r="B268" s="3">
        <v>45580</v>
      </c>
      <c r="C268" s="3">
        <v>45587</v>
      </c>
      <c r="D268" t="s">
        <v>583</v>
      </c>
      <c r="E268" t="s">
        <v>584</v>
      </c>
      <c r="F268" t="s">
        <v>89</v>
      </c>
      <c r="G268" t="s">
        <v>138</v>
      </c>
      <c r="H268" t="s">
        <v>139</v>
      </c>
      <c r="I268" t="s">
        <v>140</v>
      </c>
      <c r="J268" t="s">
        <v>78</v>
      </c>
      <c r="K268" t="s">
        <v>130</v>
      </c>
      <c r="L268" t="s">
        <v>110</v>
      </c>
      <c r="M268" t="s">
        <v>111</v>
      </c>
      <c r="N268" t="s">
        <v>82</v>
      </c>
      <c r="O268" t="s">
        <v>112</v>
      </c>
      <c r="P268">
        <v>1</v>
      </c>
      <c r="Q268" s="4">
        <v>311.73</v>
      </c>
      <c r="R268" s="5">
        <v>0.12</v>
      </c>
      <c r="S268" s="4">
        <v>10.82</v>
      </c>
      <c r="T268" t="s">
        <v>84</v>
      </c>
      <c r="U268" t="s">
        <v>85</v>
      </c>
      <c r="V268">
        <v>1</v>
      </c>
    </row>
    <row r="269" spans="1:22">
      <c r="A269" t="s">
        <v>718</v>
      </c>
      <c r="B269" s="3">
        <v>45580</v>
      </c>
      <c r="C269" s="3">
        <v>45584</v>
      </c>
      <c r="D269" t="s">
        <v>87</v>
      </c>
      <c r="E269" t="s">
        <v>88</v>
      </c>
      <c r="F269" t="s">
        <v>89</v>
      </c>
      <c r="G269" t="s">
        <v>75</v>
      </c>
      <c r="H269" t="s">
        <v>76</v>
      </c>
      <c r="I269" t="s">
        <v>77</v>
      </c>
      <c r="J269" t="s">
        <v>219</v>
      </c>
      <c r="K269" t="s">
        <v>168</v>
      </c>
      <c r="L269" t="s">
        <v>261</v>
      </c>
      <c r="M269" t="s">
        <v>262</v>
      </c>
      <c r="N269" t="s">
        <v>103</v>
      </c>
      <c r="O269" t="s">
        <v>104</v>
      </c>
      <c r="P269">
        <v>7</v>
      </c>
      <c r="Q269" s="4">
        <v>28.01</v>
      </c>
      <c r="R269" s="5">
        <v>0.31</v>
      </c>
      <c r="S269" s="4">
        <v>9.94</v>
      </c>
      <c r="T269" t="s">
        <v>84</v>
      </c>
      <c r="U269" t="s">
        <v>85</v>
      </c>
      <c r="V269">
        <v>4</v>
      </c>
    </row>
    <row r="270" spans="1:22">
      <c r="A270" t="s">
        <v>719</v>
      </c>
      <c r="B270" s="3">
        <v>45581</v>
      </c>
      <c r="C270" s="3">
        <v>45591</v>
      </c>
      <c r="D270" t="s">
        <v>720</v>
      </c>
      <c r="E270" t="s">
        <v>721</v>
      </c>
      <c r="F270" t="s">
        <v>89</v>
      </c>
      <c r="G270" t="s">
        <v>75</v>
      </c>
      <c r="H270" t="s">
        <v>212</v>
      </c>
      <c r="I270" t="s">
        <v>213</v>
      </c>
      <c r="J270" t="s">
        <v>129</v>
      </c>
      <c r="K270" t="s">
        <v>90</v>
      </c>
      <c r="L270" t="s">
        <v>175</v>
      </c>
      <c r="M270" t="s">
        <v>176</v>
      </c>
      <c r="N270" t="s">
        <v>93</v>
      </c>
      <c r="O270" t="s">
        <v>177</v>
      </c>
      <c r="P270">
        <v>1</v>
      </c>
      <c r="Q270" s="4">
        <v>166.95</v>
      </c>
      <c r="R270" s="5">
        <v>0.11</v>
      </c>
      <c r="S270" s="4">
        <v>24.17</v>
      </c>
      <c r="T270" t="s">
        <v>122</v>
      </c>
      <c r="U270" t="s">
        <v>85</v>
      </c>
      <c r="V270">
        <v>5</v>
      </c>
    </row>
    <row r="271" spans="1:22">
      <c r="A271" t="s">
        <v>722</v>
      </c>
      <c r="B271" s="3">
        <v>45584</v>
      </c>
      <c r="C271" s="3">
        <v>45590</v>
      </c>
      <c r="D271" t="s">
        <v>692</v>
      </c>
      <c r="E271" t="s">
        <v>193</v>
      </c>
      <c r="F271" t="s">
        <v>74</v>
      </c>
      <c r="G271" t="s">
        <v>194</v>
      </c>
      <c r="H271" t="s">
        <v>202</v>
      </c>
      <c r="I271" t="s">
        <v>203</v>
      </c>
      <c r="J271" t="s">
        <v>129</v>
      </c>
      <c r="K271" t="s">
        <v>79</v>
      </c>
      <c r="L271" t="s">
        <v>101</v>
      </c>
      <c r="M271" t="s">
        <v>102</v>
      </c>
      <c r="N271" t="s">
        <v>103</v>
      </c>
      <c r="O271" t="s">
        <v>104</v>
      </c>
      <c r="P271">
        <v>5</v>
      </c>
      <c r="Q271" s="4">
        <v>72.11</v>
      </c>
      <c r="R271" s="5">
        <v>0.1</v>
      </c>
      <c r="S271" s="4">
        <v>7.12</v>
      </c>
      <c r="T271" t="s">
        <v>84</v>
      </c>
      <c r="U271" t="s">
        <v>85</v>
      </c>
      <c r="V271">
        <v>1</v>
      </c>
    </row>
    <row r="272" spans="1:22">
      <c r="A272" t="s">
        <v>723</v>
      </c>
      <c r="B272" s="3">
        <v>45584</v>
      </c>
      <c r="C272" s="3">
        <v>45591</v>
      </c>
      <c r="D272" t="s">
        <v>448</v>
      </c>
      <c r="E272" t="s">
        <v>449</v>
      </c>
      <c r="F272" t="s">
        <v>89</v>
      </c>
      <c r="G272" t="s">
        <v>126</v>
      </c>
      <c r="H272" t="s">
        <v>160</v>
      </c>
      <c r="I272" t="s">
        <v>182</v>
      </c>
      <c r="J272" t="s">
        <v>219</v>
      </c>
      <c r="K272" t="s">
        <v>90</v>
      </c>
      <c r="L272" t="s">
        <v>118</v>
      </c>
      <c r="M272" t="s">
        <v>119</v>
      </c>
      <c r="N272" t="s">
        <v>120</v>
      </c>
      <c r="O272" t="s">
        <v>121</v>
      </c>
      <c r="P272">
        <v>3</v>
      </c>
      <c r="Q272" s="4">
        <v>301.48</v>
      </c>
      <c r="R272" s="5">
        <v>0.05</v>
      </c>
      <c r="S272" s="4">
        <v>16.010000000000002</v>
      </c>
      <c r="T272" t="s">
        <v>84</v>
      </c>
      <c r="U272" t="s">
        <v>85</v>
      </c>
      <c r="V272">
        <v>3</v>
      </c>
    </row>
    <row r="273" spans="1:22">
      <c r="A273" t="s">
        <v>724</v>
      </c>
      <c r="B273" s="3">
        <v>45588</v>
      </c>
      <c r="C273" s="3">
        <v>45598</v>
      </c>
      <c r="D273" t="s">
        <v>487</v>
      </c>
      <c r="E273" t="s">
        <v>470</v>
      </c>
      <c r="F273" t="s">
        <v>152</v>
      </c>
      <c r="G273" t="s">
        <v>75</v>
      </c>
      <c r="H273" t="s">
        <v>98</v>
      </c>
      <c r="I273" t="s">
        <v>99</v>
      </c>
      <c r="J273" t="s">
        <v>219</v>
      </c>
      <c r="K273" t="s">
        <v>90</v>
      </c>
      <c r="L273" t="s">
        <v>162</v>
      </c>
      <c r="M273" t="s">
        <v>163</v>
      </c>
      <c r="N273" t="s">
        <v>120</v>
      </c>
      <c r="O273" t="s">
        <v>164</v>
      </c>
      <c r="P273">
        <v>4</v>
      </c>
      <c r="Q273" s="4">
        <v>914.86</v>
      </c>
      <c r="R273" s="5">
        <v>0.06</v>
      </c>
      <c r="S273" s="4">
        <v>12.69</v>
      </c>
      <c r="T273" t="s">
        <v>84</v>
      </c>
      <c r="U273" t="s">
        <v>85</v>
      </c>
      <c r="V273">
        <v>5</v>
      </c>
    </row>
    <row r="274" spans="1:22">
      <c r="A274" t="s">
        <v>725</v>
      </c>
      <c r="B274" s="3">
        <v>45589</v>
      </c>
      <c r="C274" s="3">
        <v>45595</v>
      </c>
      <c r="D274" t="s">
        <v>445</v>
      </c>
      <c r="E274" t="s">
        <v>446</v>
      </c>
      <c r="F274" t="s">
        <v>152</v>
      </c>
      <c r="G274" t="s">
        <v>126</v>
      </c>
      <c r="H274" t="s">
        <v>160</v>
      </c>
      <c r="I274" t="s">
        <v>182</v>
      </c>
      <c r="J274" t="s">
        <v>219</v>
      </c>
      <c r="K274" t="s">
        <v>130</v>
      </c>
      <c r="L274" t="s">
        <v>207</v>
      </c>
      <c r="M274" t="s">
        <v>208</v>
      </c>
      <c r="N274" t="s">
        <v>120</v>
      </c>
      <c r="O274" t="s">
        <v>164</v>
      </c>
      <c r="P274">
        <v>4</v>
      </c>
      <c r="Q274" s="4">
        <v>1439.48</v>
      </c>
      <c r="R274" s="5">
        <v>0.08</v>
      </c>
      <c r="S274" s="4">
        <v>20.86</v>
      </c>
      <c r="T274" t="s">
        <v>84</v>
      </c>
      <c r="U274" t="s">
        <v>85</v>
      </c>
      <c r="V274">
        <v>1</v>
      </c>
    </row>
    <row r="275" spans="1:22">
      <c r="A275" t="s">
        <v>726</v>
      </c>
      <c r="B275" s="3">
        <v>45590</v>
      </c>
      <c r="C275" s="3">
        <v>45598</v>
      </c>
      <c r="D275" t="s">
        <v>396</v>
      </c>
      <c r="E275" t="s">
        <v>397</v>
      </c>
      <c r="F275" t="s">
        <v>152</v>
      </c>
      <c r="G275" t="s">
        <v>138</v>
      </c>
      <c r="H275" t="s">
        <v>186</v>
      </c>
      <c r="I275" t="s">
        <v>187</v>
      </c>
      <c r="J275" t="s">
        <v>78</v>
      </c>
      <c r="K275" t="s">
        <v>147</v>
      </c>
      <c r="L275" t="s">
        <v>254</v>
      </c>
      <c r="M275" t="s">
        <v>255</v>
      </c>
      <c r="N275" t="s">
        <v>82</v>
      </c>
      <c r="O275" t="s">
        <v>83</v>
      </c>
      <c r="P275">
        <v>10</v>
      </c>
      <c r="Q275" s="4">
        <v>91.59</v>
      </c>
      <c r="R275" s="5">
        <v>7.0000000000000007E-2</v>
      </c>
      <c r="S275" s="4">
        <v>15</v>
      </c>
      <c r="T275" t="s">
        <v>134</v>
      </c>
      <c r="U275" t="s">
        <v>85</v>
      </c>
      <c r="V275">
        <v>5</v>
      </c>
    </row>
    <row r="276" spans="1:22">
      <c r="A276" t="s">
        <v>727</v>
      </c>
      <c r="B276" s="3">
        <v>45590</v>
      </c>
      <c r="C276" s="3">
        <v>45596</v>
      </c>
      <c r="D276" t="s">
        <v>728</v>
      </c>
      <c r="E276" t="s">
        <v>333</v>
      </c>
      <c r="F276" t="s">
        <v>89</v>
      </c>
      <c r="G276" t="s">
        <v>194</v>
      </c>
      <c r="H276" t="s">
        <v>195</v>
      </c>
      <c r="I276" t="s">
        <v>196</v>
      </c>
      <c r="J276" t="s">
        <v>78</v>
      </c>
      <c r="K276" t="s">
        <v>79</v>
      </c>
      <c r="L276" t="s">
        <v>214</v>
      </c>
      <c r="M276" t="s">
        <v>215</v>
      </c>
      <c r="N276" t="s">
        <v>103</v>
      </c>
      <c r="O276" t="s">
        <v>171</v>
      </c>
      <c r="P276">
        <v>10</v>
      </c>
      <c r="Q276" s="4">
        <v>11.81</v>
      </c>
      <c r="R276" s="5">
        <v>0.02</v>
      </c>
      <c r="S276" s="4">
        <v>8.36</v>
      </c>
      <c r="T276" t="s">
        <v>105</v>
      </c>
      <c r="U276" t="s">
        <v>85</v>
      </c>
      <c r="V276">
        <v>1</v>
      </c>
    </row>
    <row r="277" spans="1:22">
      <c r="A277" t="s">
        <v>729</v>
      </c>
      <c r="B277" s="3">
        <v>45590</v>
      </c>
      <c r="C277" s="3">
        <v>45591</v>
      </c>
      <c r="D277" t="s">
        <v>413</v>
      </c>
      <c r="E277" t="s">
        <v>414</v>
      </c>
      <c r="F277" t="s">
        <v>89</v>
      </c>
      <c r="G277" t="s">
        <v>138</v>
      </c>
      <c r="H277" t="s">
        <v>139</v>
      </c>
      <c r="I277" t="s">
        <v>140</v>
      </c>
      <c r="J277" t="s">
        <v>109</v>
      </c>
      <c r="K277" t="s">
        <v>90</v>
      </c>
      <c r="L277" t="s">
        <v>214</v>
      </c>
      <c r="M277" t="s">
        <v>215</v>
      </c>
      <c r="N277" t="s">
        <v>103</v>
      </c>
      <c r="O277" t="s">
        <v>171</v>
      </c>
      <c r="P277">
        <v>6</v>
      </c>
      <c r="Q277" s="4">
        <v>11.85</v>
      </c>
      <c r="R277" s="5">
        <v>0.08</v>
      </c>
      <c r="S277" s="4">
        <v>16.46</v>
      </c>
      <c r="T277" t="s">
        <v>84</v>
      </c>
      <c r="U277" t="s">
        <v>85</v>
      </c>
      <c r="V277">
        <v>4</v>
      </c>
    </row>
    <row r="278" spans="1:22">
      <c r="A278" t="s">
        <v>730</v>
      </c>
      <c r="B278" s="3">
        <v>45591</v>
      </c>
      <c r="C278" s="3">
        <v>45600</v>
      </c>
      <c r="D278" t="s">
        <v>621</v>
      </c>
      <c r="E278" t="s">
        <v>622</v>
      </c>
      <c r="F278" t="s">
        <v>74</v>
      </c>
      <c r="G278" t="s">
        <v>194</v>
      </c>
      <c r="H278" t="s">
        <v>230</v>
      </c>
      <c r="I278" t="s">
        <v>231</v>
      </c>
      <c r="J278" t="s">
        <v>78</v>
      </c>
      <c r="K278" t="s">
        <v>130</v>
      </c>
      <c r="L278" t="s">
        <v>175</v>
      </c>
      <c r="M278" t="s">
        <v>176</v>
      </c>
      <c r="N278" t="s">
        <v>93</v>
      </c>
      <c r="O278" t="s">
        <v>177</v>
      </c>
      <c r="P278">
        <v>1</v>
      </c>
      <c r="Q278" s="4">
        <v>168.53</v>
      </c>
      <c r="R278" s="5">
        <v>0.05</v>
      </c>
      <c r="S278" s="4">
        <v>27.38</v>
      </c>
      <c r="T278" t="s">
        <v>105</v>
      </c>
      <c r="U278" t="s">
        <v>85</v>
      </c>
      <c r="V278">
        <v>2</v>
      </c>
    </row>
    <row r="279" spans="1:22">
      <c r="A279" t="s">
        <v>731</v>
      </c>
      <c r="B279" s="3">
        <v>45592</v>
      </c>
      <c r="C279" s="3">
        <v>45596</v>
      </c>
      <c r="D279" t="s">
        <v>205</v>
      </c>
      <c r="E279" t="s">
        <v>206</v>
      </c>
      <c r="F279" t="s">
        <v>74</v>
      </c>
      <c r="G279" t="s">
        <v>194</v>
      </c>
      <c r="H279" t="s">
        <v>202</v>
      </c>
      <c r="I279" t="s">
        <v>203</v>
      </c>
      <c r="J279" t="s">
        <v>78</v>
      </c>
      <c r="K279" t="s">
        <v>147</v>
      </c>
      <c r="L279" t="s">
        <v>249</v>
      </c>
      <c r="M279" t="s">
        <v>250</v>
      </c>
      <c r="N279" t="s">
        <v>103</v>
      </c>
      <c r="O279" t="s">
        <v>251</v>
      </c>
      <c r="P279">
        <v>2</v>
      </c>
      <c r="Q279" s="4">
        <v>23.08</v>
      </c>
      <c r="R279" s="5">
        <v>0.09</v>
      </c>
      <c r="S279" s="4">
        <v>14.42</v>
      </c>
      <c r="T279" t="s">
        <v>105</v>
      </c>
      <c r="U279" t="s">
        <v>85</v>
      </c>
      <c r="V279">
        <v>5</v>
      </c>
    </row>
    <row r="280" spans="1:22">
      <c r="A280" t="s">
        <v>732</v>
      </c>
      <c r="B280" s="3">
        <v>45592</v>
      </c>
      <c r="C280" s="3">
        <v>45600</v>
      </c>
      <c r="D280" t="s">
        <v>353</v>
      </c>
      <c r="E280" t="s">
        <v>354</v>
      </c>
      <c r="F280" t="s">
        <v>74</v>
      </c>
      <c r="G280" t="s">
        <v>126</v>
      </c>
      <c r="H280" t="s">
        <v>160</v>
      </c>
      <c r="I280" t="s">
        <v>182</v>
      </c>
      <c r="J280" t="s">
        <v>78</v>
      </c>
      <c r="K280" t="s">
        <v>619</v>
      </c>
      <c r="L280" t="s">
        <v>197</v>
      </c>
      <c r="M280" t="s">
        <v>198</v>
      </c>
      <c r="N280" t="s">
        <v>120</v>
      </c>
      <c r="O280" t="s">
        <v>121</v>
      </c>
      <c r="P280">
        <v>2</v>
      </c>
      <c r="Q280" s="4">
        <v>524.41</v>
      </c>
      <c r="R280" s="5">
        <v>0</v>
      </c>
      <c r="S280" s="4">
        <v>18.21</v>
      </c>
      <c r="T280" t="s">
        <v>105</v>
      </c>
      <c r="U280" t="s">
        <v>85</v>
      </c>
      <c r="V280">
        <v>3</v>
      </c>
    </row>
    <row r="281" spans="1:22">
      <c r="A281" t="s">
        <v>733</v>
      </c>
      <c r="B281" s="3">
        <v>45593</v>
      </c>
      <c r="C281" s="3">
        <v>45603</v>
      </c>
      <c r="D281" t="s">
        <v>368</v>
      </c>
      <c r="E281" t="s">
        <v>369</v>
      </c>
      <c r="F281" t="s">
        <v>89</v>
      </c>
      <c r="G281" t="s">
        <v>194</v>
      </c>
      <c r="H281" t="s">
        <v>240</v>
      </c>
      <c r="I281" t="s">
        <v>241</v>
      </c>
      <c r="J281" t="s">
        <v>129</v>
      </c>
      <c r="K281" t="s">
        <v>168</v>
      </c>
      <c r="L281" t="s">
        <v>359</v>
      </c>
      <c r="M281" t="s">
        <v>360</v>
      </c>
      <c r="N281" t="s">
        <v>93</v>
      </c>
      <c r="O281" t="s">
        <v>94</v>
      </c>
      <c r="P281">
        <v>3</v>
      </c>
      <c r="Q281" s="4">
        <v>437.62</v>
      </c>
      <c r="R281" s="5">
        <v>0.08</v>
      </c>
      <c r="S281" s="4">
        <v>18.350000000000001</v>
      </c>
      <c r="T281" t="s">
        <v>84</v>
      </c>
      <c r="U281" t="s">
        <v>85</v>
      </c>
      <c r="V281">
        <v>4</v>
      </c>
    </row>
    <row r="282" spans="1:22">
      <c r="A282" t="s">
        <v>734</v>
      </c>
      <c r="B282" s="3">
        <v>45594</v>
      </c>
      <c r="C282" s="3">
        <v>45598</v>
      </c>
      <c r="D282" t="s">
        <v>646</v>
      </c>
      <c r="E282" t="s">
        <v>647</v>
      </c>
      <c r="F282" t="s">
        <v>89</v>
      </c>
      <c r="G282" t="s">
        <v>126</v>
      </c>
      <c r="H282" t="s">
        <v>127</v>
      </c>
      <c r="I282" t="s">
        <v>128</v>
      </c>
      <c r="J282" t="s">
        <v>109</v>
      </c>
      <c r="K282" t="s">
        <v>147</v>
      </c>
      <c r="L282" t="s">
        <v>118</v>
      </c>
      <c r="M282" t="s">
        <v>119</v>
      </c>
      <c r="N282" t="s">
        <v>120</v>
      </c>
      <c r="O282" t="s">
        <v>121</v>
      </c>
      <c r="P282">
        <v>3</v>
      </c>
      <c r="Q282" s="4">
        <v>297.10000000000002</v>
      </c>
      <c r="R282" s="5">
        <v>0.1</v>
      </c>
      <c r="S282" s="4">
        <v>15.77</v>
      </c>
      <c r="T282" t="s">
        <v>84</v>
      </c>
      <c r="U282" t="s">
        <v>85</v>
      </c>
      <c r="V282">
        <v>3</v>
      </c>
    </row>
    <row r="283" spans="1:22">
      <c r="A283" t="s">
        <v>735</v>
      </c>
      <c r="B283" s="3">
        <v>45595</v>
      </c>
      <c r="C283" s="3">
        <v>45596</v>
      </c>
      <c r="D283" t="s">
        <v>210</v>
      </c>
      <c r="E283" t="s">
        <v>211</v>
      </c>
      <c r="F283" t="s">
        <v>89</v>
      </c>
      <c r="G283" t="s">
        <v>75</v>
      </c>
      <c r="H283" t="s">
        <v>212</v>
      </c>
      <c r="I283" t="s">
        <v>213</v>
      </c>
      <c r="J283" t="s">
        <v>129</v>
      </c>
      <c r="K283" t="s">
        <v>168</v>
      </c>
      <c r="L283" t="s">
        <v>234</v>
      </c>
      <c r="M283" t="s">
        <v>235</v>
      </c>
      <c r="N283" t="s">
        <v>93</v>
      </c>
      <c r="O283" t="s">
        <v>236</v>
      </c>
      <c r="P283">
        <v>1</v>
      </c>
      <c r="Q283" s="4">
        <v>140.28</v>
      </c>
      <c r="R283" s="5">
        <v>0.12</v>
      </c>
      <c r="S283" s="4">
        <v>21.66</v>
      </c>
      <c r="T283" t="s">
        <v>122</v>
      </c>
      <c r="U283" t="s">
        <v>85</v>
      </c>
      <c r="V283">
        <v>5</v>
      </c>
    </row>
    <row r="284" spans="1:22">
      <c r="A284" t="s">
        <v>736</v>
      </c>
      <c r="B284" s="3">
        <v>45595</v>
      </c>
      <c r="C284" s="3">
        <v>45599</v>
      </c>
      <c r="D284" t="s">
        <v>335</v>
      </c>
      <c r="E284" t="s">
        <v>336</v>
      </c>
      <c r="F284" t="s">
        <v>74</v>
      </c>
      <c r="G284" t="s">
        <v>126</v>
      </c>
      <c r="H284" t="s">
        <v>291</v>
      </c>
      <c r="I284" t="s">
        <v>292</v>
      </c>
      <c r="J284" t="s">
        <v>129</v>
      </c>
      <c r="K284" t="s">
        <v>147</v>
      </c>
      <c r="L284" t="s">
        <v>242</v>
      </c>
      <c r="M284" t="s">
        <v>243</v>
      </c>
      <c r="N284" t="s">
        <v>120</v>
      </c>
      <c r="O284" t="s">
        <v>133</v>
      </c>
      <c r="P284">
        <v>2</v>
      </c>
      <c r="Q284" s="4">
        <v>181.78</v>
      </c>
      <c r="R284" s="5">
        <v>0.03</v>
      </c>
      <c r="S284" s="4">
        <v>9.4</v>
      </c>
      <c r="T284" t="s">
        <v>105</v>
      </c>
      <c r="U284" t="s">
        <v>85</v>
      </c>
      <c r="V284">
        <v>2</v>
      </c>
    </row>
    <row r="285" spans="1:22">
      <c r="A285" t="s">
        <v>737</v>
      </c>
      <c r="B285" s="3">
        <v>45595</v>
      </c>
      <c r="C285" s="3">
        <v>45596</v>
      </c>
      <c r="D285" t="s">
        <v>350</v>
      </c>
      <c r="E285" t="s">
        <v>351</v>
      </c>
      <c r="F285" t="s">
        <v>152</v>
      </c>
      <c r="G285" t="s">
        <v>126</v>
      </c>
      <c r="H285" t="s">
        <v>160</v>
      </c>
      <c r="I285" t="s">
        <v>182</v>
      </c>
      <c r="J285" t="s">
        <v>109</v>
      </c>
      <c r="K285" t="s">
        <v>147</v>
      </c>
      <c r="L285" t="s">
        <v>214</v>
      </c>
      <c r="M285" t="s">
        <v>215</v>
      </c>
      <c r="N285" t="s">
        <v>103</v>
      </c>
      <c r="O285" t="s">
        <v>171</v>
      </c>
      <c r="P285">
        <v>8</v>
      </c>
      <c r="Q285" s="4">
        <v>12.52</v>
      </c>
      <c r="R285" s="5">
        <v>0.31</v>
      </c>
      <c r="S285" s="4">
        <v>7.04</v>
      </c>
      <c r="T285" t="s">
        <v>134</v>
      </c>
      <c r="U285" t="s">
        <v>85</v>
      </c>
      <c r="V285">
        <v>5</v>
      </c>
    </row>
    <row r="286" spans="1:22">
      <c r="A286" t="s">
        <v>738</v>
      </c>
      <c r="B286" s="3">
        <v>45596</v>
      </c>
      <c r="C286" s="3">
        <v>45605</v>
      </c>
      <c r="D286" t="s">
        <v>345</v>
      </c>
      <c r="E286" t="s">
        <v>346</v>
      </c>
      <c r="F286" t="s">
        <v>89</v>
      </c>
      <c r="G286" t="s">
        <v>138</v>
      </c>
      <c r="H286" t="s">
        <v>347</v>
      </c>
      <c r="I286" t="s">
        <v>348</v>
      </c>
      <c r="J286" t="s">
        <v>219</v>
      </c>
      <c r="K286" t="s">
        <v>100</v>
      </c>
      <c r="L286" t="s">
        <v>284</v>
      </c>
      <c r="M286" t="s">
        <v>285</v>
      </c>
      <c r="N286" t="s">
        <v>103</v>
      </c>
      <c r="O286" t="s">
        <v>143</v>
      </c>
      <c r="P286">
        <v>6</v>
      </c>
      <c r="Q286" s="4">
        <v>26.8</v>
      </c>
      <c r="R286" s="5">
        <v>0.03</v>
      </c>
      <c r="S286" s="4">
        <v>10.87</v>
      </c>
      <c r="T286" t="s">
        <v>105</v>
      </c>
      <c r="U286" t="s">
        <v>85</v>
      </c>
      <c r="V286">
        <v>3</v>
      </c>
    </row>
    <row r="287" spans="1:22">
      <c r="A287" t="s">
        <v>739</v>
      </c>
      <c r="B287" s="3">
        <v>45596</v>
      </c>
      <c r="C287" s="3">
        <v>45606</v>
      </c>
      <c r="D287" t="s">
        <v>419</v>
      </c>
      <c r="E287" t="s">
        <v>420</v>
      </c>
      <c r="F287" t="s">
        <v>74</v>
      </c>
      <c r="G287" t="s">
        <v>126</v>
      </c>
      <c r="H287" t="s">
        <v>160</v>
      </c>
      <c r="I287" t="s">
        <v>161</v>
      </c>
      <c r="J287" t="s">
        <v>129</v>
      </c>
      <c r="K287" t="s">
        <v>168</v>
      </c>
      <c r="L287" t="s">
        <v>214</v>
      </c>
      <c r="M287" t="s">
        <v>215</v>
      </c>
      <c r="N287" t="s">
        <v>103</v>
      </c>
      <c r="O287" t="s">
        <v>171</v>
      </c>
      <c r="P287">
        <v>1</v>
      </c>
      <c r="Q287" s="4">
        <v>12.3</v>
      </c>
      <c r="R287" s="5">
        <v>0.05</v>
      </c>
      <c r="S287" s="4">
        <v>7.15</v>
      </c>
      <c r="T287" t="s">
        <v>84</v>
      </c>
      <c r="U287" t="s">
        <v>85</v>
      </c>
    </row>
    <row r="288" spans="1:22">
      <c r="A288" t="s">
        <v>740</v>
      </c>
      <c r="B288" s="3">
        <v>45600</v>
      </c>
      <c r="C288" s="3">
        <v>45601</v>
      </c>
      <c r="D288" t="s">
        <v>460</v>
      </c>
      <c r="E288" t="s">
        <v>461</v>
      </c>
      <c r="F288" t="s">
        <v>74</v>
      </c>
      <c r="G288" t="s">
        <v>75</v>
      </c>
      <c r="H288" t="s">
        <v>273</v>
      </c>
      <c r="I288" t="s">
        <v>274</v>
      </c>
      <c r="J288" t="s">
        <v>219</v>
      </c>
      <c r="K288" t="s">
        <v>147</v>
      </c>
      <c r="L288" t="s">
        <v>359</v>
      </c>
      <c r="M288" t="s">
        <v>360</v>
      </c>
      <c r="N288" t="s">
        <v>93</v>
      </c>
      <c r="O288" t="s">
        <v>94</v>
      </c>
      <c r="P288">
        <v>3</v>
      </c>
      <c r="Q288" s="4">
        <v>451.18</v>
      </c>
      <c r="R288" s="5">
        <v>0.09</v>
      </c>
      <c r="S288" s="4">
        <v>23.31</v>
      </c>
      <c r="T288" t="s">
        <v>105</v>
      </c>
      <c r="U288" t="s">
        <v>85</v>
      </c>
      <c r="V288">
        <v>1</v>
      </c>
    </row>
    <row r="289" spans="1:22">
      <c r="A289" t="s">
        <v>741</v>
      </c>
      <c r="B289" s="3">
        <v>45601</v>
      </c>
      <c r="C289" s="3">
        <v>45606</v>
      </c>
      <c r="D289" t="s">
        <v>522</v>
      </c>
      <c r="E289" t="s">
        <v>512</v>
      </c>
      <c r="F289" t="s">
        <v>74</v>
      </c>
      <c r="G289" t="s">
        <v>194</v>
      </c>
      <c r="H289" t="s">
        <v>230</v>
      </c>
      <c r="I289" t="s">
        <v>231</v>
      </c>
      <c r="J289" t="s">
        <v>109</v>
      </c>
      <c r="K289" t="s">
        <v>79</v>
      </c>
      <c r="L289" t="s">
        <v>118</v>
      </c>
      <c r="M289" t="s">
        <v>119</v>
      </c>
      <c r="N289" t="s">
        <v>120</v>
      </c>
      <c r="O289" t="s">
        <v>121</v>
      </c>
      <c r="P289">
        <v>4</v>
      </c>
      <c r="Q289" s="4">
        <v>305.56</v>
      </c>
      <c r="R289" s="5">
        <v>0.03</v>
      </c>
      <c r="S289" s="4">
        <v>6.84</v>
      </c>
      <c r="T289" t="s">
        <v>84</v>
      </c>
      <c r="U289" t="s">
        <v>85</v>
      </c>
      <c r="V289">
        <v>1</v>
      </c>
    </row>
    <row r="290" spans="1:22">
      <c r="A290" t="s">
        <v>742</v>
      </c>
      <c r="B290" s="3">
        <v>45604</v>
      </c>
      <c r="C290" s="3">
        <v>45607</v>
      </c>
      <c r="D290" t="s">
        <v>345</v>
      </c>
      <c r="E290" t="s">
        <v>346</v>
      </c>
      <c r="F290" t="s">
        <v>89</v>
      </c>
      <c r="G290" t="s">
        <v>138</v>
      </c>
      <c r="H290" t="s">
        <v>347</v>
      </c>
      <c r="I290" t="s">
        <v>348</v>
      </c>
      <c r="J290" t="s">
        <v>109</v>
      </c>
      <c r="K290" t="s">
        <v>79</v>
      </c>
      <c r="L290" t="s">
        <v>207</v>
      </c>
      <c r="M290" t="s">
        <v>208</v>
      </c>
      <c r="N290" t="s">
        <v>120</v>
      </c>
      <c r="O290" t="s">
        <v>164</v>
      </c>
      <c r="P290">
        <v>1</v>
      </c>
      <c r="Q290" s="4">
        <v>1441.36</v>
      </c>
      <c r="R290" s="5">
        <v>0.21</v>
      </c>
      <c r="S290" s="4">
        <v>11.33</v>
      </c>
      <c r="T290" t="s">
        <v>122</v>
      </c>
      <c r="U290" t="s">
        <v>85</v>
      </c>
      <c r="V290">
        <v>4</v>
      </c>
    </row>
    <row r="291" spans="1:22">
      <c r="A291" t="s">
        <v>743</v>
      </c>
      <c r="B291" s="3">
        <v>45608</v>
      </c>
      <c r="C291" s="3">
        <v>45618</v>
      </c>
      <c r="D291" t="s">
        <v>485</v>
      </c>
      <c r="E291" t="s">
        <v>193</v>
      </c>
      <c r="F291" t="s">
        <v>74</v>
      </c>
      <c r="G291" t="s">
        <v>138</v>
      </c>
      <c r="H291" t="s">
        <v>153</v>
      </c>
      <c r="I291" t="s">
        <v>154</v>
      </c>
      <c r="J291" t="s">
        <v>219</v>
      </c>
      <c r="K291" t="s">
        <v>168</v>
      </c>
      <c r="L291" t="s">
        <v>301</v>
      </c>
      <c r="M291" t="s">
        <v>302</v>
      </c>
      <c r="N291" t="s">
        <v>120</v>
      </c>
      <c r="O291" t="s">
        <v>190</v>
      </c>
      <c r="P291">
        <v>0</v>
      </c>
      <c r="Q291" s="4">
        <v>147.16</v>
      </c>
      <c r="R291" s="5">
        <v>0.08</v>
      </c>
      <c r="S291" s="4">
        <v>14.17</v>
      </c>
      <c r="T291" t="s">
        <v>105</v>
      </c>
      <c r="U291" t="s">
        <v>85</v>
      </c>
      <c r="V291">
        <v>2</v>
      </c>
    </row>
    <row r="292" spans="1:22">
      <c r="A292" t="s">
        <v>744</v>
      </c>
      <c r="B292" s="3">
        <v>45608</v>
      </c>
      <c r="C292" s="3">
        <v>45618</v>
      </c>
      <c r="D292" t="s">
        <v>353</v>
      </c>
      <c r="E292" t="s">
        <v>354</v>
      </c>
      <c r="F292" t="s">
        <v>74</v>
      </c>
      <c r="G292" t="s">
        <v>126</v>
      </c>
      <c r="H292" t="s">
        <v>160</v>
      </c>
      <c r="I292" t="s">
        <v>182</v>
      </c>
      <c r="J292" t="s">
        <v>78</v>
      </c>
      <c r="K292" t="s">
        <v>168</v>
      </c>
      <c r="L292" t="s">
        <v>207</v>
      </c>
      <c r="M292" t="s">
        <v>208</v>
      </c>
      <c r="N292" t="s">
        <v>120</v>
      </c>
      <c r="O292" t="s">
        <v>164</v>
      </c>
      <c r="P292">
        <v>4</v>
      </c>
      <c r="Q292" s="4">
        <v>1342.12</v>
      </c>
      <c r="R292" s="5">
        <v>0.06</v>
      </c>
      <c r="S292" s="4">
        <v>6.21</v>
      </c>
      <c r="T292" t="s">
        <v>105</v>
      </c>
      <c r="U292" t="s">
        <v>85</v>
      </c>
      <c r="V292">
        <v>5</v>
      </c>
    </row>
    <row r="293" spans="1:22">
      <c r="A293" t="s">
        <v>745</v>
      </c>
      <c r="B293" s="3">
        <v>45609</v>
      </c>
      <c r="C293" s="3">
        <v>45617</v>
      </c>
      <c r="D293" t="s">
        <v>315</v>
      </c>
      <c r="E293" t="s">
        <v>316</v>
      </c>
      <c r="F293" t="s">
        <v>89</v>
      </c>
      <c r="G293" t="s">
        <v>75</v>
      </c>
      <c r="H293" t="s">
        <v>273</v>
      </c>
      <c r="I293" t="s">
        <v>274</v>
      </c>
      <c r="J293" t="s">
        <v>78</v>
      </c>
      <c r="K293" t="s">
        <v>79</v>
      </c>
      <c r="L293" t="s">
        <v>431</v>
      </c>
      <c r="M293" t="s">
        <v>432</v>
      </c>
      <c r="N293" t="s">
        <v>103</v>
      </c>
      <c r="O293" t="s">
        <v>251</v>
      </c>
      <c r="P293">
        <v>9</v>
      </c>
      <c r="Q293" s="4">
        <v>38.89</v>
      </c>
      <c r="R293" s="5">
        <v>0.01</v>
      </c>
      <c r="S293" s="4">
        <v>14.62</v>
      </c>
      <c r="T293" t="s">
        <v>105</v>
      </c>
      <c r="U293" t="s">
        <v>85</v>
      </c>
      <c r="V293">
        <v>3</v>
      </c>
    </row>
    <row r="294" spans="1:22">
      <c r="A294" t="s">
        <v>746</v>
      </c>
      <c r="B294" s="3">
        <v>45609</v>
      </c>
      <c r="C294" s="3">
        <v>45614</v>
      </c>
      <c r="D294" t="s">
        <v>601</v>
      </c>
      <c r="E294" t="s">
        <v>351</v>
      </c>
      <c r="F294" t="s">
        <v>74</v>
      </c>
      <c r="G294" t="s">
        <v>194</v>
      </c>
      <c r="H294" t="s">
        <v>240</v>
      </c>
      <c r="I294" t="s">
        <v>241</v>
      </c>
      <c r="J294" t="s">
        <v>129</v>
      </c>
      <c r="K294" t="s">
        <v>100</v>
      </c>
      <c r="L294" t="s">
        <v>249</v>
      </c>
      <c r="M294" t="s">
        <v>250</v>
      </c>
      <c r="N294" t="s">
        <v>103</v>
      </c>
      <c r="O294" t="s">
        <v>251</v>
      </c>
      <c r="P294">
        <v>2</v>
      </c>
      <c r="Q294" s="4">
        <v>23.08</v>
      </c>
      <c r="R294" s="5">
        <v>0.08</v>
      </c>
      <c r="S294" s="4">
        <v>14.25</v>
      </c>
      <c r="T294" t="s">
        <v>84</v>
      </c>
      <c r="U294" t="s">
        <v>85</v>
      </c>
      <c r="V294">
        <v>3</v>
      </c>
    </row>
    <row r="295" spans="1:22">
      <c r="A295" t="s">
        <v>747</v>
      </c>
      <c r="B295" s="3">
        <v>45611</v>
      </c>
      <c r="C295" s="3">
        <v>45620</v>
      </c>
      <c r="D295" t="s">
        <v>748</v>
      </c>
      <c r="E295" t="s">
        <v>749</v>
      </c>
      <c r="F295" t="s">
        <v>152</v>
      </c>
      <c r="G295" t="s">
        <v>138</v>
      </c>
      <c r="H295" t="s">
        <v>153</v>
      </c>
      <c r="I295" t="s">
        <v>154</v>
      </c>
      <c r="J295" t="s">
        <v>219</v>
      </c>
      <c r="K295" t="s">
        <v>147</v>
      </c>
      <c r="L295" t="s">
        <v>110</v>
      </c>
      <c r="M295" t="s">
        <v>111</v>
      </c>
      <c r="N295" t="s">
        <v>82</v>
      </c>
      <c r="O295" t="s">
        <v>112</v>
      </c>
      <c r="P295">
        <v>6</v>
      </c>
      <c r="Q295" s="4">
        <v>310.42</v>
      </c>
      <c r="R295" s="5">
        <v>0.27</v>
      </c>
      <c r="S295" s="4">
        <v>7.41</v>
      </c>
      <c r="T295" t="s">
        <v>134</v>
      </c>
      <c r="U295" t="s">
        <v>85</v>
      </c>
      <c r="V295">
        <v>3</v>
      </c>
    </row>
    <row r="296" spans="1:22">
      <c r="A296" t="s">
        <v>750</v>
      </c>
      <c r="B296" s="3">
        <v>45613</v>
      </c>
      <c r="C296" s="3">
        <v>45614</v>
      </c>
      <c r="D296" t="s">
        <v>751</v>
      </c>
      <c r="E296" t="s">
        <v>752</v>
      </c>
      <c r="F296" t="s">
        <v>152</v>
      </c>
      <c r="G296" t="s">
        <v>138</v>
      </c>
      <c r="H296" t="s">
        <v>139</v>
      </c>
      <c r="I296" t="s">
        <v>140</v>
      </c>
      <c r="J296" t="s">
        <v>78</v>
      </c>
      <c r="K296" t="s">
        <v>100</v>
      </c>
      <c r="L296" t="s">
        <v>359</v>
      </c>
      <c r="M296" t="s">
        <v>360</v>
      </c>
      <c r="N296" t="s">
        <v>93</v>
      </c>
      <c r="O296" t="s">
        <v>94</v>
      </c>
      <c r="P296">
        <v>2</v>
      </c>
      <c r="Q296" s="4">
        <v>469.81</v>
      </c>
      <c r="R296" s="5">
        <v>0.05</v>
      </c>
      <c r="S296" s="4">
        <v>27.63</v>
      </c>
      <c r="T296" t="s">
        <v>134</v>
      </c>
      <c r="U296" t="s">
        <v>85</v>
      </c>
      <c r="V296">
        <v>3</v>
      </c>
    </row>
    <row r="297" spans="1:22">
      <c r="A297" t="s">
        <v>753</v>
      </c>
      <c r="B297" s="3">
        <v>45613</v>
      </c>
      <c r="C297" s="3">
        <v>45619</v>
      </c>
      <c r="D297" t="s">
        <v>594</v>
      </c>
      <c r="E297" t="s">
        <v>595</v>
      </c>
      <c r="F297" t="s">
        <v>74</v>
      </c>
      <c r="G297" t="s">
        <v>75</v>
      </c>
      <c r="H297" t="s">
        <v>76</v>
      </c>
      <c r="I297" t="s">
        <v>77</v>
      </c>
      <c r="J297" t="s">
        <v>129</v>
      </c>
      <c r="K297" t="s">
        <v>130</v>
      </c>
      <c r="L297" t="s">
        <v>242</v>
      </c>
      <c r="M297" t="s">
        <v>243</v>
      </c>
      <c r="N297" t="s">
        <v>120</v>
      </c>
      <c r="O297" t="s">
        <v>133</v>
      </c>
      <c r="P297">
        <v>3</v>
      </c>
      <c r="Q297" s="4">
        <v>197.75</v>
      </c>
      <c r="R297" s="5">
        <v>0.05</v>
      </c>
      <c r="S297" s="4">
        <v>15.62</v>
      </c>
      <c r="T297" t="s">
        <v>122</v>
      </c>
      <c r="U297" t="s">
        <v>85</v>
      </c>
      <c r="V297">
        <v>2</v>
      </c>
    </row>
    <row r="298" spans="1:22">
      <c r="A298" t="s">
        <v>754</v>
      </c>
      <c r="B298" s="3">
        <v>45615</v>
      </c>
      <c r="C298" s="3">
        <v>45624</v>
      </c>
      <c r="D298" t="s">
        <v>627</v>
      </c>
      <c r="E298" t="s">
        <v>542</v>
      </c>
      <c r="F298" t="s">
        <v>152</v>
      </c>
      <c r="G298" t="s">
        <v>194</v>
      </c>
      <c r="H298" t="s">
        <v>240</v>
      </c>
      <c r="I298" t="s">
        <v>241</v>
      </c>
      <c r="J298" t="s">
        <v>219</v>
      </c>
      <c r="K298" t="s">
        <v>100</v>
      </c>
      <c r="L298" t="s">
        <v>118</v>
      </c>
      <c r="M298" t="s">
        <v>119</v>
      </c>
      <c r="N298" t="s">
        <v>120</v>
      </c>
      <c r="O298" t="s">
        <v>121</v>
      </c>
      <c r="P298">
        <v>2</v>
      </c>
      <c r="Q298" s="4">
        <v>271.86</v>
      </c>
      <c r="R298" s="5">
        <v>0.21</v>
      </c>
      <c r="S298" s="4">
        <v>21.42</v>
      </c>
      <c r="T298" t="s">
        <v>134</v>
      </c>
      <c r="U298" t="s">
        <v>85</v>
      </c>
      <c r="V298">
        <v>2</v>
      </c>
    </row>
    <row r="299" spans="1:22">
      <c r="A299" t="s">
        <v>755</v>
      </c>
      <c r="B299" s="3">
        <v>45616</v>
      </c>
      <c r="C299" s="3">
        <v>45626</v>
      </c>
      <c r="D299" t="s">
        <v>621</v>
      </c>
      <c r="E299" t="s">
        <v>622</v>
      </c>
      <c r="F299" t="s">
        <v>74</v>
      </c>
      <c r="G299" t="s">
        <v>194</v>
      </c>
      <c r="H299" t="s">
        <v>230</v>
      </c>
      <c r="I299" t="s">
        <v>231</v>
      </c>
      <c r="J299" t="s">
        <v>109</v>
      </c>
      <c r="K299" t="s">
        <v>90</v>
      </c>
      <c r="L299" t="s">
        <v>175</v>
      </c>
      <c r="M299" t="s">
        <v>176</v>
      </c>
      <c r="N299" t="s">
        <v>93</v>
      </c>
      <c r="O299" t="s">
        <v>177</v>
      </c>
      <c r="P299">
        <v>1</v>
      </c>
      <c r="Q299" s="4">
        <v>159.24</v>
      </c>
      <c r="R299" s="5">
        <v>0.09</v>
      </c>
      <c r="S299" s="4">
        <v>28.25</v>
      </c>
      <c r="T299" t="s">
        <v>105</v>
      </c>
      <c r="U299" t="s">
        <v>85</v>
      </c>
    </row>
    <row r="300" spans="1:22">
      <c r="A300" t="s">
        <v>756</v>
      </c>
      <c r="B300" s="3">
        <v>45616</v>
      </c>
      <c r="C300" s="3">
        <v>45617</v>
      </c>
      <c r="D300" t="s">
        <v>757</v>
      </c>
      <c r="E300" t="s">
        <v>218</v>
      </c>
      <c r="F300" t="s">
        <v>74</v>
      </c>
      <c r="G300" t="s">
        <v>138</v>
      </c>
      <c r="H300" t="s">
        <v>457</v>
      </c>
      <c r="I300" t="s">
        <v>458</v>
      </c>
      <c r="J300" t="s">
        <v>78</v>
      </c>
      <c r="K300" t="s">
        <v>147</v>
      </c>
      <c r="L300" t="s">
        <v>110</v>
      </c>
      <c r="M300" t="s">
        <v>111</v>
      </c>
      <c r="N300" t="s">
        <v>82</v>
      </c>
      <c r="O300" t="s">
        <v>112</v>
      </c>
      <c r="P300">
        <v>2</v>
      </c>
      <c r="Q300" s="4">
        <v>333.9</v>
      </c>
      <c r="R300" s="5">
        <v>0.05</v>
      </c>
      <c r="S300" s="4">
        <v>9.31</v>
      </c>
      <c r="T300" t="s">
        <v>122</v>
      </c>
      <c r="U300" t="s">
        <v>85</v>
      </c>
      <c r="V300">
        <v>4</v>
      </c>
    </row>
    <row r="301" spans="1:22">
      <c r="A301" t="s">
        <v>758</v>
      </c>
      <c r="B301" s="3">
        <v>45617</v>
      </c>
      <c r="C301" s="3">
        <v>45619</v>
      </c>
      <c r="D301" t="s">
        <v>537</v>
      </c>
      <c r="E301" t="s">
        <v>538</v>
      </c>
      <c r="F301" t="s">
        <v>74</v>
      </c>
      <c r="G301" t="s">
        <v>138</v>
      </c>
      <c r="H301" t="s">
        <v>139</v>
      </c>
      <c r="I301" t="s">
        <v>140</v>
      </c>
      <c r="J301" t="s">
        <v>129</v>
      </c>
      <c r="K301" t="s">
        <v>147</v>
      </c>
      <c r="L301" t="s">
        <v>101</v>
      </c>
      <c r="M301" t="s">
        <v>102</v>
      </c>
      <c r="N301" t="s">
        <v>103</v>
      </c>
      <c r="O301" t="s">
        <v>104</v>
      </c>
      <c r="P301">
        <v>5</v>
      </c>
      <c r="Q301" s="4">
        <v>73.86</v>
      </c>
      <c r="R301" s="5">
        <v>0.04</v>
      </c>
      <c r="S301" s="4">
        <v>8.2200000000000006</v>
      </c>
      <c r="T301" t="s">
        <v>122</v>
      </c>
      <c r="U301" t="s">
        <v>148</v>
      </c>
      <c r="V301">
        <v>3</v>
      </c>
    </row>
    <row r="302" spans="1:22">
      <c r="A302" t="s">
        <v>759</v>
      </c>
      <c r="B302" s="3">
        <v>45618</v>
      </c>
      <c r="C302" s="3">
        <v>45620</v>
      </c>
      <c r="D302" t="s">
        <v>760</v>
      </c>
      <c r="E302" t="s">
        <v>761</v>
      </c>
      <c r="F302" t="s">
        <v>89</v>
      </c>
      <c r="G302" t="s">
        <v>194</v>
      </c>
      <c r="H302" t="s">
        <v>230</v>
      </c>
      <c r="I302" t="s">
        <v>231</v>
      </c>
      <c r="J302" t="s">
        <v>78</v>
      </c>
      <c r="K302" t="s">
        <v>168</v>
      </c>
      <c r="L302" t="s">
        <v>80</v>
      </c>
      <c r="M302" t="s">
        <v>81</v>
      </c>
      <c r="N302" t="s">
        <v>82</v>
      </c>
      <c r="O302" t="s">
        <v>83</v>
      </c>
      <c r="P302">
        <v>3</v>
      </c>
      <c r="Q302" s="4">
        <v>250.6</v>
      </c>
      <c r="R302" s="5">
        <v>0</v>
      </c>
      <c r="S302" s="4">
        <v>14.47</v>
      </c>
      <c r="T302" t="s">
        <v>122</v>
      </c>
      <c r="U302" t="s">
        <v>85</v>
      </c>
    </row>
    <row r="303" spans="1:22">
      <c r="A303" t="s">
        <v>762</v>
      </c>
      <c r="B303" s="3">
        <v>45619</v>
      </c>
      <c r="C303" s="3">
        <v>45625</v>
      </c>
      <c r="D303" t="s">
        <v>238</v>
      </c>
      <c r="E303" t="s">
        <v>239</v>
      </c>
      <c r="F303" t="s">
        <v>89</v>
      </c>
      <c r="G303" t="s">
        <v>194</v>
      </c>
      <c r="H303" t="s">
        <v>240</v>
      </c>
      <c r="I303" t="s">
        <v>241</v>
      </c>
      <c r="J303" t="s">
        <v>219</v>
      </c>
      <c r="K303" t="s">
        <v>130</v>
      </c>
      <c r="L303" t="s">
        <v>118</v>
      </c>
      <c r="M303" t="s">
        <v>119</v>
      </c>
      <c r="N303" t="s">
        <v>120</v>
      </c>
      <c r="O303" t="s">
        <v>121</v>
      </c>
      <c r="P303">
        <v>3</v>
      </c>
      <c r="Q303" s="4">
        <v>292.51</v>
      </c>
      <c r="R303" s="5">
        <v>0.24</v>
      </c>
      <c r="S303" s="4">
        <v>13.08</v>
      </c>
      <c r="T303" t="s">
        <v>84</v>
      </c>
      <c r="U303" t="s">
        <v>85</v>
      </c>
      <c r="V303">
        <v>4</v>
      </c>
    </row>
    <row r="304" spans="1:22">
      <c r="A304" t="s">
        <v>763</v>
      </c>
      <c r="B304" s="3">
        <v>45619</v>
      </c>
      <c r="C304" s="3">
        <v>45623</v>
      </c>
      <c r="D304" t="s">
        <v>238</v>
      </c>
      <c r="E304" t="s">
        <v>239</v>
      </c>
      <c r="F304" t="s">
        <v>89</v>
      </c>
      <c r="G304" t="s">
        <v>194</v>
      </c>
      <c r="H304" t="s">
        <v>240</v>
      </c>
      <c r="I304" t="s">
        <v>241</v>
      </c>
      <c r="J304" t="s">
        <v>129</v>
      </c>
      <c r="K304" t="s">
        <v>147</v>
      </c>
      <c r="L304" t="s">
        <v>261</v>
      </c>
      <c r="M304" t="s">
        <v>262</v>
      </c>
      <c r="N304" t="s">
        <v>103</v>
      </c>
      <c r="O304" t="s">
        <v>104</v>
      </c>
      <c r="P304">
        <v>7</v>
      </c>
      <c r="Q304" s="4">
        <v>27.83</v>
      </c>
      <c r="R304" s="5">
        <v>0.08</v>
      </c>
      <c r="S304" s="4">
        <v>7.65</v>
      </c>
      <c r="T304" t="s">
        <v>134</v>
      </c>
      <c r="U304" t="s">
        <v>85</v>
      </c>
    </row>
    <row r="305" spans="1:22">
      <c r="A305" t="s">
        <v>764</v>
      </c>
      <c r="B305" s="3">
        <v>45619</v>
      </c>
      <c r="C305" s="3">
        <v>45628</v>
      </c>
      <c r="D305" t="s">
        <v>276</v>
      </c>
      <c r="E305" t="s">
        <v>277</v>
      </c>
      <c r="F305" t="s">
        <v>152</v>
      </c>
      <c r="G305" t="s">
        <v>75</v>
      </c>
      <c r="H305" t="s">
        <v>212</v>
      </c>
      <c r="I305" t="s">
        <v>213</v>
      </c>
      <c r="J305" t="s">
        <v>219</v>
      </c>
      <c r="K305" t="s">
        <v>130</v>
      </c>
      <c r="L305" t="s">
        <v>220</v>
      </c>
      <c r="M305" t="s">
        <v>221</v>
      </c>
      <c r="N305" t="s">
        <v>93</v>
      </c>
      <c r="O305" t="s">
        <v>177</v>
      </c>
      <c r="P305">
        <v>4</v>
      </c>
      <c r="Q305" s="4">
        <v>239.24</v>
      </c>
      <c r="R305" s="5">
        <v>0.02</v>
      </c>
      <c r="S305" s="4">
        <v>24.88</v>
      </c>
      <c r="T305" t="s">
        <v>105</v>
      </c>
      <c r="U305" t="s">
        <v>85</v>
      </c>
      <c r="V305">
        <v>4</v>
      </c>
    </row>
    <row r="306" spans="1:22">
      <c r="A306" t="s">
        <v>765</v>
      </c>
      <c r="B306" s="3">
        <v>45619</v>
      </c>
      <c r="C306" s="3">
        <v>45629</v>
      </c>
      <c r="D306" t="s">
        <v>698</v>
      </c>
      <c r="E306" t="s">
        <v>699</v>
      </c>
      <c r="F306" t="s">
        <v>74</v>
      </c>
      <c r="G306" t="s">
        <v>138</v>
      </c>
      <c r="H306" t="s">
        <v>457</v>
      </c>
      <c r="I306" t="s">
        <v>458</v>
      </c>
      <c r="J306" t="s">
        <v>129</v>
      </c>
      <c r="K306" t="s">
        <v>100</v>
      </c>
      <c r="L306" t="s">
        <v>110</v>
      </c>
      <c r="M306" t="s">
        <v>111</v>
      </c>
      <c r="N306" t="s">
        <v>82</v>
      </c>
      <c r="O306" t="s">
        <v>112</v>
      </c>
      <c r="P306">
        <v>2</v>
      </c>
      <c r="Q306" s="4">
        <v>316.24</v>
      </c>
      <c r="R306" s="5">
        <v>0.01</v>
      </c>
      <c r="S306" s="4">
        <v>7.34</v>
      </c>
      <c r="T306" t="s">
        <v>84</v>
      </c>
      <c r="U306" t="s">
        <v>85</v>
      </c>
      <c r="V306">
        <v>4</v>
      </c>
    </row>
    <row r="307" spans="1:22">
      <c r="A307" t="s">
        <v>766</v>
      </c>
      <c r="B307" s="3">
        <v>45620</v>
      </c>
      <c r="C307" s="3">
        <v>45627</v>
      </c>
      <c r="D307" t="s">
        <v>767</v>
      </c>
      <c r="E307" t="s">
        <v>617</v>
      </c>
      <c r="F307" t="s">
        <v>74</v>
      </c>
      <c r="G307" t="s">
        <v>138</v>
      </c>
      <c r="H307" t="s">
        <v>457</v>
      </c>
      <c r="I307" t="s">
        <v>458</v>
      </c>
      <c r="J307" t="s">
        <v>129</v>
      </c>
      <c r="K307" t="s">
        <v>147</v>
      </c>
      <c r="L307" t="s">
        <v>337</v>
      </c>
      <c r="M307" t="s">
        <v>338</v>
      </c>
      <c r="N307" t="s">
        <v>93</v>
      </c>
      <c r="O307" t="s">
        <v>236</v>
      </c>
      <c r="P307">
        <v>1</v>
      </c>
      <c r="Q307" s="4">
        <v>260.77999999999997</v>
      </c>
      <c r="R307" s="5">
        <v>0.03</v>
      </c>
      <c r="S307" s="4">
        <v>23.95</v>
      </c>
      <c r="T307" t="s">
        <v>105</v>
      </c>
      <c r="U307" t="s">
        <v>85</v>
      </c>
      <c r="V307">
        <v>2</v>
      </c>
    </row>
    <row r="308" spans="1:22">
      <c r="A308" t="s">
        <v>768</v>
      </c>
      <c r="B308" s="3">
        <v>45622</v>
      </c>
      <c r="C308" s="3">
        <v>45627</v>
      </c>
      <c r="D308" t="s">
        <v>485</v>
      </c>
      <c r="E308" t="s">
        <v>193</v>
      </c>
      <c r="F308" t="s">
        <v>74</v>
      </c>
      <c r="G308" t="s">
        <v>138</v>
      </c>
      <c r="H308" t="s">
        <v>153</v>
      </c>
      <c r="I308" t="s">
        <v>154</v>
      </c>
      <c r="J308" t="s">
        <v>219</v>
      </c>
      <c r="K308" t="s">
        <v>168</v>
      </c>
      <c r="L308" t="s">
        <v>110</v>
      </c>
      <c r="M308" t="s">
        <v>111</v>
      </c>
      <c r="N308" t="s">
        <v>82</v>
      </c>
      <c r="O308" t="s">
        <v>112</v>
      </c>
      <c r="P308">
        <v>9</v>
      </c>
      <c r="Q308" s="4">
        <v>326.73</v>
      </c>
      <c r="R308" s="5">
        <v>0.09</v>
      </c>
      <c r="S308" s="4">
        <v>15.66</v>
      </c>
      <c r="T308" t="s">
        <v>134</v>
      </c>
      <c r="U308" t="s">
        <v>85</v>
      </c>
      <c r="V308">
        <v>2</v>
      </c>
    </row>
    <row r="309" spans="1:22">
      <c r="A309" t="s">
        <v>769</v>
      </c>
      <c r="B309" s="3">
        <v>45622</v>
      </c>
      <c r="C309" s="3">
        <v>45628</v>
      </c>
      <c r="D309" t="s">
        <v>522</v>
      </c>
      <c r="E309" t="s">
        <v>512</v>
      </c>
      <c r="F309" t="s">
        <v>74</v>
      </c>
      <c r="G309" t="s">
        <v>194</v>
      </c>
      <c r="H309" t="s">
        <v>230</v>
      </c>
      <c r="I309" t="s">
        <v>231</v>
      </c>
      <c r="J309" t="s">
        <v>219</v>
      </c>
      <c r="K309" t="s">
        <v>90</v>
      </c>
      <c r="L309" t="s">
        <v>118</v>
      </c>
      <c r="M309" t="s">
        <v>119</v>
      </c>
      <c r="N309" t="s">
        <v>120</v>
      </c>
      <c r="O309" t="s">
        <v>121</v>
      </c>
      <c r="P309">
        <v>2</v>
      </c>
      <c r="Q309" s="4">
        <v>290.73</v>
      </c>
      <c r="R309" s="5">
        <v>0.02</v>
      </c>
      <c r="S309" s="4">
        <v>6.56</v>
      </c>
      <c r="T309" t="s">
        <v>84</v>
      </c>
      <c r="U309" t="s">
        <v>85</v>
      </c>
      <c r="V309">
        <v>3</v>
      </c>
    </row>
    <row r="310" spans="1:22">
      <c r="A310" t="s">
        <v>770</v>
      </c>
      <c r="B310" s="3">
        <v>45623</v>
      </c>
      <c r="C310" s="3">
        <v>45632</v>
      </c>
      <c r="D310" t="s">
        <v>771</v>
      </c>
      <c r="E310" t="s">
        <v>772</v>
      </c>
      <c r="F310" t="s">
        <v>74</v>
      </c>
      <c r="G310" t="s">
        <v>126</v>
      </c>
      <c r="H310" t="s">
        <v>127</v>
      </c>
      <c r="I310" t="s">
        <v>128</v>
      </c>
      <c r="J310" t="s">
        <v>78</v>
      </c>
      <c r="K310" t="s">
        <v>130</v>
      </c>
      <c r="L310" t="s">
        <v>141</v>
      </c>
      <c r="M310" t="s">
        <v>142</v>
      </c>
      <c r="N310" t="s">
        <v>103</v>
      </c>
      <c r="O310" t="s">
        <v>143</v>
      </c>
      <c r="P310">
        <v>2</v>
      </c>
      <c r="Q310" s="4">
        <v>38.049999999999997</v>
      </c>
      <c r="R310" s="5">
        <v>0.11</v>
      </c>
      <c r="S310" s="4">
        <v>14.11</v>
      </c>
      <c r="T310" t="s">
        <v>105</v>
      </c>
      <c r="U310" t="s">
        <v>85</v>
      </c>
      <c r="V310">
        <v>4</v>
      </c>
    </row>
    <row r="311" spans="1:22">
      <c r="A311" t="s">
        <v>773</v>
      </c>
      <c r="B311" s="3">
        <v>45624</v>
      </c>
      <c r="C311" s="3">
        <v>45632</v>
      </c>
      <c r="D311" t="s">
        <v>264</v>
      </c>
      <c r="E311" t="s">
        <v>265</v>
      </c>
      <c r="F311" t="s">
        <v>74</v>
      </c>
      <c r="G311" t="s">
        <v>194</v>
      </c>
      <c r="H311" t="s">
        <v>230</v>
      </c>
      <c r="I311" t="s">
        <v>231</v>
      </c>
      <c r="J311" t="s">
        <v>109</v>
      </c>
      <c r="K311" t="s">
        <v>90</v>
      </c>
      <c r="L311" t="s">
        <v>188</v>
      </c>
      <c r="M311" t="s">
        <v>189</v>
      </c>
      <c r="N311" t="s">
        <v>120</v>
      </c>
      <c r="O311" t="s">
        <v>190</v>
      </c>
      <c r="P311">
        <v>4</v>
      </c>
      <c r="Q311" s="4">
        <v>55.54</v>
      </c>
      <c r="R311" s="5">
        <v>0.11</v>
      </c>
      <c r="S311" s="4">
        <v>7</v>
      </c>
      <c r="T311" t="s">
        <v>105</v>
      </c>
      <c r="U311" t="s">
        <v>85</v>
      </c>
      <c r="V311">
        <v>4</v>
      </c>
    </row>
    <row r="312" spans="1:22">
      <c r="A312" t="s">
        <v>774</v>
      </c>
      <c r="B312" s="3">
        <v>45626</v>
      </c>
      <c r="C312" s="3">
        <v>45630</v>
      </c>
      <c r="D312" t="s">
        <v>145</v>
      </c>
      <c r="E312" t="s">
        <v>146</v>
      </c>
      <c r="F312" t="s">
        <v>74</v>
      </c>
      <c r="G312" t="s">
        <v>75</v>
      </c>
      <c r="H312" t="s">
        <v>116</v>
      </c>
      <c r="I312" t="s">
        <v>117</v>
      </c>
      <c r="J312" t="s">
        <v>78</v>
      </c>
      <c r="K312" t="s">
        <v>147</v>
      </c>
      <c r="L312" t="s">
        <v>220</v>
      </c>
      <c r="M312" t="s">
        <v>221</v>
      </c>
      <c r="N312" t="s">
        <v>93</v>
      </c>
      <c r="O312" t="s">
        <v>177</v>
      </c>
      <c r="P312">
        <v>2</v>
      </c>
      <c r="Q312" s="4">
        <v>224.8</v>
      </c>
      <c r="R312" s="5">
        <v>0.31</v>
      </c>
      <c r="S312" s="4">
        <v>27.58</v>
      </c>
      <c r="T312" t="s">
        <v>122</v>
      </c>
      <c r="U312" t="s">
        <v>85</v>
      </c>
      <c r="V312">
        <v>3</v>
      </c>
    </row>
    <row r="313" spans="1:22">
      <c r="A313" t="s">
        <v>775</v>
      </c>
      <c r="B313" s="3">
        <v>45626</v>
      </c>
      <c r="C313" s="3">
        <v>45630</v>
      </c>
      <c r="D313" t="s">
        <v>384</v>
      </c>
      <c r="E313" t="s">
        <v>385</v>
      </c>
      <c r="F313" t="s">
        <v>74</v>
      </c>
      <c r="G313" t="s">
        <v>126</v>
      </c>
      <c r="H313" t="s">
        <v>291</v>
      </c>
      <c r="I313" t="s">
        <v>292</v>
      </c>
      <c r="J313" t="s">
        <v>129</v>
      </c>
      <c r="K313" t="s">
        <v>130</v>
      </c>
      <c r="L313" t="s">
        <v>301</v>
      </c>
      <c r="M313" t="s">
        <v>302</v>
      </c>
      <c r="N313" t="s">
        <v>120</v>
      </c>
      <c r="O313" t="s">
        <v>190</v>
      </c>
      <c r="P313">
        <v>3</v>
      </c>
      <c r="Q313" s="4">
        <v>141.13999999999999</v>
      </c>
      <c r="R313" s="5">
        <v>0.09</v>
      </c>
      <c r="S313" s="4">
        <v>14.68</v>
      </c>
      <c r="T313" t="s">
        <v>84</v>
      </c>
      <c r="U313" t="s">
        <v>85</v>
      </c>
      <c r="V313">
        <v>3</v>
      </c>
    </row>
    <row r="314" spans="1:22">
      <c r="A314" t="s">
        <v>776</v>
      </c>
      <c r="B314" s="3">
        <v>45627</v>
      </c>
      <c r="C314" s="3">
        <v>45630</v>
      </c>
      <c r="D314" t="s">
        <v>613</v>
      </c>
      <c r="E314" t="s">
        <v>614</v>
      </c>
      <c r="F314" t="s">
        <v>74</v>
      </c>
      <c r="G314" t="s">
        <v>194</v>
      </c>
      <c r="H314" t="s">
        <v>195</v>
      </c>
      <c r="I314" t="s">
        <v>196</v>
      </c>
      <c r="J314" t="s">
        <v>219</v>
      </c>
      <c r="K314" t="s">
        <v>168</v>
      </c>
      <c r="L314" t="s">
        <v>207</v>
      </c>
      <c r="M314" t="s">
        <v>208</v>
      </c>
      <c r="N314" t="s">
        <v>120</v>
      </c>
      <c r="O314" t="s">
        <v>164</v>
      </c>
      <c r="P314">
        <v>2</v>
      </c>
      <c r="Q314" s="4">
        <v>1465.16</v>
      </c>
      <c r="R314" s="5">
        <v>0.08</v>
      </c>
      <c r="S314" s="4">
        <v>17.84</v>
      </c>
      <c r="T314" t="s">
        <v>134</v>
      </c>
      <c r="U314" t="s">
        <v>85</v>
      </c>
      <c r="V314">
        <v>2</v>
      </c>
    </row>
    <row r="315" spans="1:22">
      <c r="A315" t="s">
        <v>777</v>
      </c>
      <c r="B315" s="3">
        <v>45629</v>
      </c>
      <c r="C315" s="3">
        <v>45641</v>
      </c>
      <c r="D315" t="s">
        <v>698</v>
      </c>
      <c r="E315" t="s">
        <v>699</v>
      </c>
      <c r="F315" t="s">
        <v>74</v>
      </c>
      <c r="G315" t="s">
        <v>138</v>
      </c>
      <c r="H315" t="s">
        <v>457</v>
      </c>
      <c r="I315" t="s">
        <v>458</v>
      </c>
      <c r="J315" t="s">
        <v>219</v>
      </c>
      <c r="K315" t="s">
        <v>100</v>
      </c>
      <c r="L315" t="s">
        <v>131</v>
      </c>
      <c r="M315" t="s">
        <v>132</v>
      </c>
      <c r="N315" t="s">
        <v>120</v>
      </c>
      <c r="O315" t="s">
        <v>133</v>
      </c>
      <c r="P315">
        <v>2</v>
      </c>
      <c r="Q315" s="4">
        <v>94.2</v>
      </c>
      <c r="R315" s="5">
        <v>0.06</v>
      </c>
      <c r="S315" s="4">
        <v>18.440000000000001</v>
      </c>
      <c r="T315" t="s">
        <v>105</v>
      </c>
      <c r="U315" t="s">
        <v>85</v>
      </c>
      <c r="V315">
        <v>4</v>
      </c>
    </row>
    <row r="316" spans="1:22">
      <c r="A316" t="s">
        <v>778</v>
      </c>
      <c r="B316" s="3">
        <v>45629</v>
      </c>
      <c r="C316" s="3">
        <v>45632</v>
      </c>
      <c r="D316" t="s">
        <v>238</v>
      </c>
      <c r="E316" t="s">
        <v>239</v>
      </c>
      <c r="F316" t="s">
        <v>89</v>
      </c>
      <c r="G316" t="s">
        <v>194</v>
      </c>
      <c r="H316" t="s">
        <v>240</v>
      </c>
      <c r="I316" t="s">
        <v>241</v>
      </c>
      <c r="J316" t="s">
        <v>78</v>
      </c>
      <c r="K316" t="s">
        <v>100</v>
      </c>
      <c r="L316" t="s">
        <v>214</v>
      </c>
      <c r="M316" t="s">
        <v>215</v>
      </c>
      <c r="N316" t="s">
        <v>103</v>
      </c>
      <c r="O316" t="s">
        <v>171</v>
      </c>
      <c r="P316">
        <v>8</v>
      </c>
      <c r="Q316" s="4">
        <v>12.52</v>
      </c>
      <c r="R316" s="5">
        <v>7.0000000000000007E-2</v>
      </c>
      <c r="S316" s="4">
        <v>7.77</v>
      </c>
      <c r="T316" t="s">
        <v>122</v>
      </c>
      <c r="U316" t="s">
        <v>85</v>
      </c>
      <c r="V316">
        <v>2</v>
      </c>
    </row>
    <row r="317" spans="1:22">
      <c r="A317" t="s">
        <v>779</v>
      </c>
      <c r="B317" s="3">
        <v>45630</v>
      </c>
      <c r="C317" s="3">
        <v>45640</v>
      </c>
      <c r="D317" t="s">
        <v>541</v>
      </c>
      <c r="E317" t="s">
        <v>542</v>
      </c>
      <c r="F317" t="s">
        <v>89</v>
      </c>
      <c r="G317" t="s">
        <v>138</v>
      </c>
      <c r="H317" t="s">
        <v>139</v>
      </c>
      <c r="I317" t="s">
        <v>140</v>
      </c>
      <c r="J317" t="s">
        <v>78</v>
      </c>
      <c r="K317" t="s">
        <v>168</v>
      </c>
      <c r="L317" t="s">
        <v>337</v>
      </c>
      <c r="M317" t="s">
        <v>338</v>
      </c>
      <c r="N317" t="s">
        <v>93</v>
      </c>
      <c r="O317" t="s">
        <v>236</v>
      </c>
      <c r="P317">
        <v>4</v>
      </c>
      <c r="Q317" s="4">
        <v>262.02999999999997</v>
      </c>
      <c r="R317" s="5">
        <v>7.0000000000000007E-2</v>
      </c>
      <c r="S317" s="4">
        <v>22.36</v>
      </c>
      <c r="T317" t="s">
        <v>134</v>
      </c>
      <c r="U317" t="s">
        <v>85</v>
      </c>
    </row>
    <row r="318" spans="1:22">
      <c r="A318" t="s">
        <v>780</v>
      </c>
      <c r="B318" s="3">
        <v>45632</v>
      </c>
      <c r="C318" s="3">
        <v>45635</v>
      </c>
      <c r="D318" t="s">
        <v>728</v>
      </c>
      <c r="E318" t="s">
        <v>333</v>
      </c>
      <c r="F318" t="s">
        <v>89</v>
      </c>
      <c r="G318" t="s">
        <v>194</v>
      </c>
      <c r="H318" t="s">
        <v>195</v>
      </c>
      <c r="I318" t="s">
        <v>196</v>
      </c>
      <c r="J318" t="s">
        <v>129</v>
      </c>
      <c r="K318" t="s">
        <v>100</v>
      </c>
      <c r="L318" t="s">
        <v>261</v>
      </c>
      <c r="M318" t="s">
        <v>262</v>
      </c>
      <c r="N318" t="s">
        <v>103</v>
      </c>
      <c r="O318" t="s">
        <v>104</v>
      </c>
      <c r="P318">
        <v>8</v>
      </c>
      <c r="Q318" s="4">
        <v>28.15</v>
      </c>
      <c r="R318" s="5">
        <v>7.0000000000000007E-2</v>
      </c>
      <c r="S318" s="4">
        <v>15.96</v>
      </c>
      <c r="T318" t="s">
        <v>84</v>
      </c>
      <c r="U318" t="s">
        <v>85</v>
      </c>
      <c r="V318">
        <v>3</v>
      </c>
    </row>
    <row r="319" spans="1:22">
      <c r="A319" t="s">
        <v>781</v>
      </c>
      <c r="B319" s="3">
        <v>45636</v>
      </c>
      <c r="C319" s="3">
        <v>45643</v>
      </c>
      <c r="D319" t="s">
        <v>782</v>
      </c>
      <c r="E319" t="s">
        <v>783</v>
      </c>
      <c r="F319" t="s">
        <v>152</v>
      </c>
      <c r="G319" t="s">
        <v>126</v>
      </c>
      <c r="H319" t="s">
        <v>784</v>
      </c>
      <c r="I319" t="s">
        <v>785</v>
      </c>
      <c r="J319" t="s">
        <v>109</v>
      </c>
      <c r="K319" t="s">
        <v>147</v>
      </c>
      <c r="L319" t="s">
        <v>220</v>
      </c>
      <c r="M319" t="s">
        <v>221</v>
      </c>
      <c r="N319" t="s">
        <v>93</v>
      </c>
      <c r="O319" t="s">
        <v>177</v>
      </c>
      <c r="P319">
        <v>4</v>
      </c>
      <c r="Q319" s="4">
        <v>229.46</v>
      </c>
      <c r="R319" s="5">
        <v>0.1</v>
      </c>
      <c r="S319" s="4">
        <v>19.02</v>
      </c>
      <c r="T319" t="s">
        <v>134</v>
      </c>
      <c r="U319" t="s">
        <v>85</v>
      </c>
      <c r="V319">
        <v>5</v>
      </c>
    </row>
    <row r="320" spans="1:22">
      <c r="A320" t="s">
        <v>786</v>
      </c>
      <c r="B320" s="3">
        <v>45636</v>
      </c>
      <c r="C320" s="3">
        <v>45645</v>
      </c>
      <c r="D320" t="s">
        <v>787</v>
      </c>
      <c r="E320" t="s">
        <v>660</v>
      </c>
      <c r="F320" t="s">
        <v>152</v>
      </c>
      <c r="G320" t="s">
        <v>194</v>
      </c>
      <c r="H320" t="s">
        <v>202</v>
      </c>
      <c r="I320" t="s">
        <v>203</v>
      </c>
      <c r="J320" t="s">
        <v>129</v>
      </c>
      <c r="K320" t="s">
        <v>130</v>
      </c>
      <c r="L320" t="s">
        <v>359</v>
      </c>
      <c r="M320" t="s">
        <v>360</v>
      </c>
      <c r="N320" t="s">
        <v>93</v>
      </c>
      <c r="O320" t="s">
        <v>94</v>
      </c>
      <c r="P320">
        <v>1</v>
      </c>
      <c r="Q320" s="4">
        <v>468.37</v>
      </c>
      <c r="R320" s="5">
        <v>0.28999999999999998</v>
      </c>
      <c r="S320" s="4">
        <v>20.079999999999998</v>
      </c>
      <c r="T320" t="s">
        <v>134</v>
      </c>
      <c r="U320" t="s">
        <v>85</v>
      </c>
      <c r="V320">
        <v>3</v>
      </c>
    </row>
    <row r="321" spans="1:22">
      <c r="A321" t="s">
        <v>788</v>
      </c>
      <c r="B321" s="3">
        <v>45639</v>
      </c>
      <c r="C321" s="3">
        <v>45642</v>
      </c>
      <c r="D321" t="s">
        <v>245</v>
      </c>
      <c r="E321" t="s">
        <v>246</v>
      </c>
      <c r="F321" t="s">
        <v>74</v>
      </c>
      <c r="G321" t="s">
        <v>138</v>
      </c>
      <c r="H321" t="s">
        <v>139</v>
      </c>
      <c r="I321" t="s">
        <v>140</v>
      </c>
      <c r="J321" t="s">
        <v>109</v>
      </c>
      <c r="K321" t="s">
        <v>168</v>
      </c>
      <c r="L321" t="s">
        <v>80</v>
      </c>
      <c r="M321" t="s">
        <v>81</v>
      </c>
      <c r="N321" t="s">
        <v>82</v>
      </c>
      <c r="O321" t="s">
        <v>83</v>
      </c>
      <c r="P321">
        <v>7</v>
      </c>
      <c r="Q321" s="4">
        <v>235.96</v>
      </c>
      <c r="R321" s="5">
        <v>0.11</v>
      </c>
      <c r="S321" s="4">
        <v>15.43</v>
      </c>
      <c r="T321" t="s">
        <v>122</v>
      </c>
      <c r="U321" t="s">
        <v>85</v>
      </c>
      <c r="V321">
        <v>3</v>
      </c>
    </row>
    <row r="322" spans="1:22">
      <c r="A322" t="s">
        <v>789</v>
      </c>
      <c r="B322" s="3">
        <v>45640</v>
      </c>
      <c r="C322" s="3">
        <v>45642</v>
      </c>
      <c r="D322" t="s">
        <v>550</v>
      </c>
      <c r="E322" t="s">
        <v>218</v>
      </c>
      <c r="F322" t="s">
        <v>152</v>
      </c>
      <c r="G322" t="s">
        <v>126</v>
      </c>
      <c r="H322" t="s">
        <v>127</v>
      </c>
      <c r="I322" t="s">
        <v>128</v>
      </c>
      <c r="J322" t="s">
        <v>219</v>
      </c>
      <c r="K322" t="s">
        <v>147</v>
      </c>
      <c r="L322" t="s">
        <v>110</v>
      </c>
      <c r="M322" t="s">
        <v>111</v>
      </c>
      <c r="N322" t="s">
        <v>82</v>
      </c>
      <c r="O322" t="s">
        <v>112</v>
      </c>
      <c r="P322">
        <v>4</v>
      </c>
      <c r="Q322" s="4">
        <v>300.8</v>
      </c>
      <c r="R322" s="5">
        <v>0.08</v>
      </c>
      <c r="S322" s="4">
        <v>6.75</v>
      </c>
      <c r="T322" t="s">
        <v>105</v>
      </c>
      <c r="U322" t="s">
        <v>85</v>
      </c>
      <c r="V322">
        <v>5</v>
      </c>
    </row>
    <row r="323" spans="1:22">
      <c r="A323" t="s">
        <v>790</v>
      </c>
      <c r="B323" s="3">
        <v>45640</v>
      </c>
      <c r="C323" s="3">
        <v>45648</v>
      </c>
      <c r="D323" t="s">
        <v>287</v>
      </c>
      <c r="E323" t="s">
        <v>146</v>
      </c>
      <c r="F323" t="s">
        <v>89</v>
      </c>
      <c r="G323" t="s">
        <v>194</v>
      </c>
      <c r="H323" t="s">
        <v>195</v>
      </c>
      <c r="I323" t="s">
        <v>196</v>
      </c>
      <c r="J323" t="s">
        <v>78</v>
      </c>
      <c r="K323" t="s">
        <v>130</v>
      </c>
      <c r="L323" t="s">
        <v>162</v>
      </c>
      <c r="M323" t="s">
        <v>163</v>
      </c>
      <c r="N323" t="s">
        <v>716</v>
      </c>
      <c r="O323" t="s">
        <v>164</v>
      </c>
      <c r="P323">
        <v>4</v>
      </c>
      <c r="Q323" s="4">
        <v>934.93</v>
      </c>
      <c r="R323" s="5">
        <v>0.03</v>
      </c>
      <c r="S323" s="4">
        <v>15.64</v>
      </c>
      <c r="T323" t="s">
        <v>122</v>
      </c>
      <c r="U323" t="s">
        <v>791</v>
      </c>
    </row>
    <row r="324" spans="1:22">
      <c r="A324" t="s">
        <v>792</v>
      </c>
      <c r="B324" s="3">
        <v>45640</v>
      </c>
      <c r="C324" s="3">
        <v>45645</v>
      </c>
      <c r="D324" t="s">
        <v>782</v>
      </c>
      <c r="E324" t="s">
        <v>783</v>
      </c>
      <c r="F324" t="s">
        <v>152</v>
      </c>
      <c r="G324" t="s">
        <v>126</v>
      </c>
      <c r="H324" t="s">
        <v>784</v>
      </c>
      <c r="I324" t="s">
        <v>785</v>
      </c>
      <c r="J324" t="s">
        <v>219</v>
      </c>
      <c r="K324" t="s">
        <v>100</v>
      </c>
      <c r="L324" t="s">
        <v>91</v>
      </c>
      <c r="M324" t="s">
        <v>92</v>
      </c>
      <c r="N324" t="s">
        <v>93</v>
      </c>
      <c r="O324" t="s">
        <v>94</v>
      </c>
      <c r="P324">
        <v>2</v>
      </c>
      <c r="Q324" s="4">
        <v>327.8</v>
      </c>
      <c r="R324" s="5">
        <v>0.08</v>
      </c>
      <c r="S324" s="4">
        <v>26.91</v>
      </c>
      <c r="T324" t="s">
        <v>122</v>
      </c>
      <c r="U324" t="s">
        <v>85</v>
      </c>
    </row>
    <row r="325" spans="1:22">
      <c r="A325" t="s">
        <v>793</v>
      </c>
      <c r="B325" s="3">
        <v>45642</v>
      </c>
      <c r="C325" s="3">
        <v>45650</v>
      </c>
      <c r="D325" t="s">
        <v>591</v>
      </c>
      <c r="E325" t="s">
        <v>592</v>
      </c>
      <c r="F325" t="s">
        <v>74</v>
      </c>
      <c r="G325" t="s">
        <v>126</v>
      </c>
      <c r="H325" t="s">
        <v>160</v>
      </c>
      <c r="I325" t="s">
        <v>161</v>
      </c>
      <c r="J325" t="s">
        <v>129</v>
      </c>
      <c r="K325" t="s">
        <v>79</v>
      </c>
      <c r="L325" t="s">
        <v>337</v>
      </c>
      <c r="M325" t="s">
        <v>338</v>
      </c>
      <c r="N325" t="s">
        <v>93</v>
      </c>
      <c r="O325" t="s">
        <v>236</v>
      </c>
      <c r="P325">
        <v>4</v>
      </c>
      <c r="Q325" s="4">
        <v>262.62</v>
      </c>
      <c r="R325" s="5">
        <v>0.03</v>
      </c>
      <c r="S325" s="4">
        <v>23.03</v>
      </c>
      <c r="T325" t="s">
        <v>134</v>
      </c>
      <c r="U325" t="s">
        <v>85</v>
      </c>
      <c r="V325">
        <v>5</v>
      </c>
    </row>
    <row r="326" spans="1:22">
      <c r="A326" t="s">
        <v>794</v>
      </c>
      <c r="B326" s="3">
        <v>45642</v>
      </c>
      <c r="C326" s="3">
        <v>45648</v>
      </c>
      <c r="D326" t="s">
        <v>136</v>
      </c>
      <c r="E326" t="s">
        <v>137</v>
      </c>
      <c r="F326" t="s">
        <v>74</v>
      </c>
      <c r="G326" t="s">
        <v>138</v>
      </c>
      <c r="H326" t="s">
        <v>139</v>
      </c>
      <c r="I326" t="s">
        <v>140</v>
      </c>
      <c r="J326" t="s">
        <v>78</v>
      </c>
      <c r="K326" t="s">
        <v>100</v>
      </c>
      <c r="L326" t="s">
        <v>110</v>
      </c>
      <c r="M326" t="s">
        <v>111</v>
      </c>
      <c r="N326" t="s">
        <v>82</v>
      </c>
      <c r="O326" t="s">
        <v>112</v>
      </c>
      <c r="P326">
        <v>7</v>
      </c>
      <c r="Q326" s="4">
        <v>309.39</v>
      </c>
      <c r="R326" s="5">
        <v>0</v>
      </c>
      <c r="S326" s="4">
        <v>10</v>
      </c>
      <c r="T326" t="s">
        <v>84</v>
      </c>
      <c r="U326" t="s">
        <v>85</v>
      </c>
      <c r="V326">
        <v>1</v>
      </c>
    </row>
    <row r="327" spans="1:22">
      <c r="A327" t="s">
        <v>795</v>
      </c>
      <c r="B327" s="3">
        <v>45643</v>
      </c>
      <c r="C327" s="3">
        <v>45646</v>
      </c>
      <c r="D327" t="s">
        <v>396</v>
      </c>
      <c r="E327" t="s">
        <v>397</v>
      </c>
      <c r="F327" t="s">
        <v>152</v>
      </c>
      <c r="G327" t="s">
        <v>138</v>
      </c>
      <c r="H327" t="s">
        <v>186</v>
      </c>
      <c r="I327" t="s">
        <v>187</v>
      </c>
      <c r="J327" t="s">
        <v>109</v>
      </c>
      <c r="K327" t="s">
        <v>79</v>
      </c>
      <c r="L327" t="s">
        <v>118</v>
      </c>
      <c r="M327" t="s">
        <v>119</v>
      </c>
      <c r="N327" t="s">
        <v>120</v>
      </c>
      <c r="O327" t="s">
        <v>121</v>
      </c>
      <c r="P327">
        <v>4</v>
      </c>
      <c r="Q327" s="4">
        <v>285.79000000000002</v>
      </c>
      <c r="R327" s="5">
        <v>0.06</v>
      </c>
      <c r="S327" s="4">
        <v>5.04</v>
      </c>
      <c r="T327" t="s">
        <v>105</v>
      </c>
      <c r="U327" t="s">
        <v>85</v>
      </c>
      <c r="V327">
        <v>4</v>
      </c>
    </row>
    <row r="328" spans="1:22">
      <c r="A328" t="s">
        <v>796</v>
      </c>
      <c r="B328" s="3">
        <v>45644</v>
      </c>
      <c r="C328" s="3">
        <v>45653</v>
      </c>
      <c r="D328" t="s">
        <v>268</v>
      </c>
      <c r="E328" t="s">
        <v>269</v>
      </c>
      <c r="F328" t="s">
        <v>74</v>
      </c>
      <c r="G328" t="s">
        <v>75</v>
      </c>
      <c r="H328" t="s">
        <v>212</v>
      </c>
      <c r="I328" t="s">
        <v>213</v>
      </c>
      <c r="J328" t="s">
        <v>109</v>
      </c>
      <c r="K328" t="s">
        <v>147</v>
      </c>
      <c r="L328" t="s">
        <v>197</v>
      </c>
      <c r="M328" t="s">
        <v>198</v>
      </c>
      <c r="N328" t="s">
        <v>120</v>
      </c>
      <c r="O328" t="s">
        <v>121</v>
      </c>
      <c r="P328">
        <v>3</v>
      </c>
      <c r="Q328" s="4">
        <v>499.53</v>
      </c>
      <c r="R328" s="5">
        <v>0.01</v>
      </c>
      <c r="S328" s="4">
        <v>16.07</v>
      </c>
      <c r="T328" t="s">
        <v>134</v>
      </c>
      <c r="U328" t="s">
        <v>148</v>
      </c>
    </row>
    <row r="329" spans="1:22">
      <c r="A329" t="s">
        <v>797</v>
      </c>
      <c r="B329" s="3">
        <v>45644</v>
      </c>
      <c r="C329" s="3">
        <v>45653</v>
      </c>
      <c r="D329" t="s">
        <v>497</v>
      </c>
      <c r="E329" t="s">
        <v>498</v>
      </c>
      <c r="F329" t="s">
        <v>89</v>
      </c>
      <c r="G329" t="s">
        <v>126</v>
      </c>
      <c r="H329" t="s">
        <v>291</v>
      </c>
      <c r="I329" t="s">
        <v>292</v>
      </c>
      <c r="J329" t="s">
        <v>129</v>
      </c>
      <c r="K329" t="s">
        <v>147</v>
      </c>
      <c r="L329" t="s">
        <v>214</v>
      </c>
      <c r="M329" t="s">
        <v>215</v>
      </c>
      <c r="N329" t="s">
        <v>103</v>
      </c>
      <c r="O329" t="s">
        <v>171</v>
      </c>
      <c r="P329">
        <v>7</v>
      </c>
      <c r="Q329" s="4">
        <v>12.49</v>
      </c>
      <c r="R329" s="5">
        <v>0.08</v>
      </c>
      <c r="S329" s="4">
        <v>12.65</v>
      </c>
      <c r="T329" t="s">
        <v>84</v>
      </c>
      <c r="U329" t="s">
        <v>85</v>
      </c>
    </row>
    <row r="330" spans="1:22">
      <c r="A330" t="s">
        <v>798</v>
      </c>
      <c r="B330" s="3">
        <v>45647</v>
      </c>
      <c r="C330" s="3">
        <v>45652</v>
      </c>
      <c r="D330" t="s">
        <v>601</v>
      </c>
      <c r="E330" t="s">
        <v>351</v>
      </c>
      <c r="F330" t="s">
        <v>74</v>
      </c>
      <c r="G330" t="s">
        <v>194</v>
      </c>
      <c r="H330" t="s">
        <v>240</v>
      </c>
      <c r="I330" t="s">
        <v>241</v>
      </c>
      <c r="J330" t="s">
        <v>109</v>
      </c>
      <c r="K330" t="s">
        <v>130</v>
      </c>
      <c r="L330" t="s">
        <v>359</v>
      </c>
      <c r="M330" t="s">
        <v>360</v>
      </c>
      <c r="N330" t="s">
        <v>93</v>
      </c>
      <c r="O330" t="s">
        <v>94</v>
      </c>
      <c r="P330">
        <v>1</v>
      </c>
      <c r="Q330" s="4">
        <v>475.76</v>
      </c>
      <c r="R330" s="5">
        <v>0.01</v>
      </c>
      <c r="S330" s="4">
        <v>25.58</v>
      </c>
      <c r="T330" t="s">
        <v>122</v>
      </c>
      <c r="U330" t="s">
        <v>85</v>
      </c>
    </row>
    <row r="331" spans="1:22">
      <c r="A331" t="s">
        <v>799</v>
      </c>
      <c r="B331" s="3">
        <v>45647</v>
      </c>
      <c r="C331" s="3">
        <v>45651</v>
      </c>
      <c r="D331" t="s">
        <v>384</v>
      </c>
      <c r="E331" t="s">
        <v>385</v>
      </c>
      <c r="F331" t="s">
        <v>74</v>
      </c>
      <c r="G331" t="s">
        <v>126</v>
      </c>
      <c r="H331" t="s">
        <v>291</v>
      </c>
      <c r="I331" t="s">
        <v>292</v>
      </c>
      <c r="J331" t="s">
        <v>109</v>
      </c>
      <c r="K331" t="s">
        <v>90</v>
      </c>
      <c r="L331" t="s">
        <v>254</v>
      </c>
      <c r="M331" t="s">
        <v>255</v>
      </c>
      <c r="N331" t="s">
        <v>82</v>
      </c>
      <c r="O331" t="s">
        <v>83</v>
      </c>
      <c r="P331">
        <v>8</v>
      </c>
      <c r="Q331" s="4">
        <v>91.52</v>
      </c>
      <c r="R331" s="5">
        <v>0.09</v>
      </c>
      <c r="S331" s="4">
        <v>7.51</v>
      </c>
      <c r="T331" t="s">
        <v>105</v>
      </c>
      <c r="U331" t="s">
        <v>85</v>
      </c>
      <c r="V331">
        <v>1</v>
      </c>
    </row>
    <row r="332" spans="1:22">
      <c r="A332" t="s">
        <v>800</v>
      </c>
      <c r="B332" s="3">
        <v>45647</v>
      </c>
      <c r="C332" s="3">
        <v>45654</v>
      </c>
      <c r="D332" t="s">
        <v>500</v>
      </c>
      <c r="E332" t="s">
        <v>501</v>
      </c>
      <c r="F332" t="s">
        <v>152</v>
      </c>
      <c r="G332" t="s">
        <v>194</v>
      </c>
      <c r="H332" t="s">
        <v>202</v>
      </c>
      <c r="I332" t="s">
        <v>203</v>
      </c>
      <c r="J332" t="s">
        <v>109</v>
      </c>
      <c r="K332" t="s">
        <v>90</v>
      </c>
      <c r="L332" t="s">
        <v>220</v>
      </c>
      <c r="M332" t="s">
        <v>221</v>
      </c>
      <c r="N332" t="s">
        <v>93</v>
      </c>
      <c r="O332" t="s">
        <v>177</v>
      </c>
      <c r="P332">
        <v>3</v>
      </c>
      <c r="Q332" s="4">
        <v>226.35</v>
      </c>
      <c r="R332" s="5">
        <v>0.02</v>
      </c>
      <c r="S332" s="4">
        <v>23.12</v>
      </c>
      <c r="T332" t="s">
        <v>134</v>
      </c>
      <c r="U332" t="s">
        <v>85</v>
      </c>
      <c r="V332">
        <v>5</v>
      </c>
    </row>
    <row r="333" spans="1:22">
      <c r="A333" t="s">
        <v>801</v>
      </c>
      <c r="B333" s="3">
        <v>45648</v>
      </c>
      <c r="C333" s="3">
        <v>45651</v>
      </c>
      <c r="D333" t="s">
        <v>297</v>
      </c>
      <c r="E333" t="s">
        <v>298</v>
      </c>
      <c r="F333" t="s">
        <v>74</v>
      </c>
      <c r="G333" t="s">
        <v>126</v>
      </c>
      <c r="H333" t="s">
        <v>291</v>
      </c>
      <c r="I333" t="s">
        <v>292</v>
      </c>
      <c r="J333" t="s">
        <v>129</v>
      </c>
      <c r="K333" t="s">
        <v>79</v>
      </c>
      <c r="L333" t="s">
        <v>234</v>
      </c>
      <c r="M333" t="s">
        <v>235</v>
      </c>
      <c r="N333" t="s">
        <v>93</v>
      </c>
      <c r="O333" t="s">
        <v>236</v>
      </c>
      <c r="P333">
        <v>4</v>
      </c>
      <c r="Q333" s="4">
        <v>153.41999999999999</v>
      </c>
      <c r="R333" s="5">
        <v>7.0000000000000007E-2</v>
      </c>
      <c r="S333" s="4">
        <v>20.34</v>
      </c>
      <c r="T333" t="s">
        <v>105</v>
      </c>
      <c r="U333" t="s">
        <v>85</v>
      </c>
    </row>
    <row r="334" spans="1:22">
      <c r="A334" t="s">
        <v>802</v>
      </c>
      <c r="B334" s="3">
        <v>45648</v>
      </c>
      <c r="C334" s="3">
        <v>45651</v>
      </c>
      <c r="D334" t="s">
        <v>145</v>
      </c>
      <c r="E334" t="s">
        <v>146</v>
      </c>
      <c r="F334" t="s">
        <v>74</v>
      </c>
      <c r="G334" t="s">
        <v>75</v>
      </c>
      <c r="H334" t="s">
        <v>116</v>
      </c>
      <c r="I334" t="s">
        <v>117</v>
      </c>
      <c r="J334" t="s">
        <v>78</v>
      </c>
      <c r="K334" t="s">
        <v>100</v>
      </c>
      <c r="L334" t="s">
        <v>80</v>
      </c>
      <c r="M334" t="s">
        <v>81</v>
      </c>
      <c r="N334" t="s">
        <v>82</v>
      </c>
      <c r="O334" t="s">
        <v>83</v>
      </c>
      <c r="P334">
        <v>1</v>
      </c>
      <c r="Q334" s="4">
        <v>228.85</v>
      </c>
      <c r="R334" s="5">
        <v>0.09</v>
      </c>
      <c r="S334" s="4">
        <v>11.24</v>
      </c>
      <c r="T334" t="s">
        <v>105</v>
      </c>
      <c r="U334" t="s">
        <v>85</v>
      </c>
      <c r="V334">
        <v>1</v>
      </c>
    </row>
    <row r="335" spans="1:22">
      <c r="A335" t="s">
        <v>803</v>
      </c>
      <c r="B335" s="3">
        <v>45648</v>
      </c>
      <c r="C335" s="3">
        <v>45654</v>
      </c>
      <c r="D335" t="s">
        <v>325</v>
      </c>
      <c r="E335" t="s">
        <v>326</v>
      </c>
      <c r="F335" t="s">
        <v>74</v>
      </c>
      <c r="G335" t="s">
        <v>75</v>
      </c>
      <c r="H335" t="s">
        <v>273</v>
      </c>
      <c r="I335" t="s">
        <v>274</v>
      </c>
      <c r="J335" t="s">
        <v>219</v>
      </c>
      <c r="K335" t="s">
        <v>168</v>
      </c>
      <c r="L335" t="s">
        <v>249</v>
      </c>
      <c r="M335" t="s">
        <v>250</v>
      </c>
      <c r="N335" t="s">
        <v>103</v>
      </c>
      <c r="O335" t="s">
        <v>251</v>
      </c>
      <c r="P335">
        <v>5</v>
      </c>
      <c r="Q335" s="4">
        <v>21.87</v>
      </c>
      <c r="R335" s="5">
        <v>7.0000000000000007E-2</v>
      </c>
      <c r="S335" s="4">
        <v>9.56</v>
      </c>
      <c r="T335" t="s">
        <v>105</v>
      </c>
      <c r="U335" t="s">
        <v>85</v>
      </c>
      <c r="V335">
        <v>3</v>
      </c>
    </row>
    <row r="336" spans="1:22">
      <c r="A336" t="s">
        <v>804</v>
      </c>
      <c r="B336" s="3">
        <v>45648</v>
      </c>
      <c r="C336" s="3">
        <v>45652</v>
      </c>
      <c r="D336" t="s">
        <v>332</v>
      </c>
      <c r="E336" t="s">
        <v>333</v>
      </c>
      <c r="F336" t="s">
        <v>74</v>
      </c>
      <c r="G336" t="s">
        <v>126</v>
      </c>
      <c r="H336" t="s">
        <v>127</v>
      </c>
      <c r="I336" t="s">
        <v>128</v>
      </c>
      <c r="J336" t="s">
        <v>109</v>
      </c>
      <c r="K336" t="s">
        <v>147</v>
      </c>
      <c r="L336" t="s">
        <v>431</v>
      </c>
      <c r="M336" t="s">
        <v>432</v>
      </c>
      <c r="N336" t="s">
        <v>103</v>
      </c>
      <c r="O336" t="s">
        <v>251</v>
      </c>
      <c r="P336">
        <v>4</v>
      </c>
      <c r="Q336" s="4">
        <v>37.83</v>
      </c>
      <c r="R336" s="5">
        <v>7.0000000000000007E-2</v>
      </c>
      <c r="S336" s="4">
        <v>13</v>
      </c>
      <c r="T336" t="s">
        <v>84</v>
      </c>
      <c r="U336" t="s">
        <v>85</v>
      </c>
      <c r="V336">
        <v>1</v>
      </c>
    </row>
    <row r="337" spans="1:22">
      <c r="A337" t="s">
        <v>805</v>
      </c>
      <c r="B337" s="3">
        <v>45649</v>
      </c>
      <c r="C337" s="3">
        <v>45658</v>
      </c>
      <c r="D337" t="s">
        <v>438</v>
      </c>
      <c r="E337" t="s">
        <v>439</v>
      </c>
      <c r="F337" t="s">
        <v>152</v>
      </c>
      <c r="G337" t="s">
        <v>194</v>
      </c>
      <c r="H337" t="s">
        <v>240</v>
      </c>
      <c r="I337" t="s">
        <v>241</v>
      </c>
      <c r="J337" t="s">
        <v>129</v>
      </c>
      <c r="K337" t="s">
        <v>130</v>
      </c>
      <c r="L337" t="s">
        <v>249</v>
      </c>
      <c r="M337" t="s">
        <v>250</v>
      </c>
      <c r="N337" t="s">
        <v>103</v>
      </c>
      <c r="O337" t="s">
        <v>251</v>
      </c>
      <c r="P337">
        <v>1</v>
      </c>
      <c r="Q337" s="4">
        <v>22.33</v>
      </c>
      <c r="R337" s="5">
        <v>0.1</v>
      </c>
      <c r="S337" s="4">
        <v>9.73</v>
      </c>
      <c r="T337" t="s">
        <v>105</v>
      </c>
      <c r="U337" t="s">
        <v>85</v>
      </c>
      <c r="V337">
        <v>5</v>
      </c>
    </row>
    <row r="338" spans="1:22">
      <c r="A338" t="s">
        <v>806</v>
      </c>
      <c r="B338" s="3">
        <v>45650</v>
      </c>
      <c r="C338" s="3">
        <v>45653</v>
      </c>
      <c r="D338" t="s">
        <v>497</v>
      </c>
      <c r="E338" t="s">
        <v>498</v>
      </c>
      <c r="F338" t="s">
        <v>89</v>
      </c>
      <c r="G338" t="s">
        <v>126</v>
      </c>
      <c r="H338" t="s">
        <v>291</v>
      </c>
      <c r="I338" t="s">
        <v>292</v>
      </c>
      <c r="J338" t="s">
        <v>129</v>
      </c>
      <c r="K338" t="s">
        <v>147</v>
      </c>
      <c r="L338" t="s">
        <v>431</v>
      </c>
      <c r="M338" t="s">
        <v>432</v>
      </c>
      <c r="N338" t="s">
        <v>103</v>
      </c>
      <c r="O338" t="s">
        <v>251</v>
      </c>
      <c r="P338">
        <v>8</v>
      </c>
      <c r="Q338" s="4">
        <v>39.4</v>
      </c>
      <c r="R338" s="5">
        <v>0.04</v>
      </c>
      <c r="S338" s="4">
        <v>10.36</v>
      </c>
      <c r="T338" t="s">
        <v>105</v>
      </c>
      <c r="U338" t="s">
        <v>85</v>
      </c>
      <c r="V338">
        <v>3</v>
      </c>
    </row>
    <row r="339" spans="1:22">
      <c r="A339" t="s">
        <v>807</v>
      </c>
      <c r="B339" s="3">
        <v>45651</v>
      </c>
      <c r="C339" s="3">
        <v>45658</v>
      </c>
      <c r="D339" t="s">
        <v>591</v>
      </c>
      <c r="E339" t="s">
        <v>592</v>
      </c>
      <c r="F339" t="s">
        <v>74</v>
      </c>
      <c r="G339" t="s">
        <v>126</v>
      </c>
      <c r="H339" t="s">
        <v>160</v>
      </c>
      <c r="I339" t="s">
        <v>161</v>
      </c>
      <c r="J339" t="s">
        <v>78</v>
      </c>
      <c r="K339" t="s">
        <v>79</v>
      </c>
      <c r="L339" t="s">
        <v>254</v>
      </c>
      <c r="M339" t="s">
        <v>255</v>
      </c>
      <c r="N339" t="s">
        <v>82</v>
      </c>
      <c r="O339" t="s">
        <v>83</v>
      </c>
      <c r="P339">
        <v>5</v>
      </c>
      <c r="Q339" s="4">
        <v>90.35</v>
      </c>
      <c r="R339" s="5">
        <v>0.09</v>
      </c>
      <c r="S339" s="4">
        <v>6.06</v>
      </c>
      <c r="T339" t="s">
        <v>134</v>
      </c>
      <c r="U339" t="s">
        <v>85</v>
      </c>
      <c r="V339">
        <v>4</v>
      </c>
    </row>
    <row r="340" spans="1:22">
      <c r="A340" t="s">
        <v>808</v>
      </c>
      <c r="B340" s="3">
        <v>45652</v>
      </c>
      <c r="C340" s="3">
        <v>45658</v>
      </c>
      <c r="D340" t="s">
        <v>478</v>
      </c>
      <c r="E340" t="s">
        <v>479</v>
      </c>
      <c r="F340" t="s">
        <v>74</v>
      </c>
      <c r="G340" t="s">
        <v>194</v>
      </c>
      <c r="H340" t="s">
        <v>240</v>
      </c>
      <c r="I340" t="s">
        <v>241</v>
      </c>
      <c r="J340" t="s">
        <v>129</v>
      </c>
      <c r="K340" t="s">
        <v>79</v>
      </c>
      <c r="L340" t="s">
        <v>431</v>
      </c>
      <c r="M340" t="s">
        <v>432</v>
      </c>
      <c r="N340" t="s">
        <v>103</v>
      </c>
      <c r="O340" t="s">
        <v>251</v>
      </c>
      <c r="P340">
        <v>7</v>
      </c>
      <c r="Q340" s="4">
        <v>40.46</v>
      </c>
      <c r="R340" s="5">
        <v>0.05</v>
      </c>
      <c r="S340" s="4">
        <v>12.51</v>
      </c>
      <c r="T340" t="s">
        <v>105</v>
      </c>
      <c r="U340" t="s">
        <v>85</v>
      </c>
      <c r="V340">
        <v>5</v>
      </c>
    </row>
    <row r="341" spans="1:22">
      <c r="A341" t="s">
        <v>809</v>
      </c>
      <c r="B341" s="3">
        <v>45652</v>
      </c>
      <c r="C341" s="3">
        <v>45658</v>
      </c>
      <c r="D341" t="s">
        <v>514</v>
      </c>
      <c r="E341" t="s">
        <v>515</v>
      </c>
      <c r="F341" t="s">
        <v>74</v>
      </c>
      <c r="G341" t="s">
        <v>75</v>
      </c>
      <c r="H341" t="s">
        <v>212</v>
      </c>
      <c r="I341" t="s">
        <v>213</v>
      </c>
      <c r="J341" t="s">
        <v>78</v>
      </c>
      <c r="K341" t="s">
        <v>100</v>
      </c>
      <c r="L341" t="s">
        <v>214</v>
      </c>
      <c r="M341" t="s">
        <v>215</v>
      </c>
      <c r="N341" t="s">
        <v>103</v>
      </c>
      <c r="O341" t="s">
        <v>171</v>
      </c>
      <c r="P341">
        <v>4</v>
      </c>
      <c r="Q341" s="4">
        <v>11.37</v>
      </c>
      <c r="R341" s="5">
        <v>0</v>
      </c>
      <c r="S341" s="4">
        <v>6.96</v>
      </c>
      <c r="T341" t="s">
        <v>134</v>
      </c>
      <c r="U341" t="s">
        <v>85</v>
      </c>
      <c r="V341">
        <v>5</v>
      </c>
    </row>
    <row r="342" spans="1:22">
      <c r="A342" t="s">
        <v>810</v>
      </c>
      <c r="B342" s="3">
        <v>45653</v>
      </c>
      <c r="C342" s="3">
        <v>45659</v>
      </c>
      <c r="D342" t="s">
        <v>748</v>
      </c>
      <c r="E342" t="s">
        <v>749</v>
      </c>
      <c r="F342" t="s">
        <v>152</v>
      </c>
      <c r="G342" t="s">
        <v>138</v>
      </c>
      <c r="H342" t="s">
        <v>153</v>
      </c>
      <c r="I342" t="s">
        <v>154</v>
      </c>
      <c r="J342" t="s">
        <v>219</v>
      </c>
      <c r="K342" t="s">
        <v>130</v>
      </c>
      <c r="L342" t="s">
        <v>118</v>
      </c>
      <c r="M342" t="s">
        <v>119</v>
      </c>
      <c r="N342" t="s">
        <v>120</v>
      </c>
      <c r="O342" t="s">
        <v>121</v>
      </c>
      <c r="P342">
        <v>2</v>
      </c>
      <c r="Q342" s="4">
        <v>273.58</v>
      </c>
      <c r="R342" s="5">
        <v>0.09</v>
      </c>
      <c r="S342" s="4">
        <v>22.72</v>
      </c>
      <c r="T342" t="s">
        <v>105</v>
      </c>
      <c r="U342" t="s">
        <v>85</v>
      </c>
      <c r="V342">
        <v>5</v>
      </c>
    </row>
    <row r="343" spans="1:22">
      <c r="A343" t="s">
        <v>811</v>
      </c>
      <c r="B343" s="3">
        <v>45653</v>
      </c>
      <c r="C343" s="3">
        <v>45661</v>
      </c>
      <c r="D343" t="s">
        <v>812</v>
      </c>
      <c r="E343" t="s">
        <v>813</v>
      </c>
      <c r="F343" t="s">
        <v>152</v>
      </c>
      <c r="G343" t="s">
        <v>75</v>
      </c>
      <c r="H343" t="s">
        <v>273</v>
      </c>
      <c r="I343" t="s">
        <v>274</v>
      </c>
      <c r="J343" t="s">
        <v>78</v>
      </c>
      <c r="K343" t="s">
        <v>90</v>
      </c>
      <c r="L343" t="s">
        <v>249</v>
      </c>
      <c r="M343" t="s">
        <v>250</v>
      </c>
      <c r="N343" t="s">
        <v>103</v>
      </c>
      <c r="O343" t="s">
        <v>251</v>
      </c>
      <c r="P343">
        <v>3</v>
      </c>
      <c r="Q343" s="4">
        <v>21.8</v>
      </c>
      <c r="R343" s="5">
        <v>0.05</v>
      </c>
      <c r="S343" s="4">
        <v>7.34</v>
      </c>
      <c r="T343" t="s">
        <v>105</v>
      </c>
      <c r="U343" t="s">
        <v>148</v>
      </c>
      <c r="V343">
        <v>2</v>
      </c>
    </row>
    <row r="344" spans="1:22">
      <c r="A344" t="s">
        <v>814</v>
      </c>
      <c r="B344" s="3">
        <v>45654</v>
      </c>
      <c r="C344" s="3">
        <v>45661</v>
      </c>
      <c r="D344" t="s">
        <v>406</v>
      </c>
      <c r="E344" t="s">
        <v>407</v>
      </c>
      <c r="F344" t="s">
        <v>89</v>
      </c>
      <c r="G344" t="s">
        <v>75</v>
      </c>
      <c r="H344" t="s">
        <v>116</v>
      </c>
      <c r="I344" t="s">
        <v>117</v>
      </c>
      <c r="J344" t="s">
        <v>219</v>
      </c>
      <c r="K344" t="s">
        <v>100</v>
      </c>
      <c r="L344" t="s">
        <v>249</v>
      </c>
      <c r="M344" t="s">
        <v>250</v>
      </c>
      <c r="N344" t="s">
        <v>103</v>
      </c>
      <c r="O344" t="s">
        <v>251</v>
      </c>
      <c r="P344">
        <v>1</v>
      </c>
      <c r="Q344" s="4">
        <v>21.91</v>
      </c>
      <c r="R344" s="5">
        <v>0.28999999999999998</v>
      </c>
      <c r="S344" s="4">
        <v>11.48</v>
      </c>
      <c r="T344" t="s">
        <v>134</v>
      </c>
      <c r="U344" t="s">
        <v>148</v>
      </c>
    </row>
    <row r="345" spans="1:22">
      <c r="A345" t="s">
        <v>815</v>
      </c>
      <c r="B345" s="3">
        <v>45657</v>
      </c>
      <c r="C345" s="3">
        <v>45666</v>
      </c>
      <c r="D345" t="s">
        <v>332</v>
      </c>
      <c r="E345" t="s">
        <v>333</v>
      </c>
      <c r="F345" t="s">
        <v>74</v>
      </c>
      <c r="G345" t="s">
        <v>126</v>
      </c>
      <c r="H345" t="s">
        <v>127</v>
      </c>
      <c r="I345" t="s">
        <v>128</v>
      </c>
      <c r="J345" t="s">
        <v>109</v>
      </c>
      <c r="K345" t="s">
        <v>130</v>
      </c>
      <c r="L345" t="s">
        <v>284</v>
      </c>
      <c r="M345" t="s">
        <v>285</v>
      </c>
      <c r="N345" t="s">
        <v>103</v>
      </c>
      <c r="O345" t="s">
        <v>143</v>
      </c>
      <c r="P345">
        <v>6</v>
      </c>
      <c r="Q345" s="4">
        <v>27.83</v>
      </c>
      <c r="R345" s="5">
        <v>0.03</v>
      </c>
      <c r="S345" s="4">
        <v>7.61</v>
      </c>
      <c r="T345" t="s">
        <v>84</v>
      </c>
      <c r="U345" t="s">
        <v>85</v>
      </c>
      <c r="V345">
        <v>3</v>
      </c>
    </row>
    <row r="346" spans="1:22">
      <c r="A346" t="s">
        <v>816</v>
      </c>
      <c r="B346" s="3">
        <v>45658</v>
      </c>
      <c r="C346" s="3">
        <v>45664</v>
      </c>
      <c r="D346" t="s">
        <v>694</v>
      </c>
      <c r="E346" t="s">
        <v>695</v>
      </c>
      <c r="F346" t="s">
        <v>89</v>
      </c>
      <c r="G346" t="s">
        <v>194</v>
      </c>
      <c r="H346" t="s">
        <v>225</v>
      </c>
      <c r="I346" t="s">
        <v>226</v>
      </c>
      <c r="J346" t="s">
        <v>109</v>
      </c>
      <c r="K346" t="s">
        <v>100</v>
      </c>
      <c r="L346" t="s">
        <v>141</v>
      </c>
      <c r="M346" t="s">
        <v>142</v>
      </c>
      <c r="N346" t="s">
        <v>103</v>
      </c>
      <c r="O346" t="s">
        <v>143</v>
      </c>
      <c r="P346">
        <v>5</v>
      </c>
      <c r="Q346" s="4">
        <v>36.68</v>
      </c>
      <c r="R346" s="5">
        <v>0.01</v>
      </c>
      <c r="S346" s="4">
        <v>15.84</v>
      </c>
      <c r="T346" t="s">
        <v>134</v>
      </c>
      <c r="U346" t="s">
        <v>85</v>
      </c>
      <c r="V346">
        <v>5</v>
      </c>
    </row>
    <row r="347" spans="1:22">
      <c r="A347" t="s">
        <v>817</v>
      </c>
      <c r="B347" s="3">
        <v>45658</v>
      </c>
      <c r="C347" s="3">
        <v>45661</v>
      </c>
      <c r="D347" t="s">
        <v>381</v>
      </c>
      <c r="E347" t="s">
        <v>382</v>
      </c>
      <c r="F347" t="s">
        <v>152</v>
      </c>
      <c r="G347" t="s">
        <v>194</v>
      </c>
      <c r="H347" t="s">
        <v>202</v>
      </c>
      <c r="I347" t="s">
        <v>203</v>
      </c>
      <c r="J347" t="s">
        <v>219</v>
      </c>
      <c r="K347" t="s">
        <v>147</v>
      </c>
      <c r="L347" t="s">
        <v>131</v>
      </c>
      <c r="M347" t="s">
        <v>132</v>
      </c>
      <c r="N347" t="s">
        <v>120</v>
      </c>
      <c r="O347" t="s">
        <v>133</v>
      </c>
      <c r="P347">
        <v>2</v>
      </c>
      <c r="Q347" s="4">
        <v>89.03</v>
      </c>
      <c r="R347" s="5">
        <v>0.08</v>
      </c>
      <c r="S347" s="4">
        <v>22.86</v>
      </c>
      <c r="T347" t="s">
        <v>105</v>
      </c>
      <c r="U347" t="s">
        <v>85</v>
      </c>
      <c r="V347">
        <v>2</v>
      </c>
    </row>
    <row r="348" spans="1:22">
      <c r="A348" t="s">
        <v>818</v>
      </c>
      <c r="B348" s="3">
        <v>45660</v>
      </c>
      <c r="C348" s="3">
        <v>45663</v>
      </c>
      <c r="D348" t="s">
        <v>757</v>
      </c>
      <c r="E348" t="s">
        <v>218</v>
      </c>
      <c r="F348" t="s">
        <v>74</v>
      </c>
      <c r="G348" t="s">
        <v>138</v>
      </c>
      <c r="H348" t="s">
        <v>457</v>
      </c>
      <c r="I348" t="s">
        <v>458</v>
      </c>
      <c r="J348" t="s">
        <v>109</v>
      </c>
      <c r="K348" t="s">
        <v>147</v>
      </c>
      <c r="L348" t="s">
        <v>80</v>
      </c>
      <c r="M348" t="s">
        <v>81</v>
      </c>
      <c r="N348" t="s">
        <v>82</v>
      </c>
      <c r="O348" t="s">
        <v>83</v>
      </c>
      <c r="P348">
        <v>3</v>
      </c>
      <c r="Q348" s="4">
        <v>237.09</v>
      </c>
      <c r="R348" s="5">
        <v>0.12</v>
      </c>
      <c r="S348" s="4">
        <v>9.86</v>
      </c>
      <c r="T348" t="s">
        <v>105</v>
      </c>
      <c r="U348" t="s">
        <v>85</v>
      </c>
    </row>
    <row r="349" spans="1:22">
      <c r="A349" t="s">
        <v>819</v>
      </c>
      <c r="B349" s="3">
        <v>45662</v>
      </c>
      <c r="C349" s="3">
        <v>45663</v>
      </c>
      <c r="D349" t="s">
        <v>400</v>
      </c>
      <c r="E349" t="s">
        <v>316</v>
      </c>
      <c r="F349" t="s">
        <v>152</v>
      </c>
      <c r="G349" t="s">
        <v>75</v>
      </c>
      <c r="H349" t="s">
        <v>273</v>
      </c>
      <c r="I349" t="s">
        <v>274</v>
      </c>
      <c r="J349" t="s">
        <v>78</v>
      </c>
      <c r="K349" t="s">
        <v>79</v>
      </c>
      <c r="L349" t="s">
        <v>261</v>
      </c>
      <c r="M349" t="s">
        <v>262</v>
      </c>
      <c r="N349" t="s">
        <v>103</v>
      </c>
      <c r="O349" t="s">
        <v>104</v>
      </c>
      <c r="P349">
        <v>3</v>
      </c>
      <c r="Q349" s="4">
        <v>27.83</v>
      </c>
      <c r="R349" s="5">
        <v>0.08</v>
      </c>
      <c r="S349" s="4">
        <v>9.39</v>
      </c>
      <c r="T349" t="s">
        <v>134</v>
      </c>
      <c r="U349" t="s">
        <v>85</v>
      </c>
      <c r="V349">
        <v>3</v>
      </c>
    </row>
    <row r="350" spans="1:22">
      <c r="A350" t="s">
        <v>820</v>
      </c>
      <c r="B350" s="3">
        <v>45663</v>
      </c>
      <c r="C350" s="3">
        <v>45664</v>
      </c>
      <c r="D350" t="s">
        <v>771</v>
      </c>
      <c r="E350" t="s">
        <v>772</v>
      </c>
      <c r="F350" t="s">
        <v>74</v>
      </c>
      <c r="G350" t="s">
        <v>126</v>
      </c>
      <c r="H350" t="s">
        <v>127</v>
      </c>
      <c r="I350" t="s">
        <v>128</v>
      </c>
      <c r="J350" t="s">
        <v>219</v>
      </c>
      <c r="K350" t="s">
        <v>147</v>
      </c>
      <c r="L350" t="s">
        <v>110</v>
      </c>
      <c r="M350" t="s">
        <v>111</v>
      </c>
      <c r="N350" t="s">
        <v>82</v>
      </c>
      <c r="O350" t="s">
        <v>112</v>
      </c>
      <c r="P350">
        <v>4</v>
      </c>
      <c r="Q350" s="4">
        <v>328.38</v>
      </c>
      <c r="R350" s="5">
        <v>0.09</v>
      </c>
      <c r="S350" s="4">
        <v>16.899999999999999</v>
      </c>
      <c r="T350" t="s">
        <v>105</v>
      </c>
      <c r="U350" t="s">
        <v>85</v>
      </c>
      <c r="V350">
        <v>1</v>
      </c>
    </row>
    <row r="351" spans="1:22">
      <c r="A351" t="s">
        <v>821</v>
      </c>
      <c r="B351" s="3">
        <v>45664</v>
      </c>
      <c r="C351" s="3">
        <v>45668</v>
      </c>
      <c r="D351" t="s">
        <v>677</v>
      </c>
      <c r="E351" t="s">
        <v>678</v>
      </c>
      <c r="F351" t="s">
        <v>152</v>
      </c>
      <c r="G351" t="s">
        <v>138</v>
      </c>
      <c r="H351" t="s">
        <v>347</v>
      </c>
      <c r="I351" t="s">
        <v>348</v>
      </c>
      <c r="J351" t="s">
        <v>109</v>
      </c>
      <c r="K351" t="s">
        <v>147</v>
      </c>
      <c r="L351" t="s">
        <v>214</v>
      </c>
      <c r="M351" t="s">
        <v>215</v>
      </c>
      <c r="N351" t="s">
        <v>103</v>
      </c>
      <c r="O351" t="s">
        <v>171</v>
      </c>
      <c r="P351">
        <v>1</v>
      </c>
      <c r="Q351" s="4">
        <v>12.14</v>
      </c>
      <c r="R351" s="5">
        <v>0.04</v>
      </c>
      <c r="S351" s="4">
        <v>9.35</v>
      </c>
      <c r="T351" t="s">
        <v>122</v>
      </c>
      <c r="U351" t="s">
        <v>85</v>
      </c>
      <c r="V351">
        <v>1</v>
      </c>
    </row>
    <row r="352" spans="1:22">
      <c r="A352" t="s">
        <v>822</v>
      </c>
      <c r="B352" s="3">
        <v>45665</v>
      </c>
      <c r="C352" s="3">
        <v>45671</v>
      </c>
      <c r="D352" t="s">
        <v>192</v>
      </c>
      <c r="E352" t="s">
        <v>193</v>
      </c>
      <c r="F352" t="s">
        <v>89</v>
      </c>
      <c r="G352" t="s">
        <v>194</v>
      </c>
      <c r="H352" t="s">
        <v>195</v>
      </c>
      <c r="I352" t="s">
        <v>196</v>
      </c>
      <c r="J352" t="s">
        <v>129</v>
      </c>
      <c r="K352" t="s">
        <v>168</v>
      </c>
      <c r="L352" t="s">
        <v>131</v>
      </c>
      <c r="M352" t="s">
        <v>132</v>
      </c>
      <c r="N352" t="s">
        <v>120</v>
      </c>
      <c r="O352" t="s">
        <v>133</v>
      </c>
      <c r="P352">
        <v>4</v>
      </c>
      <c r="Q352" s="4">
        <v>88.67</v>
      </c>
      <c r="R352" s="5">
        <v>0.1</v>
      </c>
      <c r="S352" s="4">
        <v>19.41</v>
      </c>
      <c r="T352" t="s">
        <v>84</v>
      </c>
      <c r="U352" t="s">
        <v>85</v>
      </c>
      <c r="V352">
        <v>5</v>
      </c>
    </row>
    <row r="353" spans="1:22">
      <c r="A353" t="s">
        <v>823</v>
      </c>
      <c r="B353" s="3">
        <v>45666</v>
      </c>
      <c r="C353" s="3">
        <v>45671</v>
      </c>
      <c r="D353" t="s">
        <v>456</v>
      </c>
      <c r="E353" t="s">
        <v>369</v>
      </c>
      <c r="F353" t="s">
        <v>89</v>
      </c>
      <c r="G353" t="s">
        <v>138</v>
      </c>
      <c r="H353" t="s">
        <v>457</v>
      </c>
      <c r="I353" t="s">
        <v>458</v>
      </c>
      <c r="J353" t="s">
        <v>78</v>
      </c>
      <c r="K353" t="s">
        <v>147</v>
      </c>
      <c r="L353" t="s">
        <v>234</v>
      </c>
      <c r="M353" t="s">
        <v>235</v>
      </c>
      <c r="N353" t="s">
        <v>93</v>
      </c>
      <c r="O353" t="s">
        <v>236</v>
      </c>
      <c r="P353">
        <v>1</v>
      </c>
      <c r="Q353" s="4">
        <v>141.99</v>
      </c>
      <c r="R353" s="5">
        <v>0.26</v>
      </c>
      <c r="S353" s="4">
        <v>24.14</v>
      </c>
      <c r="T353" t="s">
        <v>122</v>
      </c>
      <c r="U353" t="s">
        <v>85</v>
      </c>
    </row>
    <row r="354" spans="1:22">
      <c r="A354" t="s">
        <v>824</v>
      </c>
      <c r="B354" s="3">
        <v>45668</v>
      </c>
      <c r="C354" s="3">
        <v>45671</v>
      </c>
      <c r="D354" t="s">
        <v>456</v>
      </c>
      <c r="E354" t="s">
        <v>369</v>
      </c>
      <c r="F354" t="s">
        <v>89</v>
      </c>
      <c r="G354" t="s">
        <v>138</v>
      </c>
      <c r="H354" t="s">
        <v>457</v>
      </c>
      <c r="I354" t="s">
        <v>458</v>
      </c>
      <c r="J354" t="s">
        <v>109</v>
      </c>
      <c r="K354" t="s">
        <v>79</v>
      </c>
      <c r="L354" t="s">
        <v>169</v>
      </c>
      <c r="M354" t="s">
        <v>170</v>
      </c>
      <c r="N354" t="s">
        <v>103</v>
      </c>
      <c r="O354" t="s">
        <v>171</v>
      </c>
      <c r="P354">
        <v>2</v>
      </c>
      <c r="Q354" s="4">
        <v>14.92</v>
      </c>
      <c r="R354" s="5">
        <v>0.19</v>
      </c>
      <c r="S354" s="4">
        <v>16.989999999999998</v>
      </c>
      <c r="T354" t="s">
        <v>84</v>
      </c>
      <c r="U354" t="s">
        <v>85</v>
      </c>
      <c r="V354">
        <v>4</v>
      </c>
    </row>
    <row r="355" spans="1:22">
      <c r="A355" t="s">
        <v>825</v>
      </c>
      <c r="B355" s="3">
        <v>45670</v>
      </c>
      <c r="C355" s="3">
        <v>45680</v>
      </c>
      <c r="D355" t="s">
        <v>87</v>
      </c>
      <c r="E355" t="s">
        <v>88</v>
      </c>
      <c r="F355" t="s">
        <v>89</v>
      </c>
      <c r="G355" t="s">
        <v>75</v>
      </c>
      <c r="H355" t="s">
        <v>76</v>
      </c>
      <c r="I355" t="s">
        <v>77</v>
      </c>
      <c r="J355" t="s">
        <v>109</v>
      </c>
      <c r="K355" t="s">
        <v>79</v>
      </c>
      <c r="L355" t="s">
        <v>261</v>
      </c>
      <c r="M355" t="s">
        <v>262</v>
      </c>
      <c r="N355" t="s">
        <v>103</v>
      </c>
      <c r="O355" t="s">
        <v>104</v>
      </c>
      <c r="P355">
        <v>7</v>
      </c>
      <c r="Q355" s="4">
        <v>28.22</v>
      </c>
      <c r="R355" s="5">
        <v>0.32</v>
      </c>
      <c r="S355" s="4">
        <v>12.41</v>
      </c>
      <c r="T355" t="s">
        <v>84</v>
      </c>
      <c r="U355" t="s">
        <v>85</v>
      </c>
      <c r="V355">
        <v>5</v>
      </c>
    </row>
    <row r="356" spans="1:22">
      <c r="A356" t="s">
        <v>826</v>
      </c>
      <c r="B356" s="3">
        <v>45670</v>
      </c>
      <c r="C356" s="3">
        <v>45672</v>
      </c>
      <c r="D356" t="s">
        <v>228</v>
      </c>
      <c r="E356" t="s">
        <v>229</v>
      </c>
      <c r="F356" t="s">
        <v>74</v>
      </c>
      <c r="G356" t="s">
        <v>194</v>
      </c>
      <c r="H356" t="s">
        <v>230</v>
      </c>
      <c r="I356" t="s">
        <v>231</v>
      </c>
      <c r="J356" t="s">
        <v>78</v>
      </c>
      <c r="K356" t="s">
        <v>147</v>
      </c>
      <c r="L356" t="s">
        <v>91</v>
      </c>
      <c r="M356" t="s">
        <v>92</v>
      </c>
      <c r="N356" t="s">
        <v>93</v>
      </c>
      <c r="O356" t="s">
        <v>94</v>
      </c>
      <c r="P356">
        <v>3</v>
      </c>
      <c r="Q356" s="4">
        <v>343.63</v>
      </c>
      <c r="R356" s="5">
        <v>0.34</v>
      </c>
      <c r="S356" s="4">
        <v>29.6</v>
      </c>
      <c r="T356" t="s">
        <v>134</v>
      </c>
      <c r="U356" t="s">
        <v>85</v>
      </c>
      <c r="V356">
        <v>4</v>
      </c>
    </row>
    <row r="357" spans="1:22">
      <c r="A357" t="s">
        <v>827</v>
      </c>
      <c r="B357" s="3">
        <v>45673</v>
      </c>
      <c r="C357" s="3">
        <v>45682</v>
      </c>
      <c r="D357" t="s">
        <v>514</v>
      </c>
      <c r="E357" t="s">
        <v>515</v>
      </c>
      <c r="F357" t="s">
        <v>74</v>
      </c>
      <c r="G357" t="s">
        <v>75</v>
      </c>
      <c r="H357" t="s">
        <v>212</v>
      </c>
      <c r="I357" t="s">
        <v>213</v>
      </c>
      <c r="J357" t="s">
        <v>219</v>
      </c>
      <c r="K357" t="s">
        <v>100</v>
      </c>
      <c r="L357" t="s">
        <v>80</v>
      </c>
      <c r="M357" t="s">
        <v>81</v>
      </c>
      <c r="N357" t="s">
        <v>82</v>
      </c>
      <c r="O357" t="s">
        <v>83</v>
      </c>
      <c r="P357">
        <v>10</v>
      </c>
      <c r="Q357" s="4">
        <v>244.17</v>
      </c>
      <c r="R357" s="5">
        <v>0.11</v>
      </c>
      <c r="S357" s="4">
        <v>13.71</v>
      </c>
      <c r="T357" t="s">
        <v>105</v>
      </c>
      <c r="U357" t="s">
        <v>85</v>
      </c>
      <c r="V357">
        <v>4</v>
      </c>
    </row>
    <row r="358" spans="1:22">
      <c r="A358" t="s">
        <v>828</v>
      </c>
      <c r="B358" s="3">
        <v>45673</v>
      </c>
      <c r="C358" s="3">
        <v>45679</v>
      </c>
      <c r="D358" t="s">
        <v>485</v>
      </c>
      <c r="E358" t="s">
        <v>193</v>
      </c>
      <c r="F358" t="s">
        <v>74</v>
      </c>
      <c r="G358" t="s">
        <v>138</v>
      </c>
      <c r="H358" t="s">
        <v>153</v>
      </c>
      <c r="I358" t="s">
        <v>154</v>
      </c>
      <c r="J358" t="s">
        <v>129</v>
      </c>
      <c r="K358" t="s">
        <v>100</v>
      </c>
      <c r="L358" t="s">
        <v>284</v>
      </c>
      <c r="M358" t="s">
        <v>285</v>
      </c>
      <c r="N358" t="s">
        <v>103</v>
      </c>
      <c r="O358" t="s">
        <v>143</v>
      </c>
      <c r="P358">
        <v>2</v>
      </c>
      <c r="Q358" s="4">
        <v>0</v>
      </c>
      <c r="R358" s="5">
        <v>0.1</v>
      </c>
      <c r="S358" s="4">
        <v>11.64</v>
      </c>
      <c r="T358" t="s">
        <v>84</v>
      </c>
      <c r="U358" t="s">
        <v>148</v>
      </c>
      <c r="V358">
        <v>1</v>
      </c>
    </row>
    <row r="359" spans="1:22">
      <c r="A359" t="s">
        <v>829</v>
      </c>
      <c r="B359" s="3">
        <v>45674</v>
      </c>
      <c r="C359" s="3">
        <v>45679</v>
      </c>
      <c r="D359" t="s">
        <v>601</v>
      </c>
      <c r="E359" t="s">
        <v>351</v>
      </c>
      <c r="F359" t="s">
        <v>74</v>
      </c>
      <c r="G359" t="s">
        <v>194</v>
      </c>
      <c r="H359" t="s">
        <v>240</v>
      </c>
      <c r="I359" t="s">
        <v>241</v>
      </c>
      <c r="J359" t="s">
        <v>109</v>
      </c>
      <c r="K359" t="s">
        <v>90</v>
      </c>
      <c r="L359" t="s">
        <v>207</v>
      </c>
      <c r="M359" t="s">
        <v>208</v>
      </c>
      <c r="N359" t="s">
        <v>120</v>
      </c>
      <c r="O359" t="s">
        <v>164</v>
      </c>
      <c r="P359">
        <v>4</v>
      </c>
      <c r="Q359" s="4">
        <v>1471.99</v>
      </c>
      <c r="R359" s="5">
        <v>0.02</v>
      </c>
      <c r="S359" s="4">
        <v>16.71</v>
      </c>
      <c r="T359" t="s">
        <v>105</v>
      </c>
      <c r="U359" t="s">
        <v>85</v>
      </c>
      <c r="V359">
        <v>5</v>
      </c>
    </row>
    <row r="360" spans="1:22">
      <c r="A360" t="s">
        <v>830</v>
      </c>
      <c r="B360" s="3">
        <v>45675</v>
      </c>
      <c r="C360" s="3">
        <v>45677</v>
      </c>
      <c r="D360" t="s">
        <v>381</v>
      </c>
      <c r="E360" t="s">
        <v>382</v>
      </c>
      <c r="F360" t="s">
        <v>152</v>
      </c>
      <c r="G360" t="s">
        <v>194</v>
      </c>
      <c r="H360" t="s">
        <v>202</v>
      </c>
      <c r="I360" t="s">
        <v>203</v>
      </c>
      <c r="J360" t="s">
        <v>109</v>
      </c>
      <c r="K360" t="s">
        <v>147</v>
      </c>
      <c r="L360" t="s">
        <v>242</v>
      </c>
      <c r="M360" t="s">
        <v>243</v>
      </c>
      <c r="N360" t="s">
        <v>120</v>
      </c>
      <c r="O360" t="s">
        <v>133</v>
      </c>
      <c r="P360">
        <v>1</v>
      </c>
      <c r="Q360" s="4">
        <v>190.57</v>
      </c>
      <c r="R360" s="5">
        <v>0.03</v>
      </c>
      <c r="S360" s="4">
        <v>22.41</v>
      </c>
      <c r="T360" t="s">
        <v>84</v>
      </c>
      <c r="U360" t="s">
        <v>85</v>
      </c>
      <c r="V360">
        <v>3</v>
      </c>
    </row>
    <row r="361" spans="1:22">
      <c r="A361" t="s">
        <v>831</v>
      </c>
      <c r="B361" s="3">
        <v>45677</v>
      </c>
      <c r="C361" s="3">
        <v>45683</v>
      </c>
      <c r="D361" t="s">
        <v>728</v>
      </c>
      <c r="E361" t="s">
        <v>333</v>
      </c>
      <c r="F361" t="s">
        <v>89</v>
      </c>
      <c r="G361" t="s">
        <v>194</v>
      </c>
      <c r="H361" t="s">
        <v>195</v>
      </c>
      <c r="I361" t="s">
        <v>196</v>
      </c>
      <c r="J361" t="s">
        <v>109</v>
      </c>
      <c r="K361" t="s">
        <v>130</v>
      </c>
      <c r="L361" t="s">
        <v>118</v>
      </c>
      <c r="M361" t="s">
        <v>119</v>
      </c>
      <c r="N361" t="s">
        <v>120</v>
      </c>
      <c r="O361" t="s">
        <v>121</v>
      </c>
      <c r="P361">
        <v>1</v>
      </c>
      <c r="Q361" s="4">
        <v>275.31</v>
      </c>
      <c r="R361" s="5">
        <v>0.12</v>
      </c>
      <c r="S361" s="4">
        <v>19.489999999999998</v>
      </c>
      <c r="T361" t="s">
        <v>122</v>
      </c>
      <c r="U361" t="s">
        <v>85</v>
      </c>
      <c r="V361">
        <v>5</v>
      </c>
    </row>
    <row r="362" spans="1:22">
      <c r="A362" t="s">
        <v>832</v>
      </c>
      <c r="B362" s="3">
        <v>45677</v>
      </c>
      <c r="C362" s="3">
        <v>45687</v>
      </c>
      <c r="D362" t="s">
        <v>456</v>
      </c>
      <c r="E362" t="s">
        <v>369</v>
      </c>
      <c r="F362" t="s">
        <v>89</v>
      </c>
      <c r="G362" t="s">
        <v>138</v>
      </c>
      <c r="H362" t="s">
        <v>457</v>
      </c>
      <c r="I362" t="s">
        <v>458</v>
      </c>
      <c r="J362" t="s">
        <v>109</v>
      </c>
      <c r="K362" t="s">
        <v>79</v>
      </c>
      <c r="L362" t="s">
        <v>118</v>
      </c>
      <c r="M362" t="s">
        <v>119</v>
      </c>
      <c r="N362" t="s">
        <v>120</v>
      </c>
      <c r="O362" t="s">
        <v>121</v>
      </c>
      <c r="P362">
        <v>1</v>
      </c>
      <c r="Q362" s="4">
        <v>299.35000000000002</v>
      </c>
      <c r="R362" s="5">
        <v>7.0000000000000007E-2</v>
      </c>
      <c r="S362" s="4">
        <v>19.05</v>
      </c>
      <c r="T362" t="s">
        <v>134</v>
      </c>
      <c r="U362" t="s">
        <v>148</v>
      </c>
      <c r="V362">
        <v>4</v>
      </c>
    </row>
    <row r="363" spans="1:22">
      <c r="A363" t="s">
        <v>833</v>
      </c>
      <c r="B363" s="3">
        <v>45678</v>
      </c>
      <c r="C363" s="3">
        <v>45684</v>
      </c>
      <c r="D363" t="s">
        <v>205</v>
      </c>
      <c r="E363" t="s">
        <v>206</v>
      </c>
      <c r="F363" t="s">
        <v>74</v>
      </c>
      <c r="G363" t="s">
        <v>194</v>
      </c>
      <c r="H363" t="s">
        <v>202</v>
      </c>
      <c r="I363" t="s">
        <v>203</v>
      </c>
      <c r="J363" t="s">
        <v>109</v>
      </c>
      <c r="K363" t="s">
        <v>168</v>
      </c>
      <c r="L363" t="s">
        <v>254</v>
      </c>
      <c r="M363" t="s">
        <v>255</v>
      </c>
      <c r="N363" t="s">
        <v>82</v>
      </c>
      <c r="O363" t="s">
        <v>83</v>
      </c>
      <c r="P363">
        <v>3</v>
      </c>
      <c r="Q363" s="4">
        <v>90.66</v>
      </c>
      <c r="R363" s="5">
        <v>0.08</v>
      </c>
      <c r="S363" s="4">
        <v>5.88</v>
      </c>
      <c r="T363" t="s">
        <v>122</v>
      </c>
      <c r="U363" t="s">
        <v>85</v>
      </c>
      <c r="V363">
        <v>1</v>
      </c>
    </row>
    <row r="364" spans="1:22">
      <c r="A364" t="s">
        <v>834</v>
      </c>
      <c r="B364" s="3">
        <v>45678</v>
      </c>
      <c r="C364" s="3">
        <v>45682</v>
      </c>
      <c r="D364" t="s">
        <v>441</v>
      </c>
      <c r="E364" t="s">
        <v>442</v>
      </c>
      <c r="F364" t="s">
        <v>89</v>
      </c>
      <c r="G364" t="s">
        <v>194</v>
      </c>
      <c r="H364" t="s">
        <v>202</v>
      </c>
      <c r="I364" t="s">
        <v>203</v>
      </c>
      <c r="J364" t="s">
        <v>129</v>
      </c>
      <c r="K364" t="s">
        <v>100</v>
      </c>
      <c r="L364" t="s">
        <v>188</v>
      </c>
      <c r="M364" t="s">
        <v>189</v>
      </c>
      <c r="N364" t="s">
        <v>120</v>
      </c>
      <c r="O364" t="s">
        <v>190</v>
      </c>
      <c r="P364">
        <v>3</v>
      </c>
      <c r="Q364" s="4">
        <v>60.31</v>
      </c>
      <c r="R364" s="5">
        <v>0.02</v>
      </c>
      <c r="S364" s="4">
        <v>10.99</v>
      </c>
      <c r="T364" t="s">
        <v>84</v>
      </c>
      <c r="U364" t="s">
        <v>85</v>
      </c>
      <c r="V364">
        <v>5</v>
      </c>
    </row>
    <row r="365" spans="1:22">
      <c r="A365" t="s">
        <v>835</v>
      </c>
      <c r="B365" s="3">
        <v>45678</v>
      </c>
      <c r="C365" s="3">
        <v>45679</v>
      </c>
      <c r="D365" t="s">
        <v>145</v>
      </c>
      <c r="E365" t="s">
        <v>146</v>
      </c>
      <c r="F365" t="s">
        <v>74</v>
      </c>
      <c r="G365" t="s">
        <v>75</v>
      </c>
      <c r="H365" t="s">
        <v>116</v>
      </c>
      <c r="I365" t="s">
        <v>117</v>
      </c>
      <c r="J365" t="s">
        <v>109</v>
      </c>
      <c r="K365" t="s">
        <v>130</v>
      </c>
      <c r="L365" t="s">
        <v>261</v>
      </c>
      <c r="M365" t="s">
        <v>262</v>
      </c>
      <c r="N365" t="s">
        <v>103</v>
      </c>
      <c r="O365" t="s">
        <v>104</v>
      </c>
      <c r="P365">
        <v>5</v>
      </c>
      <c r="Q365" s="4">
        <v>26.93</v>
      </c>
      <c r="R365" s="5">
        <v>7.0000000000000007E-2</v>
      </c>
      <c r="S365" s="4">
        <v>9.74</v>
      </c>
      <c r="T365" t="s">
        <v>134</v>
      </c>
      <c r="U365" t="s">
        <v>148</v>
      </c>
      <c r="V365">
        <v>1</v>
      </c>
    </row>
    <row r="366" spans="1:22">
      <c r="A366" t="s">
        <v>836</v>
      </c>
      <c r="B366" s="3">
        <v>45679</v>
      </c>
      <c r="C366" s="3">
        <v>45685</v>
      </c>
      <c r="E366" t="s">
        <v>342</v>
      </c>
      <c r="F366" t="s">
        <v>89</v>
      </c>
      <c r="G366" t="s">
        <v>138</v>
      </c>
      <c r="H366" t="s">
        <v>186</v>
      </c>
      <c r="I366" t="s">
        <v>187</v>
      </c>
      <c r="J366" t="s">
        <v>219</v>
      </c>
      <c r="K366" t="s">
        <v>130</v>
      </c>
      <c r="L366" t="s">
        <v>214</v>
      </c>
      <c r="M366" t="s">
        <v>215</v>
      </c>
      <c r="N366" t="s">
        <v>103</v>
      </c>
      <c r="O366" t="s">
        <v>171</v>
      </c>
      <c r="P366">
        <v>5</v>
      </c>
      <c r="Q366" s="4">
        <v>12.51</v>
      </c>
      <c r="R366" s="5">
        <v>0.11</v>
      </c>
      <c r="S366" s="4">
        <v>12.97</v>
      </c>
      <c r="T366" t="s">
        <v>134</v>
      </c>
      <c r="U366" t="s">
        <v>85</v>
      </c>
      <c r="V366">
        <v>4</v>
      </c>
    </row>
    <row r="367" spans="1:22">
      <c r="A367" t="s">
        <v>837</v>
      </c>
      <c r="B367" s="3">
        <v>45680</v>
      </c>
      <c r="C367" s="3">
        <v>45682</v>
      </c>
      <c r="D367" t="s">
        <v>720</v>
      </c>
      <c r="E367" t="s">
        <v>721</v>
      </c>
      <c r="F367" t="s">
        <v>89</v>
      </c>
      <c r="G367" t="s">
        <v>75</v>
      </c>
      <c r="H367" t="s">
        <v>212</v>
      </c>
      <c r="I367" t="s">
        <v>213</v>
      </c>
      <c r="J367" t="s">
        <v>78</v>
      </c>
      <c r="K367" t="s">
        <v>147</v>
      </c>
      <c r="L367" t="s">
        <v>197</v>
      </c>
      <c r="M367" t="s">
        <v>198</v>
      </c>
      <c r="N367" t="s">
        <v>120</v>
      </c>
      <c r="O367" t="s">
        <v>121</v>
      </c>
      <c r="P367">
        <v>3</v>
      </c>
      <c r="Q367" s="4">
        <v>541.24</v>
      </c>
      <c r="R367" s="5">
        <v>0.03</v>
      </c>
      <c r="S367" s="4">
        <v>6.7</v>
      </c>
      <c r="T367" t="s">
        <v>122</v>
      </c>
      <c r="U367" t="s">
        <v>85</v>
      </c>
      <c r="V367">
        <v>5</v>
      </c>
    </row>
    <row r="368" spans="1:22">
      <c r="A368" t="s">
        <v>838</v>
      </c>
      <c r="B368" s="3">
        <v>45683</v>
      </c>
      <c r="C368" s="3">
        <v>45693</v>
      </c>
      <c r="D368" t="s">
        <v>522</v>
      </c>
      <c r="E368" t="s">
        <v>512</v>
      </c>
      <c r="F368" t="s">
        <v>74</v>
      </c>
      <c r="G368" t="s">
        <v>194</v>
      </c>
      <c r="H368" t="s">
        <v>230</v>
      </c>
      <c r="I368" t="s">
        <v>231</v>
      </c>
      <c r="J368" t="s">
        <v>109</v>
      </c>
      <c r="K368" t="s">
        <v>130</v>
      </c>
      <c r="L368" t="s">
        <v>359</v>
      </c>
      <c r="M368" t="s">
        <v>360</v>
      </c>
      <c r="N368" t="s">
        <v>93</v>
      </c>
      <c r="O368" t="s">
        <v>94</v>
      </c>
      <c r="P368">
        <v>1</v>
      </c>
      <c r="Q368" s="4">
        <v>469.27</v>
      </c>
      <c r="R368" s="5">
        <v>0.08</v>
      </c>
      <c r="S368" s="4">
        <v>27.7</v>
      </c>
      <c r="T368" t="s">
        <v>134</v>
      </c>
      <c r="U368" t="s">
        <v>85</v>
      </c>
      <c r="V368">
        <v>1</v>
      </c>
    </row>
    <row r="369" spans="1:22">
      <c r="A369" t="s">
        <v>839</v>
      </c>
      <c r="B369" s="3">
        <v>45684</v>
      </c>
      <c r="C369" s="3">
        <v>45688</v>
      </c>
      <c r="D369" t="s">
        <v>508</v>
      </c>
      <c r="E369" t="s">
        <v>509</v>
      </c>
      <c r="F369" t="s">
        <v>74</v>
      </c>
      <c r="G369" t="s">
        <v>75</v>
      </c>
      <c r="H369" t="s">
        <v>76</v>
      </c>
      <c r="I369" t="s">
        <v>77</v>
      </c>
      <c r="J369" t="s">
        <v>219</v>
      </c>
      <c r="K369" t="s">
        <v>90</v>
      </c>
      <c r="L369" t="s">
        <v>101</v>
      </c>
      <c r="M369" t="s">
        <v>102</v>
      </c>
      <c r="N369" t="s">
        <v>103</v>
      </c>
      <c r="O369" t="s">
        <v>104</v>
      </c>
      <c r="P369">
        <v>10</v>
      </c>
      <c r="Q369" s="4">
        <v>74.64</v>
      </c>
      <c r="R369" s="5">
        <v>0.08</v>
      </c>
      <c r="S369" s="4">
        <v>5.88</v>
      </c>
      <c r="T369" t="s">
        <v>105</v>
      </c>
      <c r="U369" t="s">
        <v>85</v>
      </c>
      <c r="V369">
        <v>3</v>
      </c>
    </row>
    <row r="370" spans="1:22">
      <c r="A370" t="s">
        <v>840</v>
      </c>
      <c r="B370" s="3">
        <v>45684</v>
      </c>
      <c r="C370" s="3">
        <v>45682</v>
      </c>
      <c r="D370" t="s">
        <v>841</v>
      </c>
      <c r="E370" t="s">
        <v>842</v>
      </c>
      <c r="F370" t="s">
        <v>74</v>
      </c>
      <c r="G370" t="s">
        <v>126</v>
      </c>
      <c r="H370" t="s">
        <v>160</v>
      </c>
      <c r="I370" t="s">
        <v>182</v>
      </c>
      <c r="J370" t="s">
        <v>219</v>
      </c>
      <c r="K370" t="s">
        <v>147</v>
      </c>
      <c r="L370" t="s">
        <v>337</v>
      </c>
      <c r="M370" t="s">
        <v>338</v>
      </c>
      <c r="N370" t="s">
        <v>93</v>
      </c>
      <c r="O370" t="s">
        <v>236</v>
      </c>
      <c r="P370">
        <v>2</v>
      </c>
      <c r="Q370" s="4">
        <v>275.27</v>
      </c>
      <c r="R370" s="5">
        <v>0.11</v>
      </c>
      <c r="S370" s="4">
        <v>19.649999999999999</v>
      </c>
      <c r="T370" t="s">
        <v>122</v>
      </c>
      <c r="U370" t="s">
        <v>148</v>
      </c>
      <c r="V370">
        <v>5</v>
      </c>
    </row>
    <row r="371" spans="1:22">
      <c r="A371" t="s">
        <v>843</v>
      </c>
      <c r="B371" s="3">
        <v>45686</v>
      </c>
      <c r="C371" s="3">
        <v>45688</v>
      </c>
      <c r="D371" t="s">
        <v>844</v>
      </c>
      <c r="E371" t="s">
        <v>845</v>
      </c>
      <c r="F371" t="s">
        <v>74</v>
      </c>
      <c r="G371" t="s">
        <v>138</v>
      </c>
      <c r="H371" t="s">
        <v>186</v>
      </c>
      <c r="I371" t="s">
        <v>187</v>
      </c>
      <c r="J371" t="s">
        <v>78</v>
      </c>
      <c r="K371" t="s">
        <v>147</v>
      </c>
      <c r="L371" t="s">
        <v>101</v>
      </c>
      <c r="M371" t="s">
        <v>102</v>
      </c>
      <c r="N371" t="s">
        <v>103</v>
      </c>
      <c r="O371" t="s">
        <v>104</v>
      </c>
      <c r="P371">
        <v>6</v>
      </c>
      <c r="Q371" s="4">
        <v>76.709999999999994</v>
      </c>
      <c r="R371" s="5">
        <v>0.11</v>
      </c>
      <c r="S371" s="4">
        <v>7.16</v>
      </c>
      <c r="T371" t="s">
        <v>84</v>
      </c>
      <c r="U371" t="s">
        <v>85</v>
      </c>
      <c r="V371">
        <v>2</v>
      </c>
    </row>
    <row r="372" spans="1:22">
      <c r="A372" t="s">
        <v>846</v>
      </c>
      <c r="B372" s="3">
        <v>45687</v>
      </c>
      <c r="C372" s="3">
        <v>45689</v>
      </c>
      <c r="D372" t="s">
        <v>435</v>
      </c>
      <c r="E372" t="s">
        <v>436</v>
      </c>
      <c r="F372" t="s">
        <v>89</v>
      </c>
      <c r="G372" t="s">
        <v>138</v>
      </c>
      <c r="H372" t="s">
        <v>153</v>
      </c>
      <c r="I372" t="s">
        <v>154</v>
      </c>
      <c r="J372" t="s">
        <v>78</v>
      </c>
      <c r="K372" t="s">
        <v>130</v>
      </c>
      <c r="L372" t="s">
        <v>155</v>
      </c>
      <c r="M372" t="s">
        <v>156</v>
      </c>
      <c r="N372" t="s">
        <v>82</v>
      </c>
      <c r="O372" t="s">
        <v>112</v>
      </c>
      <c r="P372">
        <v>10</v>
      </c>
      <c r="Q372" s="4">
        <v>175.89</v>
      </c>
      <c r="R372" s="5">
        <v>0.11</v>
      </c>
      <c r="S372" s="4">
        <v>9.2899999999999991</v>
      </c>
      <c r="T372" t="s">
        <v>122</v>
      </c>
      <c r="U372" t="s">
        <v>85</v>
      </c>
      <c r="V372">
        <v>3</v>
      </c>
    </row>
    <row r="373" spans="1:22">
      <c r="A373" t="s">
        <v>847</v>
      </c>
      <c r="B373" s="3">
        <v>45687</v>
      </c>
      <c r="C373" s="3">
        <v>45694</v>
      </c>
      <c r="D373" t="s">
        <v>114</v>
      </c>
      <c r="E373" t="s">
        <v>115</v>
      </c>
      <c r="F373" t="s">
        <v>89</v>
      </c>
      <c r="G373" t="s">
        <v>75</v>
      </c>
      <c r="H373" t="s">
        <v>116</v>
      </c>
      <c r="I373" t="s">
        <v>117</v>
      </c>
      <c r="J373" t="s">
        <v>129</v>
      </c>
      <c r="K373" t="s">
        <v>100</v>
      </c>
      <c r="L373" t="s">
        <v>197</v>
      </c>
      <c r="M373" t="s">
        <v>198</v>
      </c>
      <c r="N373" t="s">
        <v>120</v>
      </c>
      <c r="O373" t="s">
        <v>121</v>
      </c>
      <c r="P373">
        <v>1</v>
      </c>
      <c r="Q373" s="4">
        <v>514.99</v>
      </c>
      <c r="R373" s="5">
        <v>0.05</v>
      </c>
      <c r="S373" s="4">
        <v>12.57</v>
      </c>
      <c r="T373" t="s">
        <v>84</v>
      </c>
      <c r="U373" t="s">
        <v>85</v>
      </c>
      <c r="V373">
        <v>4</v>
      </c>
    </row>
    <row r="374" spans="1:22">
      <c r="A374" t="s">
        <v>848</v>
      </c>
      <c r="B374" s="3">
        <v>45688</v>
      </c>
      <c r="C374" s="3">
        <v>45692</v>
      </c>
      <c r="D374" t="s">
        <v>849</v>
      </c>
      <c r="E374" t="s">
        <v>137</v>
      </c>
      <c r="F374" t="s">
        <v>152</v>
      </c>
      <c r="G374" t="s">
        <v>126</v>
      </c>
      <c r="H374" t="s">
        <v>160</v>
      </c>
      <c r="I374" t="s">
        <v>161</v>
      </c>
      <c r="J374" t="s">
        <v>219</v>
      </c>
      <c r="K374" t="s">
        <v>168</v>
      </c>
      <c r="L374" t="s">
        <v>214</v>
      </c>
      <c r="M374" t="s">
        <v>215</v>
      </c>
      <c r="N374" t="s">
        <v>103</v>
      </c>
      <c r="O374" t="s">
        <v>171</v>
      </c>
      <c r="P374">
        <v>9</v>
      </c>
      <c r="Q374" s="4">
        <v>11.37</v>
      </c>
      <c r="R374" s="5">
        <v>0.23</v>
      </c>
      <c r="S374" s="4">
        <v>7</v>
      </c>
      <c r="T374" t="s">
        <v>84</v>
      </c>
      <c r="U374" t="s">
        <v>85</v>
      </c>
      <c r="V374">
        <v>5</v>
      </c>
    </row>
    <row r="375" spans="1:22">
      <c r="A375" t="s">
        <v>850</v>
      </c>
      <c r="B375" s="3">
        <v>45688</v>
      </c>
      <c r="C375" s="3">
        <v>45696</v>
      </c>
      <c r="D375" t="s">
        <v>319</v>
      </c>
      <c r="E375" t="s">
        <v>320</v>
      </c>
      <c r="F375" t="s">
        <v>152</v>
      </c>
      <c r="G375" t="s">
        <v>75</v>
      </c>
      <c r="H375" t="s">
        <v>212</v>
      </c>
      <c r="I375" t="s">
        <v>213</v>
      </c>
      <c r="J375" t="s">
        <v>78</v>
      </c>
      <c r="K375" t="s">
        <v>100</v>
      </c>
      <c r="L375" t="s">
        <v>118</v>
      </c>
      <c r="M375" t="s">
        <v>119</v>
      </c>
      <c r="N375" t="s">
        <v>120</v>
      </c>
      <c r="O375" t="s">
        <v>121</v>
      </c>
      <c r="P375">
        <v>2</v>
      </c>
      <c r="Q375" s="4">
        <v>286.29000000000002</v>
      </c>
      <c r="R375" s="5">
        <v>0.04</v>
      </c>
      <c r="S375" s="4">
        <v>5.45</v>
      </c>
      <c r="T375" t="s">
        <v>122</v>
      </c>
      <c r="U375" t="s">
        <v>85</v>
      </c>
      <c r="V375">
        <v>4</v>
      </c>
    </row>
    <row r="376" spans="1:22">
      <c r="A376" t="s">
        <v>851</v>
      </c>
      <c r="B376" s="3">
        <v>45689</v>
      </c>
      <c r="C376" s="3">
        <v>45693</v>
      </c>
      <c r="D376" t="s">
        <v>616</v>
      </c>
      <c r="E376" t="s">
        <v>617</v>
      </c>
      <c r="F376" t="s">
        <v>152</v>
      </c>
      <c r="G376" t="s">
        <v>194</v>
      </c>
      <c r="H376" t="s">
        <v>230</v>
      </c>
      <c r="I376" t="s">
        <v>231</v>
      </c>
      <c r="J376" t="s">
        <v>129</v>
      </c>
      <c r="K376" t="s">
        <v>130</v>
      </c>
      <c r="L376" t="s">
        <v>254</v>
      </c>
      <c r="M376" t="s">
        <v>255</v>
      </c>
      <c r="N376" t="s">
        <v>82</v>
      </c>
      <c r="O376" t="s">
        <v>83</v>
      </c>
      <c r="P376">
        <v>1</v>
      </c>
      <c r="Q376" s="4">
        <v>91.08</v>
      </c>
      <c r="R376" s="5">
        <v>0.03</v>
      </c>
      <c r="S376" s="4">
        <v>11.53</v>
      </c>
      <c r="T376" t="s">
        <v>122</v>
      </c>
      <c r="U376" t="s">
        <v>85</v>
      </c>
      <c r="V376">
        <v>2</v>
      </c>
    </row>
    <row r="377" spans="1:22">
      <c r="A377" t="s">
        <v>852</v>
      </c>
      <c r="B377" s="3">
        <v>45689</v>
      </c>
      <c r="C377" s="3">
        <v>45691</v>
      </c>
      <c r="D377" t="s">
        <v>659</v>
      </c>
      <c r="E377" t="s">
        <v>660</v>
      </c>
      <c r="F377" t="s">
        <v>74</v>
      </c>
      <c r="G377" t="s">
        <v>126</v>
      </c>
      <c r="H377" t="s">
        <v>291</v>
      </c>
      <c r="I377" t="s">
        <v>292</v>
      </c>
      <c r="J377" t="s">
        <v>129</v>
      </c>
      <c r="K377" t="s">
        <v>100</v>
      </c>
      <c r="L377" t="s">
        <v>301</v>
      </c>
      <c r="M377" t="s">
        <v>302</v>
      </c>
      <c r="N377" t="s">
        <v>120</v>
      </c>
      <c r="O377" t="s">
        <v>190</v>
      </c>
      <c r="P377">
        <v>1</v>
      </c>
      <c r="Q377" s="4">
        <v>143.47</v>
      </c>
      <c r="R377" s="5">
        <v>0.12</v>
      </c>
      <c r="S377" s="4">
        <v>9.8000000000000007</v>
      </c>
      <c r="T377" t="s">
        <v>134</v>
      </c>
      <c r="U377" t="s">
        <v>85</v>
      </c>
      <c r="V377">
        <v>1</v>
      </c>
    </row>
    <row r="378" spans="1:22">
      <c r="A378" t="s">
        <v>853</v>
      </c>
      <c r="B378" s="3">
        <v>45690</v>
      </c>
      <c r="C378" s="3">
        <v>45700</v>
      </c>
      <c r="D378" t="s">
        <v>223</v>
      </c>
      <c r="E378" t="s">
        <v>224</v>
      </c>
      <c r="F378" t="s">
        <v>152</v>
      </c>
      <c r="G378" t="s">
        <v>194</v>
      </c>
      <c r="H378" t="s">
        <v>225</v>
      </c>
      <c r="I378" t="s">
        <v>226</v>
      </c>
      <c r="J378" t="s">
        <v>129</v>
      </c>
      <c r="K378" t="s">
        <v>100</v>
      </c>
      <c r="L378" t="s">
        <v>254</v>
      </c>
      <c r="M378" t="s">
        <v>255</v>
      </c>
      <c r="N378" t="s">
        <v>82</v>
      </c>
      <c r="O378" t="s">
        <v>83</v>
      </c>
      <c r="P378">
        <v>6</v>
      </c>
      <c r="Q378" s="4">
        <v>91.7</v>
      </c>
      <c r="R378" s="5">
        <v>0.03</v>
      </c>
      <c r="S378" s="4">
        <v>13.11</v>
      </c>
      <c r="T378" t="s">
        <v>122</v>
      </c>
      <c r="U378" t="s">
        <v>85</v>
      </c>
      <c r="V378">
        <v>1</v>
      </c>
    </row>
    <row r="379" spans="1:22">
      <c r="A379" t="s">
        <v>854</v>
      </c>
      <c r="B379" s="3">
        <v>45691</v>
      </c>
      <c r="C379" s="3">
        <v>45701</v>
      </c>
      <c r="D379" t="s">
        <v>253</v>
      </c>
      <c r="E379" t="s">
        <v>167</v>
      </c>
      <c r="F379" t="s">
        <v>152</v>
      </c>
      <c r="G379" t="s">
        <v>75</v>
      </c>
      <c r="H379" t="s">
        <v>212</v>
      </c>
      <c r="I379" t="s">
        <v>213</v>
      </c>
      <c r="J379" t="s">
        <v>78</v>
      </c>
      <c r="K379" t="s">
        <v>90</v>
      </c>
      <c r="L379" t="s">
        <v>175</v>
      </c>
      <c r="M379" t="s">
        <v>176</v>
      </c>
      <c r="N379" t="s">
        <v>93</v>
      </c>
      <c r="O379" t="s">
        <v>177</v>
      </c>
      <c r="P379">
        <v>3</v>
      </c>
      <c r="Q379" s="4">
        <v>168.71</v>
      </c>
      <c r="R379" s="5">
        <v>0.12</v>
      </c>
      <c r="S379" s="4">
        <v>29.85</v>
      </c>
      <c r="T379" t="s">
        <v>84</v>
      </c>
      <c r="U379" t="s">
        <v>85</v>
      </c>
      <c r="V379">
        <v>2</v>
      </c>
    </row>
    <row r="380" spans="1:22">
      <c r="A380" t="s">
        <v>855</v>
      </c>
      <c r="B380" s="3">
        <v>45692</v>
      </c>
      <c r="C380" s="3">
        <v>45698</v>
      </c>
      <c r="D380" t="s">
        <v>856</v>
      </c>
      <c r="E380" t="s">
        <v>857</v>
      </c>
      <c r="F380" t="s">
        <v>74</v>
      </c>
      <c r="G380" t="s">
        <v>75</v>
      </c>
      <c r="H380" t="s">
        <v>273</v>
      </c>
      <c r="I380" t="s">
        <v>274</v>
      </c>
      <c r="J380" t="s">
        <v>129</v>
      </c>
      <c r="K380" t="s">
        <v>100</v>
      </c>
      <c r="L380" t="s">
        <v>337</v>
      </c>
      <c r="M380" t="s">
        <v>338</v>
      </c>
      <c r="N380" t="s">
        <v>93</v>
      </c>
      <c r="O380" t="s">
        <v>236</v>
      </c>
      <c r="P380">
        <v>2</v>
      </c>
      <c r="Q380" s="4">
        <v>258.83999999999997</v>
      </c>
      <c r="R380" s="5">
        <v>0.24</v>
      </c>
      <c r="S380" s="4">
        <v>25.27</v>
      </c>
      <c r="T380" t="s">
        <v>122</v>
      </c>
      <c r="U380" t="s">
        <v>85</v>
      </c>
      <c r="V380">
        <v>3</v>
      </c>
    </row>
    <row r="381" spans="1:22">
      <c r="A381" t="s">
        <v>858</v>
      </c>
      <c r="B381" s="3">
        <v>45693</v>
      </c>
      <c r="C381" s="3">
        <v>45702</v>
      </c>
      <c r="D381" t="s">
        <v>427</v>
      </c>
      <c r="E381" t="s">
        <v>428</v>
      </c>
      <c r="F381" t="s">
        <v>152</v>
      </c>
      <c r="G381" t="s">
        <v>194</v>
      </c>
      <c r="H381" t="s">
        <v>240</v>
      </c>
      <c r="I381" t="s">
        <v>241</v>
      </c>
      <c r="J381" t="s">
        <v>109</v>
      </c>
      <c r="K381" t="s">
        <v>168</v>
      </c>
      <c r="L381" t="s">
        <v>234</v>
      </c>
      <c r="M381" t="s">
        <v>235</v>
      </c>
      <c r="N381" t="s">
        <v>93</v>
      </c>
      <c r="O381" t="s">
        <v>236</v>
      </c>
      <c r="P381">
        <v>3</v>
      </c>
      <c r="Q381" s="4">
        <v>152.25</v>
      </c>
      <c r="R381" s="5">
        <v>0.01</v>
      </c>
      <c r="S381" s="4">
        <v>25.75</v>
      </c>
      <c r="T381" t="s">
        <v>134</v>
      </c>
      <c r="U381" t="s">
        <v>148</v>
      </c>
      <c r="V381">
        <v>1</v>
      </c>
    </row>
    <row r="382" spans="1:22">
      <c r="A382" t="s">
        <v>859</v>
      </c>
      <c r="B382" s="3">
        <v>45694</v>
      </c>
      <c r="C382" s="3">
        <v>45704</v>
      </c>
      <c r="D382" t="s">
        <v>410</v>
      </c>
      <c r="E382" t="s">
        <v>411</v>
      </c>
      <c r="F382" t="s">
        <v>74</v>
      </c>
      <c r="G382" t="s">
        <v>126</v>
      </c>
      <c r="H382" t="s">
        <v>291</v>
      </c>
      <c r="I382" t="s">
        <v>292</v>
      </c>
      <c r="J382" t="s">
        <v>129</v>
      </c>
      <c r="K382" t="s">
        <v>90</v>
      </c>
      <c r="L382" t="s">
        <v>197</v>
      </c>
      <c r="M382" t="s">
        <v>198</v>
      </c>
      <c r="N382" t="s">
        <v>120</v>
      </c>
      <c r="O382" t="s">
        <v>121</v>
      </c>
      <c r="P382">
        <v>3</v>
      </c>
      <c r="Q382" s="4">
        <v>531.14</v>
      </c>
      <c r="R382" s="5">
        <v>0.1</v>
      </c>
      <c r="S382" s="4">
        <v>13.31</v>
      </c>
      <c r="T382" t="s">
        <v>105</v>
      </c>
      <c r="U382" t="s">
        <v>85</v>
      </c>
      <c r="V382">
        <v>2</v>
      </c>
    </row>
    <row r="383" spans="1:22">
      <c r="A383" t="s">
        <v>860</v>
      </c>
      <c r="B383" s="3">
        <v>45695</v>
      </c>
      <c r="C383" s="3">
        <v>45705</v>
      </c>
      <c r="D383" t="s">
        <v>402</v>
      </c>
      <c r="E383" t="s">
        <v>403</v>
      </c>
      <c r="F383" t="s">
        <v>74</v>
      </c>
      <c r="G383" t="s">
        <v>75</v>
      </c>
      <c r="H383" t="s">
        <v>212</v>
      </c>
      <c r="I383" t="s">
        <v>213</v>
      </c>
      <c r="J383" t="s">
        <v>109</v>
      </c>
      <c r="K383" t="s">
        <v>79</v>
      </c>
      <c r="L383" t="s">
        <v>162</v>
      </c>
      <c r="M383" t="s">
        <v>163</v>
      </c>
      <c r="N383" t="s">
        <v>120</v>
      </c>
      <c r="O383" t="s">
        <v>164</v>
      </c>
      <c r="P383">
        <v>2</v>
      </c>
      <c r="Q383" s="4">
        <v>931.85</v>
      </c>
      <c r="R383" s="5">
        <v>0.34</v>
      </c>
      <c r="S383" s="4">
        <v>13.39</v>
      </c>
      <c r="T383" t="s">
        <v>84</v>
      </c>
      <c r="U383" t="s">
        <v>85</v>
      </c>
      <c r="V383">
        <v>3</v>
      </c>
    </row>
    <row r="384" spans="1:22">
      <c r="A384" t="s">
        <v>861</v>
      </c>
      <c r="B384" s="3">
        <v>45695</v>
      </c>
      <c r="C384" s="3">
        <v>45705</v>
      </c>
      <c r="D384" t="s">
        <v>537</v>
      </c>
      <c r="E384" t="s">
        <v>538</v>
      </c>
      <c r="F384" t="s">
        <v>74</v>
      </c>
      <c r="G384" t="s">
        <v>862</v>
      </c>
      <c r="H384" t="s">
        <v>139</v>
      </c>
      <c r="I384" t="s">
        <v>140</v>
      </c>
      <c r="J384" t="s">
        <v>129</v>
      </c>
      <c r="K384" t="s">
        <v>90</v>
      </c>
      <c r="L384" t="s">
        <v>301</v>
      </c>
      <c r="M384" t="s">
        <v>302</v>
      </c>
      <c r="N384" t="s">
        <v>120</v>
      </c>
      <c r="O384" t="s">
        <v>190</v>
      </c>
      <c r="P384">
        <v>1</v>
      </c>
      <c r="Q384" s="4">
        <v>140.27000000000001</v>
      </c>
      <c r="R384" s="5">
        <v>0.22</v>
      </c>
      <c r="S384" s="4">
        <v>20.8</v>
      </c>
      <c r="T384" t="s">
        <v>84</v>
      </c>
      <c r="U384" t="s">
        <v>85</v>
      </c>
      <c r="V384">
        <v>1</v>
      </c>
    </row>
    <row r="385" spans="1:22">
      <c r="A385" t="s">
        <v>863</v>
      </c>
      <c r="B385" s="3">
        <v>45695</v>
      </c>
      <c r="C385" s="3">
        <v>45697</v>
      </c>
      <c r="D385" t="s">
        <v>487</v>
      </c>
      <c r="E385" t="s">
        <v>470</v>
      </c>
      <c r="F385" t="s">
        <v>152</v>
      </c>
      <c r="G385" t="s">
        <v>75</v>
      </c>
      <c r="H385" t="s">
        <v>98</v>
      </c>
      <c r="I385" t="s">
        <v>99</v>
      </c>
      <c r="J385" t="s">
        <v>78</v>
      </c>
      <c r="K385" t="s">
        <v>90</v>
      </c>
      <c r="L385" t="s">
        <v>234</v>
      </c>
      <c r="M385" t="s">
        <v>235</v>
      </c>
      <c r="N385" t="s">
        <v>93</v>
      </c>
      <c r="O385" t="s">
        <v>236</v>
      </c>
      <c r="P385">
        <v>2</v>
      </c>
      <c r="Q385" s="4">
        <v>152.26</v>
      </c>
      <c r="R385" s="5">
        <v>0.1</v>
      </c>
      <c r="S385" s="4">
        <v>28.47</v>
      </c>
      <c r="T385" t="s">
        <v>122</v>
      </c>
      <c r="U385" t="s">
        <v>85</v>
      </c>
      <c r="V385">
        <v>1</v>
      </c>
    </row>
    <row r="386" spans="1:22">
      <c r="A386" t="s">
        <v>864</v>
      </c>
      <c r="B386" s="3">
        <v>45698</v>
      </c>
      <c r="C386" s="3">
        <v>45703</v>
      </c>
      <c r="D386" t="s">
        <v>487</v>
      </c>
      <c r="E386" t="s">
        <v>470</v>
      </c>
      <c r="F386" t="s">
        <v>152</v>
      </c>
      <c r="G386" t="s">
        <v>75</v>
      </c>
      <c r="H386" t="s">
        <v>98</v>
      </c>
      <c r="I386" t="s">
        <v>99</v>
      </c>
      <c r="J386" t="s">
        <v>129</v>
      </c>
      <c r="K386" t="s">
        <v>100</v>
      </c>
      <c r="L386" t="s">
        <v>234</v>
      </c>
      <c r="M386" t="s">
        <v>235</v>
      </c>
      <c r="N386" t="s">
        <v>93</v>
      </c>
      <c r="O386" t="s">
        <v>236</v>
      </c>
      <c r="P386">
        <v>2</v>
      </c>
      <c r="Q386" s="4">
        <v>155.33000000000001</v>
      </c>
      <c r="R386" s="5">
        <v>0.11</v>
      </c>
      <c r="S386" s="4">
        <v>22.12</v>
      </c>
      <c r="T386" t="s">
        <v>134</v>
      </c>
      <c r="U386" t="s">
        <v>85</v>
      </c>
      <c r="V386">
        <v>1</v>
      </c>
    </row>
    <row r="387" spans="1:22">
      <c r="A387" t="s">
        <v>865</v>
      </c>
      <c r="B387" s="3">
        <v>45701</v>
      </c>
      <c r="C387" s="3">
        <v>45702</v>
      </c>
      <c r="D387" t="s">
        <v>276</v>
      </c>
      <c r="E387" t="s">
        <v>277</v>
      </c>
      <c r="F387" t="s">
        <v>152</v>
      </c>
      <c r="G387" t="s">
        <v>75</v>
      </c>
      <c r="H387" t="s">
        <v>212</v>
      </c>
      <c r="I387" t="s">
        <v>213</v>
      </c>
      <c r="J387" t="s">
        <v>78</v>
      </c>
      <c r="K387" t="s">
        <v>168</v>
      </c>
      <c r="L387" t="s">
        <v>214</v>
      </c>
      <c r="M387" t="s">
        <v>215</v>
      </c>
      <c r="N387" t="s">
        <v>103</v>
      </c>
      <c r="O387" t="s">
        <v>171</v>
      </c>
      <c r="P387">
        <v>4</v>
      </c>
      <c r="Q387" s="4">
        <v>12.27</v>
      </c>
      <c r="R387" s="5">
        <v>0.02</v>
      </c>
      <c r="S387" s="4">
        <v>9.2100000000000009</v>
      </c>
      <c r="T387" t="s">
        <v>122</v>
      </c>
      <c r="U387" t="s">
        <v>85</v>
      </c>
      <c r="V387">
        <v>1</v>
      </c>
    </row>
    <row r="388" spans="1:22">
      <c r="A388" t="s">
        <v>866</v>
      </c>
      <c r="B388" s="3">
        <v>45702</v>
      </c>
      <c r="C388" s="3">
        <v>45707</v>
      </c>
      <c r="D388" t="s">
        <v>368</v>
      </c>
      <c r="E388" t="s">
        <v>369</v>
      </c>
      <c r="F388" t="s">
        <v>89</v>
      </c>
      <c r="G388" t="s">
        <v>194</v>
      </c>
      <c r="H388" t="s">
        <v>240</v>
      </c>
      <c r="I388" t="s">
        <v>241</v>
      </c>
      <c r="J388" t="s">
        <v>129</v>
      </c>
      <c r="K388" t="s">
        <v>147</v>
      </c>
      <c r="L388" t="s">
        <v>254</v>
      </c>
      <c r="M388" t="s">
        <v>255</v>
      </c>
      <c r="N388" t="s">
        <v>82</v>
      </c>
      <c r="O388" t="s">
        <v>83</v>
      </c>
      <c r="P388">
        <v>9</v>
      </c>
      <c r="Q388" s="4">
        <v>100.11</v>
      </c>
      <c r="R388" s="5">
        <v>0.26</v>
      </c>
      <c r="S388" s="4">
        <v>9.6999999999999993</v>
      </c>
      <c r="T388" t="s">
        <v>105</v>
      </c>
      <c r="U388" t="s">
        <v>148</v>
      </c>
      <c r="V388">
        <v>5</v>
      </c>
    </row>
    <row r="389" spans="1:22">
      <c r="A389" t="s">
        <v>867</v>
      </c>
      <c r="B389" s="3">
        <v>45703</v>
      </c>
      <c r="C389" s="3">
        <v>45708</v>
      </c>
      <c r="D389" t="s">
        <v>427</v>
      </c>
      <c r="E389" t="s">
        <v>428</v>
      </c>
      <c r="F389" t="s">
        <v>152</v>
      </c>
      <c r="G389" t="s">
        <v>194</v>
      </c>
      <c r="H389" t="s">
        <v>240</v>
      </c>
      <c r="I389" t="s">
        <v>241</v>
      </c>
      <c r="J389" t="s">
        <v>219</v>
      </c>
      <c r="K389" t="s">
        <v>130</v>
      </c>
      <c r="L389" t="s">
        <v>214</v>
      </c>
      <c r="M389" t="s">
        <v>215</v>
      </c>
      <c r="N389" t="s">
        <v>103</v>
      </c>
      <c r="O389" t="s">
        <v>171</v>
      </c>
      <c r="P389">
        <v>7</v>
      </c>
      <c r="Q389" s="4">
        <v>12.11</v>
      </c>
      <c r="R389" s="5">
        <v>0.01</v>
      </c>
      <c r="S389" s="4">
        <v>16.59</v>
      </c>
      <c r="T389" t="s">
        <v>134</v>
      </c>
      <c r="U389" t="s">
        <v>85</v>
      </c>
      <c r="V389">
        <v>4</v>
      </c>
    </row>
    <row r="390" spans="1:22">
      <c r="A390" t="s">
        <v>868</v>
      </c>
      <c r="B390" s="3">
        <v>45704</v>
      </c>
      <c r="C390" s="3">
        <v>45706</v>
      </c>
      <c r="D390" t="s">
        <v>482</v>
      </c>
      <c r="E390" t="s">
        <v>483</v>
      </c>
      <c r="F390" t="s">
        <v>74</v>
      </c>
      <c r="G390" t="s">
        <v>194</v>
      </c>
      <c r="H390" t="s">
        <v>240</v>
      </c>
      <c r="I390" t="s">
        <v>241</v>
      </c>
      <c r="J390" t="s">
        <v>219</v>
      </c>
      <c r="K390" t="s">
        <v>168</v>
      </c>
      <c r="L390" t="s">
        <v>207</v>
      </c>
      <c r="M390" t="s">
        <v>208</v>
      </c>
      <c r="N390" t="s">
        <v>120</v>
      </c>
      <c r="O390" t="s">
        <v>164</v>
      </c>
      <c r="P390">
        <v>1</v>
      </c>
      <c r="Q390" s="4">
        <v>1428.48</v>
      </c>
      <c r="R390" s="5">
        <v>0.03</v>
      </c>
      <c r="S390" s="4">
        <v>17.350000000000001</v>
      </c>
      <c r="T390" t="s">
        <v>122</v>
      </c>
      <c r="U390" t="s">
        <v>85</v>
      </c>
      <c r="V390">
        <v>2</v>
      </c>
    </row>
    <row r="391" spans="1:22">
      <c r="A391" t="s">
        <v>869</v>
      </c>
      <c r="B391" s="3">
        <v>45704</v>
      </c>
      <c r="C391" s="3">
        <v>45714</v>
      </c>
      <c r="D391" t="s">
        <v>451</v>
      </c>
      <c r="E391" t="s">
        <v>452</v>
      </c>
      <c r="F391" t="s">
        <v>89</v>
      </c>
      <c r="G391" t="s">
        <v>126</v>
      </c>
      <c r="H391" t="s">
        <v>160</v>
      </c>
      <c r="I391" t="s">
        <v>161</v>
      </c>
      <c r="J391" t="s">
        <v>78</v>
      </c>
      <c r="K391" t="s">
        <v>90</v>
      </c>
      <c r="L391" t="s">
        <v>234</v>
      </c>
      <c r="M391" t="s">
        <v>235</v>
      </c>
      <c r="N391" t="s">
        <v>93</v>
      </c>
      <c r="O391" t="s">
        <v>236</v>
      </c>
      <c r="P391">
        <v>2</v>
      </c>
      <c r="Q391" s="4">
        <v>153.76</v>
      </c>
      <c r="R391" s="5">
        <v>0.01</v>
      </c>
      <c r="S391" s="4">
        <v>19.2</v>
      </c>
      <c r="T391" t="s">
        <v>105</v>
      </c>
      <c r="U391" t="s">
        <v>85</v>
      </c>
    </row>
    <row r="392" spans="1:22">
      <c r="A392" t="s">
        <v>870</v>
      </c>
      <c r="B392" s="3">
        <v>45705</v>
      </c>
      <c r="C392" s="3">
        <v>45713</v>
      </c>
      <c r="D392" t="s">
        <v>663</v>
      </c>
      <c r="E392" t="s">
        <v>664</v>
      </c>
      <c r="F392" t="s">
        <v>89</v>
      </c>
      <c r="G392" t="s">
        <v>194</v>
      </c>
      <c r="H392" t="s">
        <v>230</v>
      </c>
      <c r="I392" t="s">
        <v>231</v>
      </c>
      <c r="J392" t="s">
        <v>129</v>
      </c>
      <c r="K392" t="s">
        <v>100</v>
      </c>
      <c r="L392" t="s">
        <v>188</v>
      </c>
      <c r="M392" t="s">
        <v>189</v>
      </c>
      <c r="N392" t="s">
        <v>120</v>
      </c>
      <c r="O392" t="s">
        <v>190</v>
      </c>
      <c r="P392">
        <v>1</v>
      </c>
      <c r="Q392" s="4">
        <v>57.68</v>
      </c>
      <c r="R392" s="5">
        <v>0.04</v>
      </c>
      <c r="S392" s="4">
        <v>10.99</v>
      </c>
      <c r="T392" t="s">
        <v>105</v>
      </c>
      <c r="U392" t="s">
        <v>85</v>
      </c>
    </row>
    <row r="393" spans="1:22">
      <c r="A393" t="s">
        <v>871</v>
      </c>
      <c r="B393" s="3">
        <v>45705</v>
      </c>
      <c r="C393" s="3">
        <v>45712</v>
      </c>
      <c r="D393" t="s">
        <v>621</v>
      </c>
      <c r="E393" t="s">
        <v>622</v>
      </c>
      <c r="F393" t="s">
        <v>74</v>
      </c>
      <c r="G393" t="s">
        <v>194</v>
      </c>
      <c r="H393" t="s">
        <v>230</v>
      </c>
      <c r="I393" t="s">
        <v>231</v>
      </c>
      <c r="J393" t="s">
        <v>109</v>
      </c>
      <c r="K393" t="s">
        <v>79</v>
      </c>
      <c r="L393" t="s">
        <v>169</v>
      </c>
      <c r="M393" t="s">
        <v>170</v>
      </c>
      <c r="N393" t="s">
        <v>103</v>
      </c>
      <c r="O393" t="s">
        <v>171</v>
      </c>
      <c r="P393">
        <v>2</v>
      </c>
      <c r="Q393" s="4">
        <v>14.57</v>
      </c>
      <c r="R393" s="5">
        <v>0.11</v>
      </c>
      <c r="S393" s="4">
        <v>14.72</v>
      </c>
      <c r="T393" t="s">
        <v>105</v>
      </c>
      <c r="U393" t="s">
        <v>85</v>
      </c>
      <c r="V393">
        <v>2</v>
      </c>
    </row>
    <row r="394" spans="1:22">
      <c r="A394" t="s">
        <v>872</v>
      </c>
      <c r="B394" s="3">
        <v>45706</v>
      </c>
      <c r="C394" s="3">
        <v>45715</v>
      </c>
      <c r="D394" t="s">
        <v>873</v>
      </c>
      <c r="E394" t="s">
        <v>874</v>
      </c>
      <c r="F394" t="s">
        <v>152</v>
      </c>
      <c r="G394" t="s">
        <v>194</v>
      </c>
      <c r="H394" t="s">
        <v>225</v>
      </c>
      <c r="I394" t="s">
        <v>226</v>
      </c>
      <c r="J394" t="s">
        <v>219</v>
      </c>
      <c r="K394" t="s">
        <v>79</v>
      </c>
      <c r="L394" t="s">
        <v>131</v>
      </c>
      <c r="M394" t="s">
        <v>132</v>
      </c>
      <c r="N394" t="s">
        <v>120</v>
      </c>
      <c r="O394" t="s">
        <v>133</v>
      </c>
      <c r="P394">
        <v>3</v>
      </c>
      <c r="Q394" s="4">
        <v>84.11</v>
      </c>
      <c r="R394" s="5">
        <v>0.01</v>
      </c>
      <c r="S394" s="4">
        <v>19.739999999999998</v>
      </c>
      <c r="T394" t="s">
        <v>105</v>
      </c>
      <c r="U394" t="s">
        <v>85</v>
      </c>
    </row>
    <row r="395" spans="1:22">
      <c r="A395" t="s">
        <v>875</v>
      </c>
      <c r="B395" s="3">
        <v>45708</v>
      </c>
      <c r="C395" s="3">
        <v>45713</v>
      </c>
      <c r="D395" t="s">
        <v>876</v>
      </c>
      <c r="E395" t="s">
        <v>877</v>
      </c>
      <c r="F395" t="s">
        <v>74</v>
      </c>
      <c r="G395" t="s">
        <v>138</v>
      </c>
      <c r="H395" t="s">
        <v>153</v>
      </c>
      <c r="I395" t="s">
        <v>154</v>
      </c>
      <c r="J395" t="s">
        <v>78</v>
      </c>
      <c r="K395" t="s">
        <v>147</v>
      </c>
      <c r="L395" t="s">
        <v>110</v>
      </c>
      <c r="M395" t="s">
        <v>111</v>
      </c>
      <c r="N395" t="s">
        <v>82</v>
      </c>
      <c r="O395" t="s">
        <v>112</v>
      </c>
      <c r="P395">
        <v>1</v>
      </c>
      <c r="Q395" s="4">
        <v>312.16000000000003</v>
      </c>
      <c r="R395" s="5">
        <v>0.12</v>
      </c>
      <c r="S395" s="4">
        <v>5.37</v>
      </c>
      <c r="T395" t="s">
        <v>105</v>
      </c>
      <c r="U395" t="s">
        <v>85</v>
      </c>
      <c r="V395">
        <v>4</v>
      </c>
    </row>
    <row r="396" spans="1:22">
      <c r="A396" t="s">
        <v>878</v>
      </c>
      <c r="B396" s="3">
        <v>45708</v>
      </c>
      <c r="C396" s="3">
        <v>45718</v>
      </c>
      <c r="D396" t="s">
        <v>258</v>
      </c>
      <c r="E396" t="s">
        <v>259</v>
      </c>
      <c r="F396" t="s">
        <v>152</v>
      </c>
      <c r="G396" t="s">
        <v>194</v>
      </c>
      <c r="H396" t="s">
        <v>225</v>
      </c>
      <c r="I396" t="s">
        <v>226</v>
      </c>
      <c r="J396" t="s">
        <v>109</v>
      </c>
      <c r="K396" t="s">
        <v>100</v>
      </c>
      <c r="L396" t="s">
        <v>197</v>
      </c>
      <c r="M396" t="s">
        <v>198</v>
      </c>
      <c r="N396" t="s">
        <v>120</v>
      </c>
      <c r="O396" t="s">
        <v>121</v>
      </c>
      <c r="P396">
        <v>1</v>
      </c>
      <c r="Q396" s="4">
        <v>557.70000000000005</v>
      </c>
      <c r="R396" s="5">
        <v>0.33</v>
      </c>
      <c r="S396" s="4">
        <v>5.41</v>
      </c>
      <c r="T396" t="s">
        <v>84</v>
      </c>
      <c r="U396" t="s">
        <v>85</v>
      </c>
      <c r="V396">
        <v>3</v>
      </c>
    </row>
    <row r="397" spans="1:22">
      <c r="A397" t="s">
        <v>879</v>
      </c>
      <c r="B397" s="3">
        <v>45709</v>
      </c>
      <c r="C397" s="3">
        <v>45714</v>
      </c>
      <c r="D397" t="s">
        <v>87</v>
      </c>
      <c r="E397" t="s">
        <v>88</v>
      </c>
      <c r="F397" t="s">
        <v>89</v>
      </c>
      <c r="G397" t="s">
        <v>75</v>
      </c>
      <c r="H397" t="s">
        <v>76</v>
      </c>
      <c r="I397" t="s">
        <v>77</v>
      </c>
      <c r="J397" t="s">
        <v>129</v>
      </c>
      <c r="K397" t="s">
        <v>130</v>
      </c>
      <c r="L397" t="s">
        <v>284</v>
      </c>
      <c r="M397" t="s">
        <v>285</v>
      </c>
      <c r="N397" t="s">
        <v>103</v>
      </c>
      <c r="O397" t="s">
        <v>143</v>
      </c>
      <c r="P397">
        <v>1</v>
      </c>
      <c r="Q397" s="4">
        <v>29.61</v>
      </c>
      <c r="R397" s="5">
        <v>0.08</v>
      </c>
      <c r="S397" s="4">
        <v>16.190000000000001</v>
      </c>
      <c r="T397" t="s">
        <v>84</v>
      </c>
      <c r="U397" t="s">
        <v>85</v>
      </c>
      <c r="V397">
        <v>2</v>
      </c>
    </row>
    <row r="398" spans="1:22">
      <c r="A398" t="s">
        <v>880</v>
      </c>
      <c r="B398" s="3">
        <v>45709</v>
      </c>
      <c r="C398" s="3">
        <v>45710</v>
      </c>
      <c r="D398" t="s">
        <v>598</v>
      </c>
      <c r="E398" t="s">
        <v>599</v>
      </c>
      <c r="F398" t="s">
        <v>89</v>
      </c>
      <c r="G398" t="s">
        <v>138</v>
      </c>
      <c r="H398" t="s">
        <v>457</v>
      </c>
      <c r="I398" t="s">
        <v>458</v>
      </c>
      <c r="J398" t="s">
        <v>78</v>
      </c>
      <c r="K398" t="s">
        <v>168</v>
      </c>
      <c r="L398" t="s">
        <v>242</v>
      </c>
      <c r="M398" t="s">
        <v>243</v>
      </c>
      <c r="N398" t="s">
        <v>120</v>
      </c>
      <c r="O398" t="s">
        <v>133</v>
      </c>
      <c r="P398">
        <v>2</v>
      </c>
      <c r="Q398" s="4">
        <v>190.15</v>
      </c>
      <c r="R398" s="5">
        <v>0.01</v>
      </c>
      <c r="S398" s="4">
        <v>22.27</v>
      </c>
      <c r="T398" t="s">
        <v>122</v>
      </c>
      <c r="U398" t="s">
        <v>85</v>
      </c>
      <c r="V398">
        <v>1</v>
      </c>
    </row>
    <row r="399" spans="1:22">
      <c r="A399" t="s">
        <v>881</v>
      </c>
      <c r="B399" s="3">
        <v>45710</v>
      </c>
      <c r="C399" s="3">
        <v>45716</v>
      </c>
      <c r="D399" t="s">
        <v>332</v>
      </c>
      <c r="E399" t="s">
        <v>333</v>
      </c>
      <c r="F399" t="s">
        <v>74</v>
      </c>
      <c r="G399" t="s">
        <v>126</v>
      </c>
      <c r="H399" t="s">
        <v>127</v>
      </c>
      <c r="I399" t="s">
        <v>128</v>
      </c>
      <c r="J399" t="s">
        <v>78</v>
      </c>
      <c r="K399" t="s">
        <v>100</v>
      </c>
      <c r="L399" t="s">
        <v>207</v>
      </c>
      <c r="M399" t="s">
        <v>208</v>
      </c>
      <c r="N399" t="s">
        <v>120</v>
      </c>
      <c r="O399" t="s">
        <v>164</v>
      </c>
      <c r="P399">
        <v>3</v>
      </c>
      <c r="Q399" s="4">
        <v>1372.24</v>
      </c>
      <c r="R399" s="5">
        <v>0.05</v>
      </c>
      <c r="S399" s="4">
        <v>7.09</v>
      </c>
      <c r="T399" t="s">
        <v>84</v>
      </c>
      <c r="U399" t="s">
        <v>85</v>
      </c>
      <c r="V399">
        <v>2</v>
      </c>
    </row>
    <row r="400" spans="1:22">
      <c r="A400" t="s">
        <v>882</v>
      </c>
      <c r="B400" s="3">
        <v>45711</v>
      </c>
      <c r="C400" s="3">
        <v>45715</v>
      </c>
      <c r="D400" t="s">
        <v>150</v>
      </c>
      <c r="E400" t="s">
        <v>151</v>
      </c>
      <c r="F400" t="s">
        <v>152</v>
      </c>
      <c r="G400" t="s">
        <v>138</v>
      </c>
      <c r="H400" t="s">
        <v>153</v>
      </c>
      <c r="I400" t="s">
        <v>154</v>
      </c>
      <c r="J400" t="s">
        <v>78</v>
      </c>
      <c r="K400" t="s">
        <v>100</v>
      </c>
      <c r="L400" t="s">
        <v>242</v>
      </c>
      <c r="M400" t="s">
        <v>243</v>
      </c>
      <c r="N400" t="s">
        <v>120</v>
      </c>
      <c r="O400" t="s">
        <v>133</v>
      </c>
      <c r="P400">
        <v>3</v>
      </c>
      <c r="Q400" s="4">
        <v>188.7</v>
      </c>
      <c r="R400" s="5">
        <v>0.12</v>
      </c>
      <c r="S400" s="4">
        <v>6.3</v>
      </c>
      <c r="T400" t="s">
        <v>122</v>
      </c>
      <c r="U400" t="s">
        <v>85</v>
      </c>
      <c r="V400">
        <v>3</v>
      </c>
    </row>
    <row r="401" spans="1:22">
      <c r="A401" t="s">
        <v>883</v>
      </c>
      <c r="B401" s="3">
        <v>45712</v>
      </c>
      <c r="C401" s="3">
        <v>45722</v>
      </c>
      <c r="D401" t="s">
        <v>145</v>
      </c>
      <c r="E401" t="s">
        <v>146</v>
      </c>
      <c r="F401" t="s">
        <v>74</v>
      </c>
      <c r="G401" t="s">
        <v>75</v>
      </c>
      <c r="H401" t="s">
        <v>116</v>
      </c>
      <c r="I401" t="s">
        <v>117</v>
      </c>
      <c r="J401" t="s">
        <v>109</v>
      </c>
      <c r="K401" t="s">
        <v>79</v>
      </c>
      <c r="L401" t="s">
        <v>91</v>
      </c>
      <c r="M401" t="s">
        <v>92</v>
      </c>
      <c r="N401" t="s">
        <v>93</v>
      </c>
      <c r="O401" t="s">
        <v>94</v>
      </c>
      <c r="P401">
        <v>2</v>
      </c>
      <c r="Q401" s="4">
        <v>311.25</v>
      </c>
      <c r="R401" s="5">
        <v>0</v>
      </c>
      <c r="S401" s="4">
        <v>20.260000000000002</v>
      </c>
      <c r="T401" t="s">
        <v>105</v>
      </c>
      <c r="V401">
        <v>2</v>
      </c>
    </row>
    <row r="402" spans="1:22">
      <c r="A402" t="s">
        <v>884</v>
      </c>
      <c r="B402" s="3">
        <v>45714</v>
      </c>
      <c r="C402" s="3">
        <v>45722</v>
      </c>
      <c r="D402" t="s">
        <v>487</v>
      </c>
      <c r="E402" t="s">
        <v>470</v>
      </c>
      <c r="F402" t="s">
        <v>152</v>
      </c>
      <c r="G402" t="s">
        <v>75</v>
      </c>
      <c r="H402" t="s">
        <v>98</v>
      </c>
      <c r="I402" t="s">
        <v>99</v>
      </c>
      <c r="J402" t="s">
        <v>78</v>
      </c>
      <c r="K402" t="s">
        <v>147</v>
      </c>
      <c r="L402" t="s">
        <v>162</v>
      </c>
      <c r="M402" t="s">
        <v>163</v>
      </c>
      <c r="N402" t="s">
        <v>120</v>
      </c>
      <c r="O402" t="s">
        <v>164</v>
      </c>
      <c r="P402">
        <v>4</v>
      </c>
      <c r="Q402" s="4">
        <v>868.26</v>
      </c>
      <c r="R402" s="5">
        <v>0</v>
      </c>
      <c r="S402" s="4">
        <v>20.420000000000002</v>
      </c>
      <c r="T402" t="s">
        <v>134</v>
      </c>
      <c r="U402" t="s">
        <v>85</v>
      </c>
    </row>
    <row r="403" spans="1:22">
      <c r="A403" t="s">
        <v>885</v>
      </c>
      <c r="B403" s="3">
        <v>45718</v>
      </c>
      <c r="C403" s="3">
        <v>45724</v>
      </c>
      <c r="D403" t="s">
        <v>663</v>
      </c>
      <c r="E403" t="s">
        <v>664</v>
      </c>
      <c r="F403" t="s">
        <v>89</v>
      </c>
      <c r="G403" t="s">
        <v>194</v>
      </c>
      <c r="H403" t="s">
        <v>230</v>
      </c>
      <c r="I403" t="s">
        <v>231</v>
      </c>
      <c r="J403" t="s">
        <v>109</v>
      </c>
      <c r="K403" t="s">
        <v>147</v>
      </c>
      <c r="L403" t="s">
        <v>141</v>
      </c>
      <c r="M403" t="s">
        <v>142</v>
      </c>
      <c r="N403" t="s">
        <v>103</v>
      </c>
      <c r="O403" t="s">
        <v>143</v>
      </c>
      <c r="P403">
        <v>10</v>
      </c>
      <c r="Q403" s="4">
        <v>34.4</v>
      </c>
      <c r="R403" s="5">
        <v>0.02</v>
      </c>
      <c r="S403" s="4">
        <v>6.93</v>
      </c>
      <c r="T403" t="s">
        <v>84</v>
      </c>
      <c r="U403" t="s">
        <v>85</v>
      </c>
      <c r="V403">
        <v>2</v>
      </c>
    </row>
    <row r="404" spans="1:22">
      <c r="A404" t="s">
        <v>886</v>
      </c>
      <c r="B404" s="3">
        <v>45720</v>
      </c>
      <c r="C404" s="3">
        <v>45730</v>
      </c>
      <c r="D404" t="s">
        <v>372</v>
      </c>
      <c r="E404" t="s">
        <v>373</v>
      </c>
      <c r="F404" t="s">
        <v>89</v>
      </c>
      <c r="G404" t="s">
        <v>138</v>
      </c>
      <c r="H404" t="s">
        <v>347</v>
      </c>
      <c r="I404" t="s">
        <v>348</v>
      </c>
      <c r="J404" t="s">
        <v>109</v>
      </c>
      <c r="K404" t="s">
        <v>90</v>
      </c>
      <c r="L404" t="s">
        <v>234</v>
      </c>
      <c r="M404" t="s">
        <v>235</v>
      </c>
      <c r="N404" t="s">
        <v>93</v>
      </c>
      <c r="O404" t="s">
        <v>236</v>
      </c>
      <c r="P404">
        <v>3</v>
      </c>
      <c r="Q404" s="4">
        <v>145.72999999999999</v>
      </c>
      <c r="R404" s="5">
        <v>0.05</v>
      </c>
      <c r="S404" s="4">
        <v>28.51</v>
      </c>
      <c r="T404" t="s">
        <v>105</v>
      </c>
      <c r="U404" t="s">
        <v>85</v>
      </c>
      <c r="V404">
        <v>5</v>
      </c>
    </row>
    <row r="405" spans="1:22">
      <c r="A405" t="s">
        <v>887</v>
      </c>
      <c r="B405" s="3">
        <v>45722</v>
      </c>
      <c r="C405" s="3">
        <v>45727</v>
      </c>
      <c r="D405" t="s">
        <v>372</v>
      </c>
      <c r="E405" t="s">
        <v>373</v>
      </c>
      <c r="F405" t="s">
        <v>89</v>
      </c>
      <c r="G405" t="s">
        <v>138</v>
      </c>
      <c r="H405" t="s">
        <v>347</v>
      </c>
      <c r="I405" t="s">
        <v>348</v>
      </c>
      <c r="J405" t="s">
        <v>129</v>
      </c>
      <c r="K405" t="s">
        <v>147</v>
      </c>
      <c r="L405" t="s">
        <v>214</v>
      </c>
      <c r="M405" t="s">
        <v>215</v>
      </c>
      <c r="N405" t="s">
        <v>103</v>
      </c>
      <c r="O405" t="s">
        <v>171</v>
      </c>
      <c r="P405">
        <v>2</v>
      </c>
      <c r="Q405" s="4">
        <v>12.72</v>
      </c>
      <c r="R405" s="5">
        <v>0.08</v>
      </c>
      <c r="S405" s="4">
        <v>15.35</v>
      </c>
      <c r="T405" t="s">
        <v>84</v>
      </c>
      <c r="U405" t="s">
        <v>85</v>
      </c>
      <c r="V405">
        <v>5</v>
      </c>
    </row>
    <row r="406" spans="1:22">
      <c r="A406" t="s">
        <v>888</v>
      </c>
      <c r="B406" s="3">
        <v>45722</v>
      </c>
      <c r="C406" s="3">
        <v>45725</v>
      </c>
      <c r="D406" t="s">
        <v>677</v>
      </c>
      <c r="E406" t="s">
        <v>678</v>
      </c>
      <c r="F406" t="s">
        <v>152</v>
      </c>
      <c r="G406" t="s">
        <v>138</v>
      </c>
      <c r="H406" t="s">
        <v>347</v>
      </c>
      <c r="I406" t="s">
        <v>348</v>
      </c>
      <c r="J406" t="s">
        <v>109</v>
      </c>
      <c r="K406" t="s">
        <v>168</v>
      </c>
      <c r="L406" t="s">
        <v>220</v>
      </c>
      <c r="M406" t="s">
        <v>221</v>
      </c>
      <c r="N406" t="s">
        <v>93</v>
      </c>
      <c r="O406" t="s">
        <v>177</v>
      </c>
      <c r="P406">
        <v>3</v>
      </c>
      <c r="Q406" s="4">
        <v>220.44</v>
      </c>
      <c r="R406" s="5">
        <v>0.08</v>
      </c>
      <c r="S406" s="4">
        <v>21.17</v>
      </c>
      <c r="T406" t="s">
        <v>105</v>
      </c>
      <c r="U406" t="s">
        <v>85</v>
      </c>
      <c r="V406">
        <v>5</v>
      </c>
    </row>
    <row r="407" spans="1:22">
      <c r="A407" t="s">
        <v>889</v>
      </c>
      <c r="B407" s="3">
        <v>45723</v>
      </c>
      <c r="C407" s="3">
        <v>45724</v>
      </c>
      <c r="D407" t="s">
        <v>812</v>
      </c>
      <c r="E407" t="s">
        <v>813</v>
      </c>
      <c r="F407" t="s">
        <v>152</v>
      </c>
      <c r="G407" t="s">
        <v>75</v>
      </c>
      <c r="H407" t="s">
        <v>273</v>
      </c>
      <c r="I407" t="s">
        <v>274</v>
      </c>
      <c r="J407" t="s">
        <v>78</v>
      </c>
      <c r="K407" t="s">
        <v>147</v>
      </c>
      <c r="L407" t="s">
        <v>254</v>
      </c>
      <c r="M407" t="s">
        <v>255</v>
      </c>
      <c r="N407" t="s">
        <v>82</v>
      </c>
      <c r="O407" t="s">
        <v>83</v>
      </c>
      <c r="P407">
        <v>1</v>
      </c>
      <c r="Q407" s="4">
        <v>93.43</v>
      </c>
      <c r="R407" s="5">
        <v>7.0000000000000007E-2</v>
      </c>
      <c r="S407" s="4">
        <v>7.57</v>
      </c>
      <c r="T407" t="s">
        <v>134</v>
      </c>
      <c r="U407" t="s">
        <v>85</v>
      </c>
      <c r="V407">
        <v>5</v>
      </c>
    </row>
    <row r="408" spans="1:22">
      <c r="A408" t="s">
        <v>890</v>
      </c>
      <c r="B408" s="3">
        <v>45723</v>
      </c>
      <c r="C408" s="3">
        <v>45727</v>
      </c>
      <c r="D408" t="s">
        <v>345</v>
      </c>
      <c r="E408" t="s">
        <v>346</v>
      </c>
      <c r="F408" t="s">
        <v>89</v>
      </c>
      <c r="G408" t="s">
        <v>138</v>
      </c>
      <c r="H408" t="s">
        <v>347</v>
      </c>
      <c r="I408" t="s">
        <v>348</v>
      </c>
      <c r="J408" t="s">
        <v>219</v>
      </c>
      <c r="K408" t="s">
        <v>147</v>
      </c>
      <c r="L408" t="s">
        <v>220</v>
      </c>
      <c r="M408" t="s">
        <v>221</v>
      </c>
      <c r="N408" t="s">
        <v>93</v>
      </c>
      <c r="O408" t="s">
        <v>177</v>
      </c>
      <c r="P408">
        <v>4</v>
      </c>
      <c r="Q408" s="4">
        <v>233.42</v>
      </c>
      <c r="R408" s="5">
        <v>0.02</v>
      </c>
      <c r="S408" s="4">
        <v>18.78</v>
      </c>
      <c r="T408" t="s">
        <v>122</v>
      </c>
      <c r="U408" t="s">
        <v>148</v>
      </c>
      <c r="V408">
        <v>1</v>
      </c>
    </row>
    <row r="409" spans="1:22">
      <c r="A409" t="s">
        <v>891</v>
      </c>
      <c r="B409" s="3">
        <v>45723</v>
      </c>
      <c r="C409" s="3">
        <v>45728</v>
      </c>
      <c r="D409" t="s">
        <v>410</v>
      </c>
      <c r="E409" t="s">
        <v>411</v>
      </c>
      <c r="F409" t="s">
        <v>74</v>
      </c>
      <c r="G409" t="s">
        <v>126</v>
      </c>
      <c r="H409" t="s">
        <v>291</v>
      </c>
      <c r="I409" t="s">
        <v>292</v>
      </c>
      <c r="J409" t="s">
        <v>219</v>
      </c>
      <c r="K409" t="s">
        <v>100</v>
      </c>
      <c r="L409" t="s">
        <v>141</v>
      </c>
      <c r="M409" t="s">
        <v>142</v>
      </c>
      <c r="N409" t="s">
        <v>103</v>
      </c>
      <c r="O409" t="s">
        <v>143</v>
      </c>
      <c r="P409">
        <v>7</v>
      </c>
      <c r="Q409" s="4">
        <v>34.340000000000003</v>
      </c>
      <c r="R409" s="5">
        <v>0</v>
      </c>
      <c r="S409" s="4">
        <v>16.7</v>
      </c>
      <c r="T409" t="s">
        <v>122</v>
      </c>
      <c r="U409" t="s">
        <v>85</v>
      </c>
      <c r="V409">
        <v>3</v>
      </c>
    </row>
    <row r="410" spans="1:22">
      <c r="A410" t="s">
        <v>892</v>
      </c>
      <c r="B410" s="3">
        <v>45724</v>
      </c>
      <c r="C410" s="3">
        <v>45728</v>
      </c>
      <c r="D410" t="s">
        <v>248</v>
      </c>
      <c r="E410" t="s">
        <v>137</v>
      </c>
      <c r="F410" t="s">
        <v>74</v>
      </c>
      <c r="G410" t="s">
        <v>75</v>
      </c>
      <c r="H410" t="s">
        <v>98</v>
      </c>
      <c r="I410" t="s">
        <v>99</v>
      </c>
      <c r="J410" t="s">
        <v>129</v>
      </c>
      <c r="K410" t="s">
        <v>130</v>
      </c>
      <c r="L410" t="s">
        <v>359</v>
      </c>
      <c r="M410" t="s">
        <v>360</v>
      </c>
      <c r="N410" t="s">
        <v>93</v>
      </c>
      <c r="O410" t="s">
        <v>94</v>
      </c>
      <c r="P410">
        <v>3</v>
      </c>
      <c r="Q410" s="4">
        <v>452.04</v>
      </c>
      <c r="R410" s="5">
        <v>0.01</v>
      </c>
      <c r="S410" s="4">
        <v>18.87</v>
      </c>
      <c r="T410" t="s">
        <v>105</v>
      </c>
      <c r="U410" t="s">
        <v>85</v>
      </c>
      <c r="V410">
        <v>5</v>
      </c>
    </row>
    <row r="411" spans="1:22">
      <c r="A411" t="s">
        <v>893</v>
      </c>
      <c r="B411" s="3">
        <v>45725</v>
      </c>
      <c r="C411" s="3">
        <v>45735</v>
      </c>
      <c r="D411" t="s">
        <v>550</v>
      </c>
      <c r="E411" t="s">
        <v>218</v>
      </c>
      <c r="F411" t="s">
        <v>152</v>
      </c>
      <c r="G411" t="s">
        <v>126</v>
      </c>
      <c r="H411" t="s">
        <v>127</v>
      </c>
      <c r="I411" t="s">
        <v>128</v>
      </c>
      <c r="J411" t="s">
        <v>219</v>
      </c>
      <c r="K411" t="s">
        <v>147</v>
      </c>
      <c r="L411" t="s">
        <v>197</v>
      </c>
      <c r="M411" t="s">
        <v>198</v>
      </c>
      <c r="N411" t="s">
        <v>120</v>
      </c>
      <c r="O411" t="s">
        <v>121</v>
      </c>
      <c r="P411">
        <v>2</v>
      </c>
      <c r="Q411" s="4">
        <v>526.04</v>
      </c>
      <c r="R411" s="5">
        <v>0.02</v>
      </c>
      <c r="S411" s="4">
        <v>11.6</v>
      </c>
      <c r="T411" t="s">
        <v>122</v>
      </c>
      <c r="U411" t="s">
        <v>85</v>
      </c>
      <c r="V411">
        <v>1</v>
      </c>
    </row>
    <row r="412" spans="1:22">
      <c r="A412" t="s">
        <v>894</v>
      </c>
      <c r="B412" s="3">
        <v>45725</v>
      </c>
      <c r="C412" s="3">
        <v>45732</v>
      </c>
      <c r="D412" t="s">
        <v>474</v>
      </c>
      <c r="E412" t="s">
        <v>475</v>
      </c>
      <c r="F412" t="s">
        <v>74</v>
      </c>
      <c r="G412" t="s">
        <v>138</v>
      </c>
      <c r="H412" t="s">
        <v>153</v>
      </c>
      <c r="I412" t="s">
        <v>154</v>
      </c>
      <c r="J412" t="s">
        <v>78</v>
      </c>
      <c r="K412" t="s">
        <v>130</v>
      </c>
      <c r="L412" t="s">
        <v>91</v>
      </c>
      <c r="M412" t="s">
        <v>92</v>
      </c>
      <c r="N412" t="s">
        <v>93</v>
      </c>
      <c r="O412" t="s">
        <v>94</v>
      </c>
      <c r="P412">
        <v>4</v>
      </c>
      <c r="Q412" s="4">
        <v>348.63</v>
      </c>
      <c r="R412" s="5">
        <v>0.34</v>
      </c>
      <c r="S412" s="4">
        <v>18.16</v>
      </c>
      <c r="T412" t="s">
        <v>134</v>
      </c>
      <c r="U412" t="s">
        <v>85</v>
      </c>
      <c r="V412">
        <v>4</v>
      </c>
    </row>
    <row r="413" spans="1:22">
      <c r="A413" t="s">
        <v>895</v>
      </c>
      <c r="B413" s="3">
        <v>45725</v>
      </c>
      <c r="C413" s="3">
        <v>45731</v>
      </c>
      <c r="D413" t="s">
        <v>264</v>
      </c>
      <c r="E413" t="s">
        <v>265</v>
      </c>
      <c r="F413" t="s">
        <v>74</v>
      </c>
      <c r="G413" t="s">
        <v>194</v>
      </c>
      <c r="H413" t="s">
        <v>230</v>
      </c>
      <c r="I413" t="s">
        <v>231</v>
      </c>
      <c r="J413" t="s">
        <v>129</v>
      </c>
      <c r="K413" t="s">
        <v>79</v>
      </c>
      <c r="L413" t="s">
        <v>261</v>
      </c>
      <c r="M413" t="s">
        <v>262</v>
      </c>
      <c r="N413" t="s">
        <v>103</v>
      </c>
      <c r="O413" t="s">
        <v>104</v>
      </c>
      <c r="P413">
        <v>3</v>
      </c>
      <c r="Q413" s="4">
        <v>27.74</v>
      </c>
      <c r="R413" s="5">
        <v>0.05</v>
      </c>
      <c r="S413" s="4">
        <v>9.42</v>
      </c>
      <c r="T413" t="s">
        <v>105</v>
      </c>
      <c r="U413" t="s">
        <v>85</v>
      </c>
      <c r="V413">
        <v>2</v>
      </c>
    </row>
    <row r="414" spans="1:22">
      <c r="A414" t="s">
        <v>896</v>
      </c>
      <c r="B414" s="3">
        <v>45726</v>
      </c>
      <c r="C414" s="3">
        <v>45741</v>
      </c>
      <c r="D414" t="s">
        <v>500</v>
      </c>
      <c r="E414" t="s">
        <v>501</v>
      </c>
      <c r="F414" t="s">
        <v>152</v>
      </c>
      <c r="G414" t="s">
        <v>194</v>
      </c>
      <c r="H414" t="s">
        <v>202</v>
      </c>
      <c r="I414" t="s">
        <v>203</v>
      </c>
      <c r="J414" t="s">
        <v>109</v>
      </c>
      <c r="K414" t="s">
        <v>168</v>
      </c>
      <c r="L414" t="s">
        <v>254</v>
      </c>
      <c r="M414" t="s">
        <v>255</v>
      </c>
      <c r="N414" t="s">
        <v>82</v>
      </c>
      <c r="O414" t="s">
        <v>83</v>
      </c>
      <c r="P414">
        <v>3</v>
      </c>
      <c r="Q414" s="4">
        <v>97.79</v>
      </c>
      <c r="R414" s="5">
        <v>0.11</v>
      </c>
      <c r="S414" s="4">
        <v>5.3</v>
      </c>
      <c r="T414" t="s">
        <v>122</v>
      </c>
      <c r="U414" t="s">
        <v>85</v>
      </c>
      <c r="V414">
        <v>5</v>
      </c>
    </row>
    <row r="415" spans="1:22">
      <c r="A415" t="s">
        <v>897</v>
      </c>
      <c r="B415" s="3">
        <v>45726</v>
      </c>
      <c r="C415" s="3">
        <v>45736</v>
      </c>
      <c r="D415" t="s">
        <v>406</v>
      </c>
      <c r="E415" t="s">
        <v>407</v>
      </c>
      <c r="F415" t="s">
        <v>89</v>
      </c>
      <c r="G415" t="s">
        <v>75</v>
      </c>
      <c r="H415" t="s">
        <v>116</v>
      </c>
      <c r="I415" t="s">
        <v>117</v>
      </c>
      <c r="J415" t="s">
        <v>109</v>
      </c>
      <c r="K415" t="s">
        <v>130</v>
      </c>
      <c r="L415" t="s">
        <v>214</v>
      </c>
      <c r="M415" t="s">
        <v>215</v>
      </c>
      <c r="N415" t="s">
        <v>103</v>
      </c>
      <c r="O415" t="s">
        <v>171</v>
      </c>
      <c r="P415">
        <v>2</v>
      </c>
      <c r="Q415" s="4">
        <v>11.53</v>
      </c>
      <c r="R415" s="5">
        <v>0.11</v>
      </c>
      <c r="S415" s="4">
        <v>5.0199999999999996</v>
      </c>
      <c r="T415" t="s">
        <v>105</v>
      </c>
      <c r="U415" t="s">
        <v>85</v>
      </c>
      <c r="V415">
        <v>1</v>
      </c>
    </row>
    <row r="416" spans="1:22">
      <c r="A416" t="s">
        <v>898</v>
      </c>
      <c r="B416" s="3">
        <v>45728</v>
      </c>
      <c r="C416" s="3">
        <v>45738</v>
      </c>
      <c r="D416" t="s">
        <v>451</v>
      </c>
      <c r="E416" t="s">
        <v>452</v>
      </c>
      <c r="F416" t="s">
        <v>89</v>
      </c>
      <c r="G416" t="s">
        <v>126</v>
      </c>
      <c r="H416" t="s">
        <v>160</v>
      </c>
      <c r="I416" t="s">
        <v>161</v>
      </c>
      <c r="J416" t="s">
        <v>129</v>
      </c>
      <c r="K416" t="s">
        <v>100</v>
      </c>
      <c r="L416" t="s">
        <v>284</v>
      </c>
      <c r="M416" t="s">
        <v>285</v>
      </c>
      <c r="N416" t="s">
        <v>103</v>
      </c>
      <c r="O416" t="s">
        <v>143</v>
      </c>
      <c r="P416">
        <v>3</v>
      </c>
      <c r="Q416" s="4">
        <v>29.51</v>
      </c>
      <c r="R416" s="5">
        <v>0.11</v>
      </c>
      <c r="S416" s="4">
        <v>16.62</v>
      </c>
      <c r="T416" t="s">
        <v>105</v>
      </c>
      <c r="U416" t="s">
        <v>85</v>
      </c>
    </row>
    <row r="417" spans="1:22">
      <c r="A417" t="s">
        <v>899</v>
      </c>
      <c r="B417" s="3">
        <v>45728</v>
      </c>
      <c r="C417" s="3">
        <v>45734</v>
      </c>
      <c r="D417" t="s">
        <v>490</v>
      </c>
      <c r="E417" t="s">
        <v>491</v>
      </c>
      <c r="F417" t="s">
        <v>152</v>
      </c>
      <c r="G417" t="s">
        <v>194</v>
      </c>
      <c r="H417" t="s">
        <v>202</v>
      </c>
      <c r="I417" t="s">
        <v>203</v>
      </c>
      <c r="J417" t="s">
        <v>129</v>
      </c>
      <c r="K417" t="s">
        <v>79</v>
      </c>
      <c r="L417" t="s">
        <v>359</v>
      </c>
      <c r="M417" t="s">
        <v>360</v>
      </c>
      <c r="N417" t="s">
        <v>93</v>
      </c>
      <c r="O417" t="s">
        <v>94</v>
      </c>
      <c r="P417">
        <v>1</v>
      </c>
      <c r="Q417" s="4">
        <v>443.87</v>
      </c>
      <c r="R417" s="5">
        <v>0.11</v>
      </c>
      <c r="S417" s="4">
        <v>24.78</v>
      </c>
      <c r="T417" t="s">
        <v>134</v>
      </c>
      <c r="U417" t="s">
        <v>85</v>
      </c>
      <c r="V417">
        <v>4</v>
      </c>
    </row>
    <row r="418" spans="1:22">
      <c r="A418" t="s">
        <v>900</v>
      </c>
      <c r="B418" s="3">
        <v>45730</v>
      </c>
      <c r="C418" s="3">
        <v>45732</v>
      </c>
      <c r="D418" t="s">
        <v>424</v>
      </c>
      <c r="E418" t="s">
        <v>425</v>
      </c>
      <c r="F418" t="s">
        <v>152</v>
      </c>
      <c r="G418" t="s">
        <v>138</v>
      </c>
      <c r="H418" t="s">
        <v>347</v>
      </c>
      <c r="I418" t="s">
        <v>348</v>
      </c>
      <c r="J418" t="s">
        <v>78</v>
      </c>
      <c r="K418" t="s">
        <v>90</v>
      </c>
      <c r="L418" t="s">
        <v>101</v>
      </c>
      <c r="M418" t="s">
        <v>102</v>
      </c>
      <c r="N418" t="s">
        <v>103</v>
      </c>
      <c r="O418" t="s">
        <v>104</v>
      </c>
      <c r="P418">
        <v>5</v>
      </c>
      <c r="Q418" s="4">
        <v>75.5</v>
      </c>
      <c r="R418" s="5">
        <v>0.08</v>
      </c>
      <c r="S418" s="4">
        <v>16.98</v>
      </c>
      <c r="T418" t="s">
        <v>84</v>
      </c>
      <c r="U418" t="s">
        <v>85</v>
      </c>
      <c r="V418">
        <v>1</v>
      </c>
    </row>
    <row r="419" spans="1:22">
      <c r="A419" t="s">
        <v>901</v>
      </c>
      <c r="B419" s="3">
        <v>45733</v>
      </c>
      <c r="C419" s="3">
        <v>45743</v>
      </c>
      <c r="D419" t="s">
        <v>350</v>
      </c>
      <c r="E419" t="s">
        <v>351</v>
      </c>
      <c r="F419" t="s">
        <v>152</v>
      </c>
      <c r="G419" t="s">
        <v>126</v>
      </c>
      <c r="H419" t="s">
        <v>160</v>
      </c>
      <c r="I419" t="s">
        <v>182</v>
      </c>
      <c r="J419" t="s">
        <v>219</v>
      </c>
      <c r="K419" t="s">
        <v>100</v>
      </c>
      <c r="L419" t="s">
        <v>261</v>
      </c>
      <c r="M419" t="s">
        <v>262</v>
      </c>
      <c r="N419" t="s">
        <v>103</v>
      </c>
      <c r="O419" t="s">
        <v>104</v>
      </c>
      <c r="P419">
        <v>3</v>
      </c>
      <c r="Q419" s="4">
        <v>27.08</v>
      </c>
      <c r="R419" s="5">
        <v>7.0000000000000007E-2</v>
      </c>
      <c r="S419" s="4">
        <v>11.13</v>
      </c>
      <c r="T419" t="s">
        <v>105</v>
      </c>
      <c r="U419" t="s">
        <v>85</v>
      </c>
      <c r="V419">
        <v>1</v>
      </c>
    </row>
    <row r="420" spans="1:22">
      <c r="A420" t="s">
        <v>902</v>
      </c>
      <c r="B420" s="3">
        <v>45733</v>
      </c>
      <c r="C420" s="3">
        <v>45742</v>
      </c>
      <c r="D420" t="s">
        <v>482</v>
      </c>
      <c r="E420" t="s">
        <v>483</v>
      </c>
      <c r="F420" t="s">
        <v>74</v>
      </c>
      <c r="G420" t="s">
        <v>194</v>
      </c>
      <c r="H420" t="s">
        <v>240</v>
      </c>
      <c r="I420" t="s">
        <v>241</v>
      </c>
      <c r="J420" t="s">
        <v>78</v>
      </c>
      <c r="K420" t="s">
        <v>147</v>
      </c>
      <c r="L420" t="s">
        <v>197</v>
      </c>
      <c r="M420" t="s">
        <v>198</v>
      </c>
      <c r="N420" t="s">
        <v>120</v>
      </c>
      <c r="O420" t="s">
        <v>121</v>
      </c>
      <c r="P420">
        <v>3</v>
      </c>
      <c r="Q420" s="4">
        <v>500.65</v>
      </c>
      <c r="R420" s="5">
        <v>0.12</v>
      </c>
      <c r="S420" s="4">
        <v>19.190000000000001</v>
      </c>
      <c r="T420" t="s">
        <v>134</v>
      </c>
      <c r="U420" t="s">
        <v>85</v>
      </c>
      <c r="V420">
        <v>4</v>
      </c>
    </row>
    <row r="421" spans="1:22">
      <c r="A421" t="s">
        <v>903</v>
      </c>
      <c r="B421" s="3">
        <v>45734</v>
      </c>
      <c r="C421" s="3">
        <v>45739</v>
      </c>
      <c r="D421" t="s">
        <v>904</v>
      </c>
      <c r="E421" t="s">
        <v>449</v>
      </c>
      <c r="F421" t="s">
        <v>152</v>
      </c>
      <c r="G421" t="s">
        <v>75</v>
      </c>
      <c r="H421" t="s">
        <v>212</v>
      </c>
      <c r="I421" t="s">
        <v>213</v>
      </c>
      <c r="J421" t="s">
        <v>78</v>
      </c>
      <c r="K421" t="s">
        <v>90</v>
      </c>
      <c r="L421" t="s">
        <v>91</v>
      </c>
      <c r="M421" t="s">
        <v>92</v>
      </c>
      <c r="N421" t="s">
        <v>93</v>
      </c>
      <c r="O421" t="s">
        <v>94</v>
      </c>
      <c r="P421">
        <v>4</v>
      </c>
      <c r="Q421" s="4">
        <v>314.27</v>
      </c>
      <c r="R421" s="5">
        <v>7.0000000000000007E-2</v>
      </c>
      <c r="S421" s="4">
        <v>20.88</v>
      </c>
      <c r="T421" t="s">
        <v>134</v>
      </c>
      <c r="U421" t="s">
        <v>85</v>
      </c>
      <c r="V421">
        <v>1</v>
      </c>
    </row>
    <row r="422" spans="1:22">
      <c r="A422" t="s">
        <v>905</v>
      </c>
      <c r="B422" s="3">
        <v>45736</v>
      </c>
      <c r="C422" s="3">
        <v>45738</v>
      </c>
      <c r="D422" t="s">
        <v>556</v>
      </c>
      <c r="E422" t="s">
        <v>557</v>
      </c>
      <c r="F422" t="s">
        <v>152</v>
      </c>
      <c r="G422" t="s">
        <v>75</v>
      </c>
      <c r="H422" t="s">
        <v>212</v>
      </c>
      <c r="I422" t="s">
        <v>213</v>
      </c>
      <c r="J422" t="s">
        <v>78</v>
      </c>
      <c r="K422" t="s">
        <v>147</v>
      </c>
      <c r="L422" t="s">
        <v>242</v>
      </c>
      <c r="M422" t="s">
        <v>243</v>
      </c>
      <c r="N422" t="s">
        <v>120</v>
      </c>
      <c r="O422" t="s">
        <v>133</v>
      </c>
      <c r="P422">
        <v>3</v>
      </c>
      <c r="Q422" s="4">
        <v>192.02</v>
      </c>
      <c r="R422" s="5">
        <v>0.05</v>
      </c>
      <c r="S422" s="4">
        <v>8.9600000000000009</v>
      </c>
      <c r="T422" t="s">
        <v>122</v>
      </c>
      <c r="U422" t="s">
        <v>85</v>
      </c>
      <c r="V422">
        <v>3</v>
      </c>
    </row>
    <row r="423" spans="1:22">
      <c r="A423" t="s">
        <v>906</v>
      </c>
      <c r="B423" s="3">
        <v>45737</v>
      </c>
      <c r="C423" s="3">
        <v>45743</v>
      </c>
      <c r="D423" t="s">
        <v>646</v>
      </c>
      <c r="E423" t="s">
        <v>647</v>
      </c>
      <c r="F423" t="s">
        <v>89</v>
      </c>
      <c r="G423" t="s">
        <v>126</v>
      </c>
      <c r="H423" t="s">
        <v>127</v>
      </c>
      <c r="I423" t="s">
        <v>128</v>
      </c>
      <c r="J423" t="s">
        <v>78</v>
      </c>
      <c r="K423" t="s">
        <v>168</v>
      </c>
      <c r="L423" t="s">
        <v>141</v>
      </c>
      <c r="M423" t="s">
        <v>142</v>
      </c>
      <c r="N423" t="s">
        <v>103</v>
      </c>
      <c r="O423" t="s">
        <v>143</v>
      </c>
      <c r="P423">
        <v>10</v>
      </c>
      <c r="Q423" s="4">
        <v>37.31</v>
      </c>
      <c r="R423" s="5">
        <v>7.0000000000000007E-2</v>
      </c>
      <c r="S423" s="4">
        <v>16.87</v>
      </c>
      <c r="T423" t="s">
        <v>84</v>
      </c>
      <c r="U423" t="s">
        <v>85</v>
      </c>
      <c r="V423">
        <v>1</v>
      </c>
    </row>
    <row r="424" spans="1:22">
      <c r="A424" t="s">
        <v>907</v>
      </c>
      <c r="B424" s="3">
        <v>45737</v>
      </c>
      <c r="C424" s="3">
        <v>45745</v>
      </c>
      <c r="D424" t="s">
        <v>362</v>
      </c>
      <c r="E424" t="s">
        <v>363</v>
      </c>
      <c r="F424" t="s">
        <v>89</v>
      </c>
      <c r="G424" t="s">
        <v>194</v>
      </c>
      <c r="H424" t="s">
        <v>240</v>
      </c>
      <c r="I424" t="s">
        <v>241</v>
      </c>
      <c r="J424" t="s">
        <v>129</v>
      </c>
      <c r="K424" t="s">
        <v>79</v>
      </c>
      <c r="L424" t="s">
        <v>101</v>
      </c>
      <c r="M424" t="s">
        <v>102</v>
      </c>
      <c r="N424" t="s">
        <v>527</v>
      </c>
      <c r="O424" t="s">
        <v>104</v>
      </c>
      <c r="P424">
        <v>1</v>
      </c>
      <c r="Q424" s="4">
        <v>77.25</v>
      </c>
      <c r="R424" s="5">
        <v>7.0000000000000007E-2</v>
      </c>
      <c r="S424" s="4">
        <v>14.79</v>
      </c>
      <c r="T424" t="s">
        <v>84</v>
      </c>
      <c r="U424" t="s">
        <v>85</v>
      </c>
      <c r="V424">
        <v>2</v>
      </c>
    </row>
    <row r="425" spans="1:22">
      <c r="A425" t="s">
        <v>908</v>
      </c>
      <c r="B425" s="3">
        <v>45739</v>
      </c>
      <c r="C425" s="3">
        <v>45743</v>
      </c>
      <c r="D425" t="s">
        <v>714</v>
      </c>
      <c r="E425" t="s">
        <v>715</v>
      </c>
      <c r="F425" t="s">
        <v>89</v>
      </c>
      <c r="G425" t="s">
        <v>126</v>
      </c>
      <c r="H425" t="s">
        <v>160</v>
      </c>
      <c r="I425" t="s">
        <v>161</v>
      </c>
      <c r="J425" t="s">
        <v>129</v>
      </c>
      <c r="K425" t="s">
        <v>168</v>
      </c>
      <c r="L425" t="s">
        <v>249</v>
      </c>
      <c r="M425" t="s">
        <v>250</v>
      </c>
      <c r="N425" t="s">
        <v>103</v>
      </c>
      <c r="O425" t="s">
        <v>251</v>
      </c>
      <c r="P425">
        <v>2</v>
      </c>
      <c r="Q425" s="4">
        <v>21.68</v>
      </c>
      <c r="R425" s="5">
        <v>0.1</v>
      </c>
      <c r="S425" s="4">
        <v>12.79</v>
      </c>
      <c r="T425" t="s">
        <v>134</v>
      </c>
      <c r="U425" t="s">
        <v>85</v>
      </c>
      <c r="V425">
        <v>3</v>
      </c>
    </row>
    <row r="426" spans="1:22">
      <c r="A426" t="s">
        <v>909</v>
      </c>
      <c r="B426" s="3">
        <v>45740</v>
      </c>
      <c r="C426" s="3">
        <v>45745</v>
      </c>
      <c r="D426" t="s">
        <v>332</v>
      </c>
      <c r="E426" t="s">
        <v>333</v>
      </c>
      <c r="F426" t="s">
        <v>74</v>
      </c>
      <c r="G426" t="s">
        <v>126</v>
      </c>
      <c r="H426" t="s">
        <v>127</v>
      </c>
      <c r="I426" t="s">
        <v>128</v>
      </c>
      <c r="J426" t="s">
        <v>109</v>
      </c>
      <c r="K426" t="s">
        <v>100</v>
      </c>
      <c r="L426" t="s">
        <v>242</v>
      </c>
      <c r="M426" t="s">
        <v>243</v>
      </c>
      <c r="N426" t="s">
        <v>120</v>
      </c>
      <c r="O426" t="s">
        <v>133</v>
      </c>
      <c r="P426">
        <v>1</v>
      </c>
      <c r="Q426" s="4">
        <v>192.11</v>
      </c>
      <c r="R426" s="5">
        <v>0.04</v>
      </c>
      <c r="S426" s="4">
        <v>22.49</v>
      </c>
      <c r="T426" t="s">
        <v>122</v>
      </c>
      <c r="U426" t="s">
        <v>85</v>
      </c>
      <c r="V426">
        <v>1</v>
      </c>
    </row>
    <row r="427" spans="1:22">
      <c r="A427" t="s">
        <v>910</v>
      </c>
      <c r="B427" s="3">
        <v>45740</v>
      </c>
      <c r="C427" s="3">
        <v>45744</v>
      </c>
      <c r="D427" t="s">
        <v>714</v>
      </c>
      <c r="E427" t="s">
        <v>715</v>
      </c>
      <c r="F427" t="s">
        <v>89</v>
      </c>
      <c r="G427" t="s">
        <v>126</v>
      </c>
      <c r="H427" t="s">
        <v>160</v>
      </c>
      <c r="I427" t="s">
        <v>161</v>
      </c>
      <c r="J427" t="s">
        <v>129</v>
      </c>
      <c r="K427" t="s">
        <v>147</v>
      </c>
      <c r="L427" t="s">
        <v>284</v>
      </c>
      <c r="M427" t="s">
        <v>285</v>
      </c>
      <c r="N427" t="s">
        <v>103</v>
      </c>
      <c r="O427" t="s">
        <v>143</v>
      </c>
      <c r="P427">
        <v>8</v>
      </c>
      <c r="Q427" s="4">
        <v>29.26</v>
      </c>
      <c r="R427" s="5">
        <v>0.11</v>
      </c>
      <c r="S427" s="4">
        <v>5.58</v>
      </c>
      <c r="T427" t="s">
        <v>122</v>
      </c>
      <c r="U427" t="s">
        <v>85</v>
      </c>
      <c r="V427">
        <v>2</v>
      </c>
    </row>
    <row r="428" spans="1:22">
      <c r="A428" t="s">
        <v>911</v>
      </c>
      <c r="B428" s="3">
        <v>45741</v>
      </c>
      <c r="C428" s="3">
        <v>45751</v>
      </c>
      <c r="D428" t="s">
        <v>210</v>
      </c>
      <c r="E428" t="s">
        <v>211</v>
      </c>
      <c r="F428" t="s">
        <v>89</v>
      </c>
      <c r="G428" t="s">
        <v>75</v>
      </c>
      <c r="H428" t="s">
        <v>212</v>
      </c>
      <c r="I428" t="s">
        <v>213</v>
      </c>
      <c r="J428" t="s">
        <v>109</v>
      </c>
      <c r="K428" t="s">
        <v>90</v>
      </c>
      <c r="L428" t="s">
        <v>197</v>
      </c>
      <c r="M428" t="s">
        <v>198</v>
      </c>
      <c r="N428" t="s">
        <v>120</v>
      </c>
      <c r="O428" t="s">
        <v>121</v>
      </c>
      <c r="P428">
        <v>4</v>
      </c>
      <c r="Q428" s="4">
        <v>508.72</v>
      </c>
      <c r="R428" s="5">
        <v>0.05</v>
      </c>
      <c r="S428" s="4">
        <v>5.15</v>
      </c>
      <c r="T428" t="s">
        <v>105</v>
      </c>
      <c r="U428" t="s">
        <v>85</v>
      </c>
      <c r="V428">
        <v>3</v>
      </c>
    </row>
    <row r="429" spans="1:22">
      <c r="A429" t="s">
        <v>912</v>
      </c>
      <c r="B429" s="3">
        <v>45742</v>
      </c>
      <c r="C429" s="3">
        <v>45745</v>
      </c>
      <c r="D429" t="s">
        <v>913</v>
      </c>
      <c r="E429" t="s">
        <v>914</v>
      </c>
      <c r="F429" t="s">
        <v>74</v>
      </c>
      <c r="G429" t="s">
        <v>138</v>
      </c>
      <c r="H429" t="s">
        <v>153</v>
      </c>
      <c r="I429" t="s">
        <v>154</v>
      </c>
      <c r="J429" t="s">
        <v>78</v>
      </c>
      <c r="K429" t="s">
        <v>130</v>
      </c>
      <c r="L429" t="s">
        <v>220</v>
      </c>
      <c r="M429" t="s">
        <v>221</v>
      </c>
      <c r="N429" t="s">
        <v>93</v>
      </c>
      <c r="O429" t="s">
        <v>177</v>
      </c>
      <c r="P429">
        <v>3</v>
      </c>
      <c r="Q429" s="4">
        <v>237.56</v>
      </c>
      <c r="R429" s="5">
        <v>0.06</v>
      </c>
      <c r="S429" s="4">
        <v>21.95</v>
      </c>
      <c r="T429" t="s">
        <v>105</v>
      </c>
      <c r="U429" t="s">
        <v>85</v>
      </c>
      <c r="V429">
        <v>4</v>
      </c>
    </row>
    <row r="430" spans="1:22">
      <c r="A430" t="s">
        <v>915</v>
      </c>
      <c r="B430" s="3">
        <v>45742</v>
      </c>
      <c r="C430" s="3">
        <v>45744</v>
      </c>
      <c r="D430" t="s">
        <v>441</v>
      </c>
      <c r="E430" t="s">
        <v>442</v>
      </c>
      <c r="F430" t="s">
        <v>89</v>
      </c>
      <c r="G430" t="s">
        <v>194</v>
      </c>
      <c r="H430" t="s">
        <v>202</v>
      </c>
      <c r="I430" t="s">
        <v>203</v>
      </c>
      <c r="J430" t="s">
        <v>219</v>
      </c>
      <c r="K430" t="s">
        <v>147</v>
      </c>
      <c r="L430" t="s">
        <v>207</v>
      </c>
      <c r="M430" t="s">
        <v>208</v>
      </c>
      <c r="N430" t="s">
        <v>120</v>
      </c>
      <c r="O430" t="s">
        <v>164</v>
      </c>
      <c r="P430">
        <v>4</v>
      </c>
      <c r="Q430" s="4">
        <v>1353.04</v>
      </c>
      <c r="R430" s="5">
        <v>0.03</v>
      </c>
      <c r="S430" s="4">
        <v>20.57</v>
      </c>
      <c r="T430" t="s">
        <v>84</v>
      </c>
      <c r="U430" t="s">
        <v>85</v>
      </c>
      <c r="V430">
        <v>3</v>
      </c>
    </row>
    <row r="431" spans="1:22">
      <c r="A431" t="s">
        <v>916</v>
      </c>
      <c r="B431" s="3">
        <v>45742</v>
      </c>
      <c r="C431" s="3">
        <v>45744</v>
      </c>
      <c r="D431" t="s">
        <v>598</v>
      </c>
      <c r="E431" t="s">
        <v>599</v>
      </c>
      <c r="F431" t="s">
        <v>89</v>
      </c>
      <c r="G431" t="s">
        <v>138</v>
      </c>
      <c r="H431" t="s">
        <v>457</v>
      </c>
      <c r="I431" t="s">
        <v>458</v>
      </c>
      <c r="J431" t="s">
        <v>129</v>
      </c>
      <c r="K431" t="s">
        <v>130</v>
      </c>
      <c r="L431" t="s">
        <v>80</v>
      </c>
      <c r="M431" t="s">
        <v>81</v>
      </c>
      <c r="N431" t="s">
        <v>82</v>
      </c>
      <c r="O431" t="s">
        <v>83</v>
      </c>
      <c r="P431">
        <v>3</v>
      </c>
      <c r="Q431" s="4">
        <v>233.03</v>
      </c>
      <c r="R431" s="5">
        <v>0.03</v>
      </c>
      <c r="S431" s="4">
        <v>11.52</v>
      </c>
      <c r="T431" t="s">
        <v>105</v>
      </c>
      <c r="U431" t="s">
        <v>85</v>
      </c>
      <c r="V431">
        <v>1</v>
      </c>
    </row>
    <row r="432" spans="1:22">
      <c r="A432" t="s">
        <v>917</v>
      </c>
      <c r="B432" s="3">
        <v>45743</v>
      </c>
      <c r="C432" s="3">
        <v>45761</v>
      </c>
      <c r="D432" t="s">
        <v>366</v>
      </c>
      <c r="E432" t="s">
        <v>342</v>
      </c>
      <c r="F432" t="s">
        <v>89</v>
      </c>
      <c r="G432" t="s">
        <v>194</v>
      </c>
      <c r="H432" t="s">
        <v>230</v>
      </c>
      <c r="I432" t="s">
        <v>231</v>
      </c>
      <c r="J432" t="s">
        <v>78</v>
      </c>
      <c r="K432" t="s">
        <v>168</v>
      </c>
      <c r="L432" t="s">
        <v>91</v>
      </c>
      <c r="M432" t="s">
        <v>92</v>
      </c>
      <c r="N432" t="s">
        <v>93</v>
      </c>
      <c r="O432" t="s">
        <v>94</v>
      </c>
      <c r="P432">
        <v>2</v>
      </c>
      <c r="Q432" s="4">
        <v>324.63</v>
      </c>
      <c r="R432" s="5">
        <v>0.1</v>
      </c>
      <c r="S432" s="4">
        <v>23.64</v>
      </c>
      <c r="T432" t="s">
        <v>105</v>
      </c>
      <c r="U432" t="s">
        <v>85</v>
      </c>
      <c r="V432">
        <v>1</v>
      </c>
    </row>
    <row r="433" spans="1:22">
      <c r="A433" t="s">
        <v>918</v>
      </c>
      <c r="B433" s="3">
        <v>45743</v>
      </c>
      <c r="C433" s="3">
        <v>45748</v>
      </c>
      <c r="D433" t="s">
        <v>389</v>
      </c>
      <c r="E433" t="s">
        <v>390</v>
      </c>
      <c r="F433" t="s">
        <v>89</v>
      </c>
      <c r="G433" t="s">
        <v>138</v>
      </c>
      <c r="H433" t="s">
        <v>186</v>
      </c>
      <c r="I433" t="s">
        <v>187</v>
      </c>
      <c r="J433" t="s">
        <v>78</v>
      </c>
      <c r="K433" t="s">
        <v>168</v>
      </c>
      <c r="L433" t="s">
        <v>91</v>
      </c>
      <c r="M433" t="s">
        <v>92</v>
      </c>
      <c r="N433" t="s">
        <v>93</v>
      </c>
      <c r="O433" t="s">
        <v>94</v>
      </c>
      <c r="P433">
        <v>3</v>
      </c>
      <c r="Q433" s="4">
        <v>314.67</v>
      </c>
      <c r="R433" s="5">
        <v>0.06</v>
      </c>
      <c r="S433" s="4">
        <v>25.82</v>
      </c>
      <c r="T433" t="s">
        <v>105</v>
      </c>
      <c r="U433" t="s">
        <v>85</v>
      </c>
      <c r="V433">
        <v>2</v>
      </c>
    </row>
    <row r="434" spans="1:22">
      <c r="A434" t="s">
        <v>919</v>
      </c>
      <c r="B434" s="3">
        <v>45743</v>
      </c>
      <c r="C434" s="3">
        <v>45745</v>
      </c>
      <c r="D434" t="s">
        <v>873</v>
      </c>
      <c r="E434" t="s">
        <v>874</v>
      </c>
      <c r="F434" t="s">
        <v>152</v>
      </c>
      <c r="G434" t="s">
        <v>194</v>
      </c>
      <c r="H434" t="s">
        <v>225</v>
      </c>
      <c r="I434" t="s">
        <v>226</v>
      </c>
      <c r="J434" t="s">
        <v>219</v>
      </c>
      <c r="K434" t="s">
        <v>90</v>
      </c>
      <c r="L434" t="s">
        <v>220</v>
      </c>
      <c r="M434" t="s">
        <v>221</v>
      </c>
      <c r="N434" t="s">
        <v>93</v>
      </c>
      <c r="O434" t="s">
        <v>177</v>
      </c>
      <c r="P434">
        <v>4</v>
      </c>
      <c r="Q434" s="4">
        <v>229.48</v>
      </c>
      <c r="R434" s="5">
        <v>0.23</v>
      </c>
      <c r="S434" s="4">
        <v>24.62</v>
      </c>
      <c r="T434" t="s">
        <v>122</v>
      </c>
      <c r="U434" t="s">
        <v>85</v>
      </c>
      <c r="V434">
        <v>5</v>
      </c>
    </row>
    <row r="435" spans="1:22">
      <c r="A435" t="s">
        <v>920</v>
      </c>
      <c r="B435" s="3">
        <v>45744</v>
      </c>
      <c r="C435" s="3">
        <v>45750</v>
      </c>
      <c r="D435" t="s">
        <v>576</v>
      </c>
      <c r="E435" t="s">
        <v>577</v>
      </c>
      <c r="F435" t="s">
        <v>89</v>
      </c>
      <c r="G435" t="s">
        <v>126</v>
      </c>
      <c r="H435" t="s">
        <v>291</v>
      </c>
      <c r="I435" t="s">
        <v>292</v>
      </c>
      <c r="J435" t="s">
        <v>129</v>
      </c>
      <c r="K435" t="s">
        <v>79</v>
      </c>
      <c r="L435" t="s">
        <v>220</v>
      </c>
      <c r="M435" t="s">
        <v>221</v>
      </c>
      <c r="N435" t="s">
        <v>93</v>
      </c>
      <c r="O435" t="s">
        <v>177</v>
      </c>
      <c r="P435">
        <v>2</v>
      </c>
      <c r="Q435" s="4">
        <v>220.29</v>
      </c>
      <c r="R435" s="5">
        <v>0.02</v>
      </c>
      <c r="S435" s="4">
        <v>29.68</v>
      </c>
      <c r="T435" t="s">
        <v>105</v>
      </c>
      <c r="U435" t="s">
        <v>85</v>
      </c>
      <c r="V435">
        <v>3</v>
      </c>
    </row>
    <row r="436" spans="1:22">
      <c r="A436" t="s">
        <v>921</v>
      </c>
      <c r="B436" s="3">
        <v>45745</v>
      </c>
      <c r="C436" s="3">
        <v>45752</v>
      </c>
      <c r="D436" t="s">
        <v>576</v>
      </c>
      <c r="E436" t="s">
        <v>577</v>
      </c>
      <c r="F436" t="s">
        <v>89</v>
      </c>
      <c r="G436" t="s">
        <v>126</v>
      </c>
      <c r="H436" t="s">
        <v>291</v>
      </c>
      <c r="I436" t="s">
        <v>292</v>
      </c>
      <c r="J436" t="s">
        <v>219</v>
      </c>
      <c r="K436" t="s">
        <v>100</v>
      </c>
      <c r="L436" t="s">
        <v>234</v>
      </c>
      <c r="M436" t="s">
        <v>235</v>
      </c>
      <c r="N436" t="s">
        <v>93</v>
      </c>
      <c r="O436" t="s">
        <v>236</v>
      </c>
      <c r="P436">
        <v>3</v>
      </c>
      <c r="Q436" s="4">
        <v>142.58000000000001</v>
      </c>
      <c r="R436" s="5">
        <v>0.09</v>
      </c>
      <c r="S436" s="4">
        <v>20.74</v>
      </c>
      <c r="T436" t="s">
        <v>84</v>
      </c>
      <c r="U436" t="s">
        <v>85</v>
      </c>
      <c r="V436">
        <v>4</v>
      </c>
    </row>
    <row r="437" spans="1:22">
      <c r="A437" t="s">
        <v>922</v>
      </c>
      <c r="B437" s="3">
        <v>45745</v>
      </c>
      <c r="C437" s="3">
        <v>45747</v>
      </c>
      <c r="D437" t="s">
        <v>427</v>
      </c>
      <c r="E437" t="s">
        <v>428</v>
      </c>
      <c r="F437" t="s">
        <v>152</v>
      </c>
      <c r="G437" t="s">
        <v>194</v>
      </c>
      <c r="H437" t="s">
        <v>240</v>
      </c>
      <c r="I437" t="s">
        <v>241</v>
      </c>
      <c r="J437" t="s">
        <v>129</v>
      </c>
      <c r="K437" t="s">
        <v>79</v>
      </c>
      <c r="L437" t="s">
        <v>234</v>
      </c>
      <c r="M437" t="s">
        <v>235</v>
      </c>
      <c r="N437" t="s">
        <v>93</v>
      </c>
      <c r="O437" t="s">
        <v>236</v>
      </c>
      <c r="P437">
        <v>1</v>
      </c>
      <c r="Q437" s="4">
        <v>144.25</v>
      </c>
      <c r="R437" s="5">
        <v>0.1</v>
      </c>
      <c r="S437" s="4">
        <v>28.83</v>
      </c>
      <c r="T437" t="s">
        <v>122</v>
      </c>
      <c r="U437" t="s">
        <v>85</v>
      </c>
      <c r="V437">
        <v>5</v>
      </c>
    </row>
    <row r="438" spans="1:22">
      <c r="A438" t="s">
        <v>923</v>
      </c>
      <c r="B438" s="3">
        <v>45745</v>
      </c>
      <c r="C438" s="3">
        <v>45748</v>
      </c>
      <c r="D438" t="s">
        <v>427</v>
      </c>
      <c r="E438" t="s">
        <v>428</v>
      </c>
      <c r="F438" t="s">
        <v>152</v>
      </c>
      <c r="G438" t="s">
        <v>194</v>
      </c>
      <c r="H438" t="s">
        <v>240</v>
      </c>
      <c r="I438" t="s">
        <v>241</v>
      </c>
      <c r="J438" t="s">
        <v>109</v>
      </c>
      <c r="K438" t="s">
        <v>168</v>
      </c>
      <c r="L438" t="s">
        <v>261</v>
      </c>
      <c r="M438" t="s">
        <v>262</v>
      </c>
      <c r="N438" t="s">
        <v>103</v>
      </c>
      <c r="O438" t="s">
        <v>104</v>
      </c>
      <c r="P438">
        <v>10</v>
      </c>
      <c r="Q438" s="4">
        <v>25.97</v>
      </c>
      <c r="R438" s="5">
        <v>0.11</v>
      </c>
      <c r="S438" s="4">
        <v>14.68</v>
      </c>
      <c r="T438" t="s">
        <v>134</v>
      </c>
      <c r="U438" t="s">
        <v>85</v>
      </c>
      <c r="V438">
        <v>1</v>
      </c>
    </row>
    <row r="439" spans="1:22">
      <c r="A439" t="s">
        <v>924</v>
      </c>
      <c r="B439" s="3">
        <v>45746</v>
      </c>
      <c r="C439" s="3">
        <v>45751</v>
      </c>
      <c r="D439" t="s">
        <v>478</v>
      </c>
      <c r="E439" t="s">
        <v>479</v>
      </c>
      <c r="F439" t="s">
        <v>74</v>
      </c>
      <c r="G439" t="s">
        <v>194</v>
      </c>
      <c r="H439" t="s">
        <v>240</v>
      </c>
      <c r="I439" t="s">
        <v>241</v>
      </c>
      <c r="J439" t="s">
        <v>219</v>
      </c>
      <c r="K439" t="s">
        <v>147</v>
      </c>
      <c r="L439" t="s">
        <v>249</v>
      </c>
      <c r="M439" t="s">
        <v>250</v>
      </c>
      <c r="N439" t="s">
        <v>103</v>
      </c>
      <c r="O439" t="s">
        <v>251</v>
      </c>
      <c r="P439">
        <v>10</v>
      </c>
      <c r="Q439" s="4">
        <v>21.08</v>
      </c>
      <c r="R439" s="5">
        <v>0.34</v>
      </c>
      <c r="S439" s="4">
        <v>7.43</v>
      </c>
      <c r="T439" t="s">
        <v>134</v>
      </c>
      <c r="U439" t="s">
        <v>85</v>
      </c>
      <c r="V439">
        <v>5</v>
      </c>
    </row>
    <row r="440" spans="1:22">
      <c r="A440" t="s">
        <v>925</v>
      </c>
      <c r="B440" s="3">
        <v>45746</v>
      </c>
      <c r="C440" s="3">
        <v>45751</v>
      </c>
      <c r="D440" t="s">
        <v>748</v>
      </c>
      <c r="E440" t="s">
        <v>749</v>
      </c>
      <c r="F440" t="s">
        <v>152</v>
      </c>
      <c r="G440" t="s">
        <v>138</v>
      </c>
      <c r="H440" t="s">
        <v>153</v>
      </c>
      <c r="I440" t="s">
        <v>154</v>
      </c>
      <c r="J440" t="s">
        <v>109</v>
      </c>
      <c r="K440" t="s">
        <v>168</v>
      </c>
      <c r="L440" t="s">
        <v>254</v>
      </c>
      <c r="M440" t="s">
        <v>255</v>
      </c>
      <c r="N440" t="s">
        <v>82</v>
      </c>
      <c r="O440" t="s">
        <v>83</v>
      </c>
      <c r="P440">
        <v>5</v>
      </c>
      <c r="Q440" s="4">
        <v>89.68</v>
      </c>
      <c r="R440" s="5">
        <v>0.03</v>
      </c>
      <c r="S440" s="4">
        <v>15.63</v>
      </c>
      <c r="T440" t="s">
        <v>134</v>
      </c>
      <c r="U440" t="s">
        <v>85</v>
      </c>
    </row>
    <row r="441" spans="1:22">
      <c r="A441" t="s">
        <v>926</v>
      </c>
      <c r="B441" s="3">
        <v>45747</v>
      </c>
      <c r="C441" s="3">
        <v>45750</v>
      </c>
      <c r="D441" t="s">
        <v>720</v>
      </c>
      <c r="E441" t="s">
        <v>721</v>
      </c>
      <c r="F441" t="s">
        <v>89</v>
      </c>
      <c r="G441" t="s">
        <v>75</v>
      </c>
      <c r="I441" t="s">
        <v>213</v>
      </c>
      <c r="J441" t="s">
        <v>78</v>
      </c>
      <c r="K441" t="s">
        <v>100</v>
      </c>
      <c r="L441" t="s">
        <v>431</v>
      </c>
      <c r="M441" t="s">
        <v>432</v>
      </c>
      <c r="N441" t="s">
        <v>103</v>
      </c>
      <c r="O441" t="s">
        <v>251</v>
      </c>
      <c r="P441">
        <v>1</v>
      </c>
      <c r="Q441" s="4">
        <v>39.43</v>
      </c>
      <c r="R441" s="5">
        <v>0.04</v>
      </c>
      <c r="S441" s="4">
        <v>14.88</v>
      </c>
      <c r="T441" t="s">
        <v>134</v>
      </c>
      <c r="U441" t="s">
        <v>85</v>
      </c>
      <c r="V441">
        <v>4</v>
      </c>
    </row>
    <row r="442" spans="1:22">
      <c r="A442" t="s">
        <v>927</v>
      </c>
      <c r="B442" s="3">
        <v>45747</v>
      </c>
      <c r="C442" s="3">
        <v>45752</v>
      </c>
      <c r="D442" t="s">
        <v>319</v>
      </c>
      <c r="E442" t="s">
        <v>320</v>
      </c>
      <c r="F442" t="s">
        <v>152</v>
      </c>
      <c r="G442" t="s">
        <v>75</v>
      </c>
      <c r="H442" t="s">
        <v>212</v>
      </c>
      <c r="I442" t="s">
        <v>213</v>
      </c>
      <c r="J442" t="s">
        <v>129</v>
      </c>
      <c r="K442" t="s">
        <v>79</v>
      </c>
      <c r="L442" t="s">
        <v>118</v>
      </c>
      <c r="M442" t="s">
        <v>119</v>
      </c>
      <c r="N442" t="s">
        <v>120</v>
      </c>
      <c r="O442" t="s">
        <v>121</v>
      </c>
      <c r="P442">
        <v>3</v>
      </c>
      <c r="Q442" s="4">
        <v>273.27</v>
      </c>
      <c r="R442" s="5">
        <v>0.05</v>
      </c>
      <c r="S442" s="4">
        <v>11.53</v>
      </c>
      <c r="T442" t="s">
        <v>122</v>
      </c>
      <c r="U442" t="s">
        <v>85</v>
      </c>
      <c r="V442">
        <v>4</v>
      </c>
    </row>
    <row r="443" spans="1:22">
      <c r="A443" t="s">
        <v>928</v>
      </c>
      <c r="B443" s="3">
        <v>45747</v>
      </c>
      <c r="C443" s="3">
        <v>45757</v>
      </c>
      <c r="D443" t="s">
        <v>325</v>
      </c>
      <c r="E443" t="s">
        <v>326</v>
      </c>
      <c r="F443" t="s">
        <v>74</v>
      </c>
      <c r="G443" t="s">
        <v>75</v>
      </c>
      <c r="H443" t="s">
        <v>273</v>
      </c>
      <c r="I443" t="s">
        <v>274</v>
      </c>
      <c r="J443" t="s">
        <v>109</v>
      </c>
      <c r="K443" t="s">
        <v>79</v>
      </c>
      <c r="L443" t="s">
        <v>155</v>
      </c>
      <c r="M443" t="s">
        <v>156</v>
      </c>
      <c r="N443" t="s">
        <v>82</v>
      </c>
      <c r="O443" t="s">
        <v>112</v>
      </c>
      <c r="P443">
        <v>1</v>
      </c>
      <c r="Q443" s="4">
        <v>160.5</v>
      </c>
      <c r="R443" s="5">
        <v>0.1</v>
      </c>
      <c r="S443" s="4">
        <v>16.77</v>
      </c>
      <c r="T443" t="s">
        <v>122</v>
      </c>
      <c r="U443" t="s">
        <v>85</v>
      </c>
      <c r="V443">
        <v>1</v>
      </c>
    </row>
    <row r="444" spans="1:22">
      <c r="A444" t="s">
        <v>929</v>
      </c>
      <c r="B444" s="3">
        <v>45747</v>
      </c>
      <c r="C444" s="3">
        <v>45751</v>
      </c>
      <c r="D444" t="s">
        <v>294</v>
      </c>
      <c r="E444" t="s">
        <v>146</v>
      </c>
      <c r="F444" t="s">
        <v>152</v>
      </c>
      <c r="G444" t="s">
        <v>194</v>
      </c>
      <c r="H444" t="s">
        <v>225</v>
      </c>
      <c r="I444" t="s">
        <v>226</v>
      </c>
      <c r="J444" t="s">
        <v>78</v>
      </c>
      <c r="K444" t="s">
        <v>168</v>
      </c>
      <c r="L444" t="s">
        <v>131</v>
      </c>
      <c r="M444" t="s">
        <v>132</v>
      </c>
      <c r="N444" t="s">
        <v>120</v>
      </c>
      <c r="O444" t="s">
        <v>133</v>
      </c>
      <c r="P444">
        <v>1</v>
      </c>
      <c r="Q444" s="4">
        <v>86.68</v>
      </c>
      <c r="R444" s="5">
        <v>0.04</v>
      </c>
      <c r="S444" s="4">
        <v>14.53</v>
      </c>
      <c r="T444" t="s">
        <v>122</v>
      </c>
      <c r="U444" t="s">
        <v>85</v>
      </c>
      <c r="V444">
        <v>5</v>
      </c>
    </row>
    <row r="445" spans="1:22">
      <c r="A445" t="s">
        <v>930</v>
      </c>
      <c r="B445" s="3">
        <v>45748</v>
      </c>
      <c r="C445" s="3">
        <v>45752</v>
      </c>
      <c r="D445" t="s">
        <v>366</v>
      </c>
      <c r="E445" t="s">
        <v>342</v>
      </c>
      <c r="F445" t="s">
        <v>89</v>
      </c>
      <c r="G445" t="s">
        <v>194</v>
      </c>
      <c r="H445" t="s">
        <v>230</v>
      </c>
      <c r="I445" t="s">
        <v>231</v>
      </c>
      <c r="J445" t="s">
        <v>78</v>
      </c>
      <c r="K445" t="s">
        <v>130</v>
      </c>
      <c r="L445" t="s">
        <v>249</v>
      </c>
      <c r="M445" t="s">
        <v>250</v>
      </c>
      <c r="N445" t="s">
        <v>103</v>
      </c>
      <c r="O445" t="s">
        <v>251</v>
      </c>
      <c r="P445">
        <v>9</v>
      </c>
      <c r="Q445" s="4">
        <v>21.99</v>
      </c>
      <c r="R445" s="5">
        <v>0.01</v>
      </c>
      <c r="S445" s="4">
        <v>7.9</v>
      </c>
      <c r="T445" t="s">
        <v>84</v>
      </c>
      <c r="U445" t="s">
        <v>85</v>
      </c>
      <c r="V445">
        <v>4</v>
      </c>
    </row>
    <row r="446" spans="1:22">
      <c r="A446" t="s">
        <v>931</v>
      </c>
      <c r="B446" s="3">
        <v>45748</v>
      </c>
      <c r="C446" s="3">
        <v>45761</v>
      </c>
      <c r="D446" t="s">
        <v>378</v>
      </c>
      <c r="E446" t="s">
        <v>379</v>
      </c>
      <c r="F446" t="s">
        <v>152</v>
      </c>
      <c r="G446" t="s">
        <v>126</v>
      </c>
      <c r="H446" t="s">
        <v>160</v>
      </c>
      <c r="I446" t="s">
        <v>161</v>
      </c>
      <c r="J446" t="s">
        <v>219</v>
      </c>
      <c r="K446" t="s">
        <v>147</v>
      </c>
      <c r="L446" t="s">
        <v>301</v>
      </c>
      <c r="M446" t="s">
        <v>302</v>
      </c>
      <c r="N446" t="s">
        <v>120</v>
      </c>
      <c r="O446" t="s">
        <v>190</v>
      </c>
      <c r="P446">
        <v>4</v>
      </c>
      <c r="Q446" s="4">
        <v>142.30000000000001</v>
      </c>
      <c r="R446" s="5">
        <v>0.06</v>
      </c>
      <c r="S446" s="4">
        <v>16.72</v>
      </c>
      <c r="T446" t="s">
        <v>84</v>
      </c>
      <c r="U446" t="s">
        <v>85</v>
      </c>
      <c r="V446">
        <v>1</v>
      </c>
    </row>
    <row r="447" spans="1:22">
      <c r="A447" t="s">
        <v>932</v>
      </c>
      <c r="B447" s="3">
        <v>45749</v>
      </c>
      <c r="C447" s="3">
        <v>45754</v>
      </c>
      <c r="D447" t="s">
        <v>248</v>
      </c>
      <c r="E447" t="s">
        <v>137</v>
      </c>
      <c r="F447" t="s">
        <v>74</v>
      </c>
      <c r="G447" t="s">
        <v>75</v>
      </c>
      <c r="H447" t="s">
        <v>98</v>
      </c>
      <c r="I447" t="s">
        <v>99</v>
      </c>
      <c r="J447" t="s">
        <v>78</v>
      </c>
      <c r="K447" t="s">
        <v>100</v>
      </c>
      <c r="L447" t="s">
        <v>118</v>
      </c>
      <c r="M447" t="s">
        <v>119</v>
      </c>
      <c r="N447" t="s">
        <v>120</v>
      </c>
      <c r="O447" t="s">
        <v>121</v>
      </c>
      <c r="P447">
        <v>1</v>
      </c>
      <c r="Q447" s="4">
        <v>295.87</v>
      </c>
      <c r="R447" s="5">
        <v>0.09</v>
      </c>
      <c r="S447" s="4">
        <v>20.100000000000001</v>
      </c>
      <c r="T447" t="s">
        <v>84</v>
      </c>
      <c r="U447" t="s">
        <v>148</v>
      </c>
      <c r="V447">
        <v>3</v>
      </c>
    </row>
    <row r="448" spans="1:22">
      <c r="A448" t="s">
        <v>933</v>
      </c>
      <c r="B448" s="3">
        <v>45749</v>
      </c>
      <c r="C448" s="3">
        <v>45759</v>
      </c>
      <c r="D448" t="s">
        <v>150</v>
      </c>
      <c r="E448" t="s">
        <v>151</v>
      </c>
      <c r="F448" t="s">
        <v>152</v>
      </c>
      <c r="G448" t="s">
        <v>138</v>
      </c>
      <c r="H448" t="s">
        <v>153</v>
      </c>
      <c r="I448" t="s">
        <v>154</v>
      </c>
      <c r="J448" t="s">
        <v>129</v>
      </c>
      <c r="K448" t="s">
        <v>100</v>
      </c>
      <c r="L448" t="s">
        <v>234</v>
      </c>
      <c r="M448" t="s">
        <v>235</v>
      </c>
      <c r="N448" t="s">
        <v>93</v>
      </c>
      <c r="O448" t="s">
        <v>236</v>
      </c>
      <c r="P448">
        <v>2</v>
      </c>
      <c r="Q448" s="4">
        <v>156.38999999999999</v>
      </c>
      <c r="R448" s="5">
        <v>0.01</v>
      </c>
      <c r="S448" s="4">
        <v>24.08</v>
      </c>
      <c r="T448" t="s">
        <v>105</v>
      </c>
      <c r="U448" t="s">
        <v>85</v>
      </c>
    </row>
    <row r="449" spans="1:22">
      <c r="A449" t="s">
        <v>934</v>
      </c>
      <c r="B449" s="3">
        <v>45750</v>
      </c>
      <c r="C449" s="3">
        <v>45761</v>
      </c>
      <c r="D449" t="s">
        <v>445</v>
      </c>
      <c r="E449" t="s">
        <v>446</v>
      </c>
      <c r="F449" t="s">
        <v>152</v>
      </c>
      <c r="G449" t="s">
        <v>126</v>
      </c>
      <c r="H449" t="s">
        <v>160</v>
      </c>
      <c r="I449" t="s">
        <v>182</v>
      </c>
      <c r="J449" t="s">
        <v>109</v>
      </c>
      <c r="K449" t="s">
        <v>147</v>
      </c>
      <c r="L449" t="s">
        <v>359</v>
      </c>
      <c r="M449" t="s">
        <v>360</v>
      </c>
      <c r="N449" t="s">
        <v>93</v>
      </c>
      <c r="O449" t="s">
        <v>94</v>
      </c>
      <c r="P449">
        <v>3</v>
      </c>
      <c r="Q449" s="4">
        <v>464.75</v>
      </c>
      <c r="R449" s="5">
        <v>0.04</v>
      </c>
      <c r="S449" s="4">
        <v>19.46</v>
      </c>
      <c r="T449" t="s">
        <v>134</v>
      </c>
      <c r="U449" t="s">
        <v>85</v>
      </c>
      <c r="V449">
        <v>5</v>
      </c>
    </row>
    <row r="450" spans="1:22">
      <c r="A450" t="s">
        <v>935</v>
      </c>
      <c r="B450" s="3">
        <v>45751</v>
      </c>
      <c r="C450" s="3">
        <v>45753</v>
      </c>
      <c r="D450" t="s">
        <v>904</v>
      </c>
      <c r="E450" t="s">
        <v>449</v>
      </c>
      <c r="F450" t="s">
        <v>152</v>
      </c>
      <c r="G450" t="s">
        <v>75</v>
      </c>
      <c r="H450" t="s">
        <v>212</v>
      </c>
      <c r="I450" t="s">
        <v>213</v>
      </c>
      <c r="J450" t="s">
        <v>78</v>
      </c>
      <c r="K450" t="s">
        <v>130</v>
      </c>
      <c r="L450" t="s">
        <v>234</v>
      </c>
      <c r="M450" t="s">
        <v>235</v>
      </c>
      <c r="N450" t="s">
        <v>93</v>
      </c>
      <c r="O450" t="s">
        <v>236</v>
      </c>
      <c r="P450">
        <v>3</v>
      </c>
      <c r="Q450" s="4">
        <v>151.53</v>
      </c>
      <c r="R450" s="5">
        <v>0.27</v>
      </c>
      <c r="S450" s="4">
        <v>26.37</v>
      </c>
      <c r="T450" t="s">
        <v>84</v>
      </c>
      <c r="U450" t="s">
        <v>148</v>
      </c>
      <c r="V450">
        <v>5</v>
      </c>
    </row>
    <row r="451" spans="1:22">
      <c r="A451" t="s">
        <v>936</v>
      </c>
      <c r="B451" s="3">
        <v>45752</v>
      </c>
      <c r="C451" s="3">
        <v>45755</v>
      </c>
      <c r="D451" t="s">
        <v>402</v>
      </c>
      <c r="E451" t="s">
        <v>403</v>
      </c>
      <c r="F451" t="s">
        <v>74</v>
      </c>
      <c r="G451" t="s">
        <v>75</v>
      </c>
      <c r="H451" t="s">
        <v>212</v>
      </c>
      <c r="I451" t="s">
        <v>213</v>
      </c>
      <c r="J451" t="s">
        <v>219</v>
      </c>
      <c r="K451" t="s">
        <v>147</v>
      </c>
      <c r="L451" t="s">
        <v>155</v>
      </c>
      <c r="M451" t="s">
        <v>156</v>
      </c>
      <c r="N451" t="s">
        <v>82</v>
      </c>
      <c r="O451" t="s">
        <v>112</v>
      </c>
      <c r="P451">
        <v>9</v>
      </c>
      <c r="Q451" s="4">
        <v>173.79</v>
      </c>
      <c r="R451" s="5">
        <v>7.0000000000000007E-2</v>
      </c>
      <c r="S451" s="4">
        <v>14.83</v>
      </c>
      <c r="T451" t="s">
        <v>84</v>
      </c>
      <c r="U451" t="s">
        <v>85</v>
      </c>
      <c r="V451">
        <v>4</v>
      </c>
    </row>
    <row r="452" spans="1:22">
      <c r="A452" t="s">
        <v>937</v>
      </c>
      <c r="B452" s="3">
        <v>45752</v>
      </c>
      <c r="C452" s="3">
        <v>45757</v>
      </c>
      <c r="D452" t="s">
        <v>448</v>
      </c>
      <c r="E452" t="s">
        <v>449</v>
      </c>
      <c r="F452" t="s">
        <v>89</v>
      </c>
      <c r="G452" t="s">
        <v>126</v>
      </c>
      <c r="H452" t="s">
        <v>160</v>
      </c>
      <c r="I452" t="s">
        <v>182</v>
      </c>
      <c r="J452" t="s">
        <v>129</v>
      </c>
      <c r="K452" t="s">
        <v>147</v>
      </c>
      <c r="L452" t="s">
        <v>162</v>
      </c>
      <c r="M452" t="s">
        <v>163</v>
      </c>
      <c r="N452" t="s">
        <v>120</v>
      </c>
      <c r="O452" t="s">
        <v>164</v>
      </c>
      <c r="P452">
        <v>1</v>
      </c>
      <c r="Q452" s="4">
        <v>871.98</v>
      </c>
      <c r="R452" s="5">
        <v>7.0000000000000007E-2</v>
      </c>
      <c r="S452" s="4">
        <v>13.33</v>
      </c>
      <c r="T452" t="s">
        <v>122</v>
      </c>
      <c r="U452" t="s">
        <v>85</v>
      </c>
      <c r="V452">
        <v>1</v>
      </c>
    </row>
    <row r="453" spans="1:22">
      <c r="A453" t="s">
        <v>938</v>
      </c>
      <c r="B453" s="3">
        <v>45756</v>
      </c>
      <c r="C453" s="3">
        <v>45759</v>
      </c>
      <c r="D453" t="s">
        <v>873</v>
      </c>
      <c r="E453" t="s">
        <v>874</v>
      </c>
      <c r="F453" t="s">
        <v>152</v>
      </c>
      <c r="G453" t="s">
        <v>194</v>
      </c>
      <c r="H453" t="s">
        <v>225</v>
      </c>
      <c r="I453" t="s">
        <v>226</v>
      </c>
      <c r="J453" t="s">
        <v>78</v>
      </c>
      <c r="K453" t="s">
        <v>147</v>
      </c>
      <c r="L453" t="s">
        <v>254</v>
      </c>
      <c r="M453" t="s">
        <v>255</v>
      </c>
      <c r="N453" t="s">
        <v>82</v>
      </c>
      <c r="O453" t="s">
        <v>83</v>
      </c>
      <c r="P453">
        <v>7</v>
      </c>
      <c r="Q453" s="4">
        <v>100.37</v>
      </c>
      <c r="R453" s="5">
        <v>0.12</v>
      </c>
      <c r="S453" s="4">
        <v>9.5299999999999994</v>
      </c>
      <c r="T453" t="s">
        <v>105</v>
      </c>
      <c r="U453" t="s">
        <v>85</v>
      </c>
      <c r="V453">
        <v>1</v>
      </c>
    </row>
    <row r="454" spans="1:22">
      <c r="A454" t="s">
        <v>939</v>
      </c>
      <c r="B454" s="3">
        <v>45757</v>
      </c>
      <c r="C454" s="3">
        <v>45758</v>
      </c>
      <c r="D454" t="s">
        <v>598</v>
      </c>
      <c r="E454" t="s">
        <v>599</v>
      </c>
      <c r="F454" t="s">
        <v>89</v>
      </c>
      <c r="G454" t="s">
        <v>138</v>
      </c>
      <c r="H454" t="s">
        <v>457</v>
      </c>
      <c r="I454" t="s">
        <v>458</v>
      </c>
      <c r="J454" t="s">
        <v>78</v>
      </c>
      <c r="K454" t="s">
        <v>168</v>
      </c>
      <c r="L454" t="s">
        <v>249</v>
      </c>
      <c r="M454" t="s">
        <v>250</v>
      </c>
      <c r="N454" t="s">
        <v>103</v>
      </c>
      <c r="O454" t="s">
        <v>251</v>
      </c>
      <c r="P454">
        <v>3</v>
      </c>
      <c r="Q454" s="4">
        <v>20.85</v>
      </c>
      <c r="R454" s="5">
        <v>0.1</v>
      </c>
      <c r="S454" s="4">
        <v>12.32</v>
      </c>
      <c r="T454" t="s">
        <v>134</v>
      </c>
      <c r="U454" t="s">
        <v>85</v>
      </c>
    </row>
    <row r="455" spans="1:22">
      <c r="A455" t="s">
        <v>940</v>
      </c>
      <c r="B455" s="3">
        <v>45757</v>
      </c>
      <c r="C455" s="3">
        <v>45764</v>
      </c>
      <c r="D455" t="s">
        <v>424</v>
      </c>
      <c r="E455" t="s">
        <v>425</v>
      </c>
      <c r="F455" t="s">
        <v>152</v>
      </c>
      <c r="G455" t="s">
        <v>138</v>
      </c>
      <c r="H455" t="s">
        <v>347</v>
      </c>
      <c r="I455" t="s">
        <v>348</v>
      </c>
      <c r="J455" t="s">
        <v>129</v>
      </c>
      <c r="K455" t="s">
        <v>168</v>
      </c>
      <c r="L455" t="s">
        <v>337</v>
      </c>
      <c r="M455" t="s">
        <v>338</v>
      </c>
      <c r="N455" t="s">
        <v>93</v>
      </c>
      <c r="O455" t="s">
        <v>236</v>
      </c>
      <c r="P455">
        <v>1</v>
      </c>
      <c r="Q455" s="4">
        <v>254.71</v>
      </c>
      <c r="R455" s="5">
        <v>0.21</v>
      </c>
      <c r="S455" s="4">
        <v>22.05</v>
      </c>
      <c r="T455" t="s">
        <v>122</v>
      </c>
      <c r="U455" t="s">
        <v>85</v>
      </c>
      <c r="V455">
        <v>4</v>
      </c>
    </row>
    <row r="456" spans="1:22">
      <c r="A456" t="s">
        <v>941</v>
      </c>
      <c r="B456" s="3">
        <v>45758</v>
      </c>
      <c r="C456" s="3">
        <v>45767</v>
      </c>
      <c r="D456" t="s">
        <v>416</v>
      </c>
      <c r="E456" t="s">
        <v>417</v>
      </c>
      <c r="F456" t="s">
        <v>89</v>
      </c>
      <c r="G456" t="s">
        <v>138</v>
      </c>
      <c r="H456" t="s">
        <v>186</v>
      </c>
      <c r="I456" t="s">
        <v>187</v>
      </c>
      <c r="J456" t="s">
        <v>109</v>
      </c>
      <c r="K456" t="s">
        <v>90</v>
      </c>
      <c r="L456" t="s">
        <v>175</v>
      </c>
      <c r="M456" t="s">
        <v>176</v>
      </c>
      <c r="N456" t="s">
        <v>93</v>
      </c>
      <c r="O456" t="s">
        <v>177</v>
      </c>
      <c r="P456">
        <v>4</v>
      </c>
      <c r="Q456" s="4">
        <v>160.25</v>
      </c>
      <c r="R456" s="5">
        <v>0.3</v>
      </c>
      <c r="S456" s="4">
        <v>22.65</v>
      </c>
      <c r="T456" t="s">
        <v>134</v>
      </c>
      <c r="U456" t="s">
        <v>85</v>
      </c>
      <c r="V456">
        <v>3</v>
      </c>
    </row>
    <row r="457" spans="1:22">
      <c r="A457" t="s">
        <v>942</v>
      </c>
      <c r="B457" s="3">
        <v>45765</v>
      </c>
      <c r="C457" s="3">
        <v>45774</v>
      </c>
      <c r="D457" t="s">
        <v>87</v>
      </c>
      <c r="E457" t="s">
        <v>88</v>
      </c>
      <c r="F457" t="s">
        <v>89</v>
      </c>
      <c r="G457" t="s">
        <v>75</v>
      </c>
      <c r="H457" t="s">
        <v>76</v>
      </c>
      <c r="I457" t="s">
        <v>77</v>
      </c>
      <c r="J457" t="s">
        <v>109</v>
      </c>
      <c r="K457" t="s">
        <v>100</v>
      </c>
      <c r="L457" t="s">
        <v>118</v>
      </c>
      <c r="M457" t="s">
        <v>119</v>
      </c>
      <c r="N457" t="s">
        <v>120</v>
      </c>
      <c r="O457" t="s">
        <v>121</v>
      </c>
      <c r="P457">
        <v>3</v>
      </c>
      <c r="Q457" s="4">
        <v>294.38</v>
      </c>
      <c r="R457" s="5">
        <v>7.0000000000000007E-2</v>
      </c>
      <c r="S457" s="4">
        <v>20.420000000000002</v>
      </c>
      <c r="T457" t="s">
        <v>105</v>
      </c>
      <c r="U457" t="s">
        <v>85</v>
      </c>
      <c r="V457">
        <v>5</v>
      </c>
    </row>
    <row r="458" spans="1:22">
      <c r="A458" t="s">
        <v>943</v>
      </c>
      <c r="B458" s="3">
        <v>45765</v>
      </c>
      <c r="C458" s="3">
        <v>45767</v>
      </c>
      <c r="D458" t="s">
        <v>315</v>
      </c>
      <c r="E458" t="s">
        <v>316</v>
      </c>
      <c r="F458" t="s">
        <v>89</v>
      </c>
      <c r="G458" t="s">
        <v>75</v>
      </c>
      <c r="H458" t="s">
        <v>273</v>
      </c>
      <c r="I458" t="s">
        <v>274</v>
      </c>
      <c r="J458" t="s">
        <v>109</v>
      </c>
      <c r="K458" t="s">
        <v>130</v>
      </c>
      <c r="L458" t="s">
        <v>359</v>
      </c>
      <c r="M458" t="s">
        <v>360</v>
      </c>
      <c r="N458" t="s">
        <v>93</v>
      </c>
      <c r="O458" t="s">
        <v>94</v>
      </c>
      <c r="P458">
        <v>4</v>
      </c>
      <c r="Q458" s="4">
        <v>463.25</v>
      </c>
      <c r="R458" s="5">
        <v>0.88</v>
      </c>
      <c r="S458" s="4">
        <v>27.5</v>
      </c>
      <c r="T458" t="s">
        <v>84</v>
      </c>
      <c r="U458" t="s">
        <v>85</v>
      </c>
      <c r="V458">
        <v>5</v>
      </c>
    </row>
    <row r="459" spans="1:22">
      <c r="A459" t="s">
        <v>944</v>
      </c>
      <c r="B459" s="3">
        <v>45766</v>
      </c>
      <c r="C459" s="3">
        <v>45771</v>
      </c>
      <c r="D459" t="s">
        <v>258</v>
      </c>
      <c r="E459" t="s">
        <v>259</v>
      </c>
      <c r="F459" t="s">
        <v>152</v>
      </c>
      <c r="G459" t="s">
        <v>194</v>
      </c>
      <c r="H459" t="s">
        <v>225</v>
      </c>
      <c r="I459" t="s">
        <v>226</v>
      </c>
      <c r="J459" t="s">
        <v>376</v>
      </c>
      <c r="K459" t="s">
        <v>147</v>
      </c>
      <c r="L459" t="s">
        <v>141</v>
      </c>
      <c r="M459" t="s">
        <v>142</v>
      </c>
      <c r="N459" t="s">
        <v>103</v>
      </c>
      <c r="O459" t="s">
        <v>143</v>
      </c>
      <c r="P459">
        <v>5</v>
      </c>
      <c r="Q459" s="4">
        <v>38.15</v>
      </c>
      <c r="R459" s="5">
        <v>0.08</v>
      </c>
      <c r="S459" s="4">
        <v>13.45</v>
      </c>
      <c r="T459" t="s">
        <v>105</v>
      </c>
      <c r="U459" t="s">
        <v>85</v>
      </c>
      <c r="V459">
        <v>2</v>
      </c>
    </row>
    <row r="460" spans="1:22">
      <c r="A460" t="s">
        <v>945</v>
      </c>
      <c r="B460" s="3">
        <v>45767</v>
      </c>
      <c r="C460" s="3">
        <v>46037</v>
      </c>
      <c r="D460" t="s">
        <v>856</v>
      </c>
      <c r="E460" t="s">
        <v>857</v>
      </c>
      <c r="F460" t="s">
        <v>74</v>
      </c>
      <c r="G460" t="s">
        <v>75</v>
      </c>
      <c r="H460" t="s">
        <v>273</v>
      </c>
      <c r="I460" t="s">
        <v>274</v>
      </c>
      <c r="J460" t="s">
        <v>78</v>
      </c>
      <c r="K460" t="s">
        <v>147</v>
      </c>
      <c r="L460" t="s">
        <v>169</v>
      </c>
      <c r="M460" t="s">
        <v>170</v>
      </c>
      <c r="N460" t="s">
        <v>103</v>
      </c>
      <c r="O460" t="s">
        <v>171</v>
      </c>
      <c r="P460">
        <v>5</v>
      </c>
      <c r="Q460" s="4">
        <v>15.35</v>
      </c>
      <c r="R460" s="5">
        <v>0.05</v>
      </c>
      <c r="S460" s="4">
        <v>11.07</v>
      </c>
      <c r="T460" t="s">
        <v>84</v>
      </c>
      <c r="U460" t="s">
        <v>148</v>
      </c>
      <c r="V460">
        <v>5</v>
      </c>
    </row>
    <row r="461" spans="1:22">
      <c r="A461" t="s">
        <v>946</v>
      </c>
      <c r="B461" s="3">
        <v>45769</v>
      </c>
      <c r="C461" s="3">
        <v>45779</v>
      </c>
      <c r="D461" t="s">
        <v>173</v>
      </c>
      <c r="E461" t="s">
        <v>174</v>
      </c>
      <c r="F461" t="s">
        <v>89</v>
      </c>
      <c r="G461" t="s">
        <v>126</v>
      </c>
      <c r="H461" t="s">
        <v>127</v>
      </c>
      <c r="I461" t="s">
        <v>128</v>
      </c>
      <c r="J461" t="s">
        <v>129</v>
      </c>
      <c r="K461" t="s">
        <v>90</v>
      </c>
      <c r="L461" t="s">
        <v>242</v>
      </c>
      <c r="M461" t="s">
        <v>243</v>
      </c>
      <c r="N461" t="s">
        <v>120</v>
      </c>
      <c r="O461" t="s">
        <v>133</v>
      </c>
      <c r="P461">
        <v>2</v>
      </c>
      <c r="Q461" s="4">
        <v>191.27</v>
      </c>
      <c r="R461" s="5">
        <v>0.06</v>
      </c>
      <c r="S461" s="4">
        <v>8.7799999999999994</v>
      </c>
      <c r="T461" t="s">
        <v>134</v>
      </c>
      <c r="U461" t="s">
        <v>85</v>
      </c>
      <c r="V461">
        <v>3</v>
      </c>
    </row>
    <row r="462" spans="1:22">
      <c r="A462" t="s">
        <v>947</v>
      </c>
      <c r="B462" s="3">
        <v>45770</v>
      </c>
      <c r="C462" s="3">
        <v>45776</v>
      </c>
      <c r="D462" t="s">
        <v>591</v>
      </c>
      <c r="E462" t="s">
        <v>592</v>
      </c>
      <c r="F462" t="s">
        <v>74</v>
      </c>
      <c r="G462" t="s">
        <v>126</v>
      </c>
      <c r="H462" t="s">
        <v>160</v>
      </c>
      <c r="I462" t="s">
        <v>161</v>
      </c>
      <c r="J462" t="s">
        <v>109</v>
      </c>
      <c r="K462" t="s">
        <v>100</v>
      </c>
      <c r="L462" t="s">
        <v>175</v>
      </c>
      <c r="M462" t="s">
        <v>176</v>
      </c>
      <c r="N462" t="s">
        <v>93</v>
      </c>
      <c r="O462" t="s">
        <v>177</v>
      </c>
      <c r="P462">
        <v>3</v>
      </c>
      <c r="Q462" s="4">
        <v>167.24</v>
      </c>
      <c r="R462" s="5">
        <v>0.11</v>
      </c>
      <c r="S462" s="4">
        <v>25.89</v>
      </c>
      <c r="T462" t="s">
        <v>84</v>
      </c>
      <c r="U462" t="s">
        <v>85</v>
      </c>
      <c r="V462">
        <v>2</v>
      </c>
    </row>
    <row r="463" spans="1:22">
      <c r="A463" t="s">
        <v>948</v>
      </c>
      <c r="B463" s="3">
        <v>45770</v>
      </c>
      <c r="C463" s="3">
        <v>45779</v>
      </c>
      <c r="D463" t="s">
        <v>720</v>
      </c>
      <c r="E463" t="s">
        <v>721</v>
      </c>
      <c r="F463" t="s">
        <v>89</v>
      </c>
      <c r="G463" t="s">
        <v>75</v>
      </c>
      <c r="H463" t="s">
        <v>212</v>
      </c>
      <c r="I463" t="s">
        <v>213</v>
      </c>
      <c r="J463" t="s">
        <v>129</v>
      </c>
      <c r="K463" t="s">
        <v>100</v>
      </c>
      <c r="L463" t="s">
        <v>301</v>
      </c>
      <c r="M463" t="s">
        <v>302</v>
      </c>
      <c r="N463" t="s">
        <v>120</v>
      </c>
      <c r="O463" t="s">
        <v>190</v>
      </c>
      <c r="P463">
        <v>4</v>
      </c>
      <c r="Q463" s="4">
        <v>133.57</v>
      </c>
      <c r="R463" s="5">
        <v>0.1</v>
      </c>
      <c r="S463" s="4">
        <v>12.92</v>
      </c>
      <c r="T463" t="s">
        <v>134</v>
      </c>
      <c r="U463" t="s">
        <v>85</v>
      </c>
      <c r="V463">
        <v>4</v>
      </c>
    </row>
    <row r="464" spans="1:22">
      <c r="A464" t="s">
        <v>949</v>
      </c>
      <c r="B464" s="3">
        <v>45771</v>
      </c>
      <c r="C464" s="3">
        <v>45773</v>
      </c>
      <c r="D464" t="s">
        <v>150</v>
      </c>
      <c r="E464" t="s">
        <v>151</v>
      </c>
      <c r="F464" t="s">
        <v>152</v>
      </c>
      <c r="G464" t="s">
        <v>138</v>
      </c>
      <c r="H464" t="s">
        <v>153</v>
      </c>
      <c r="I464" t="s">
        <v>154</v>
      </c>
      <c r="J464" t="s">
        <v>109</v>
      </c>
      <c r="K464" t="s">
        <v>100</v>
      </c>
      <c r="L464" t="s">
        <v>254</v>
      </c>
      <c r="M464" t="s">
        <v>255</v>
      </c>
      <c r="N464" t="s">
        <v>82</v>
      </c>
      <c r="O464" t="s">
        <v>83</v>
      </c>
      <c r="P464">
        <v>7</v>
      </c>
      <c r="Q464" s="4">
        <v>94.99</v>
      </c>
      <c r="R464" s="5">
        <v>0.03</v>
      </c>
      <c r="S464" s="4">
        <v>8.7799999999999994</v>
      </c>
      <c r="T464" t="s">
        <v>84</v>
      </c>
      <c r="U464" t="s">
        <v>85</v>
      </c>
      <c r="V464">
        <v>4</v>
      </c>
    </row>
    <row r="465" spans="1:22">
      <c r="A465" t="s">
        <v>950</v>
      </c>
      <c r="B465" s="3">
        <v>45772</v>
      </c>
      <c r="C465" s="3">
        <v>45775</v>
      </c>
      <c r="D465" t="s">
        <v>145</v>
      </c>
      <c r="E465" t="s">
        <v>146</v>
      </c>
      <c r="F465" t="s">
        <v>74</v>
      </c>
      <c r="G465" t="s">
        <v>75</v>
      </c>
      <c r="H465" t="s">
        <v>116</v>
      </c>
      <c r="I465" t="s">
        <v>117</v>
      </c>
      <c r="J465" t="s">
        <v>109</v>
      </c>
      <c r="K465" t="s">
        <v>79</v>
      </c>
      <c r="L465" t="s">
        <v>197</v>
      </c>
      <c r="M465" t="s">
        <v>198</v>
      </c>
      <c r="N465" t="s">
        <v>120</v>
      </c>
      <c r="O465" t="s">
        <v>121</v>
      </c>
      <c r="P465">
        <v>3</v>
      </c>
      <c r="Q465" s="4">
        <v>552.66999999999996</v>
      </c>
      <c r="R465" s="5">
        <v>0.06</v>
      </c>
      <c r="S465" s="4">
        <v>7.36</v>
      </c>
      <c r="T465" t="s">
        <v>84</v>
      </c>
      <c r="U465" t="s">
        <v>85</v>
      </c>
    </row>
    <row r="466" spans="1:22">
      <c r="A466" t="s">
        <v>951</v>
      </c>
      <c r="B466" s="3">
        <v>45775</v>
      </c>
      <c r="C466" s="3">
        <v>45780</v>
      </c>
      <c r="D466" t="s">
        <v>145</v>
      </c>
      <c r="E466" t="s">
        <v>146</v>
      </c>
      <c r="F466" t="s">
        <v>74</v>
      </c>
      <c r="G466" t="s">
        <v>75</v>
      </c>
      <c r="H466" t="s">
        <v>116</v>
      </c>
      <c r="I466" t="s">
        <v>117</v>
      </c>
      <c r="J466" t="s">
        <v>129</v>
      </c>
      <c r="K466" t="s">
        <v>147</v>
      </c>
      <c r="L466" t="s">
        <v>249</v>
      </c>
      <c r="M466" t="s">
        <v>250</v>
      </c>
      <c r="N466" t="s">
        <v>103</v>
      </c>
      <c r="O466" t="s">
        <v>251</v>
      </c>
      <c r="P466">
        <v>10</v>
      </c>
      <c r="Q466" s="4">
        <v>22.95</v>
      </c>
      <c r="R466" s="5">
        <v>0.05</v>
      </c>
      <c r="S466" s="4">
        <v>14.59</v>
      </c>
      <c r="T466" t="s">
        <v>105</v>
      </c>
      <c r="U466" t="s">
        <v>85</v>
      </c>
      <c r="V466">
        <v>4</v>
      </c>
    </row>
    <row r="467" spans="1:22">
      <c r="A467" t="s">
        <v>952</v>
      </c>
      <c r="B467" s="3">
        <v>45775</v>
      </c>
      <c r="C467" s="3">
        <v>45781</v>
      </c>
      <c r="D467" t="s">
        <v>598</v>
      </c>
      <c r="E467" t="s">
        <v>599</v>
      </c>
      <c r="F467" t="s">
        <v>89</v>
      </c>
      <c r="G467" t="s">
        <v>138</v>
      </c>
      <c r="H467" t="s">
        <v>457</v>
      </c>
      <c r="I467" t="s">
        <v>458</v>
      </c>
      <c r="J467" t="s">
        <v>109</v>
      </c>
      <c r="K467" t="s">
        <v>147</v>
      </c>
      <c r="L467" t="s">
        <v>91</v>
      </c>
      <c r="M467" t="s">
        <v>92</v>
      </c>
      <c r="N467" t="s">
        <v>93</v>
      </c>
      <c r="O467" t="s">
        <v>94</v>
      </c>
      <c r="P467">
        <v>4</v>
      </c>
      <c r="Q467" s="4">
        <v>336.25</v>
      </c>
      <c r="R467" s="5">
        <v>0.11</v>
      </c>
      <c r="S467" s="4">
        <v>25.45</v>
      </c>
      <c r="T467" t="s">
        <v>122</v>
      </c>
      <c r="U467" t="s">
        <v>85</v>
      </c>
      <c r="V467">
        <v>5</v>
      </c>
    </row>
    <row r="468" spans="1:22">
      <c r="A468" t="s">
        <v>953</v>
      </c>
      <c r="B468" s="3">
        <v>45775</v>
      </c>
      <c r="C468" s="3">
        <v>45777</v>
      </c>
      <c r="D468" t="s">
        <v>248</v>
      </c>
      <c r="E468" t="s">
        <v>137</v>
      </c>
      <c r="F468" t="s">
        <v>74</v>
      </c>
      <c r="G468" t="s">
        <v>75</v>
      </c>
      <c r="H468" t="s">
        <v>98</v>
      </c>
      <c r="I468" t="s">
        <v>99</v>
      </c>
      <c r="J468" t="s">
        <v>219</v>
      </c>
      <c r="K468" t="s">
        <v>130</v>
      </c>
      <c r="L468" t="s">
        <v>337</v>
      </c>
      <c r="M468" t="s">
        <v>338</v>
      </c>
      <c r="N468" t="s">
        <v>93</v>
      </c>
      <c r="O468" t="s">
        <v>236</v>
      </c>
      <c r="P468">
        <v>4</v>
      </c>
      <c r="Q468" s="4">
        <v>265.82</v>
      </c>
      <c r="R468" s="5">
        <v>0.28999999999999998</v>
      </c>
      <c r="S468" s="4">
        <v>18.28</v>
      </c>
      <c r="T468" t="s">
        <v>105</v>
      </c>
      <c r="U468" t="s">
        <v>85</v>
      </c>
      <c r="V468">
        <v>2</v>
      </c>
    </row>
    <row r="469" spans="1:22">
      <c r="A469" t="s">
        <v>954</v>
      </c>
      <c r="B469" s="3">
        <v>45776</v>
      </c>
      <c r="C469" s="3">
        <v>45778</v>
      </c>
      <c r="D469" t="s">
        <v>598</v>
      </c>
      <c r="E469" t="s">
        <v>599</v>
      </c>
      <c r="F469" t="s">
        <v>89</v>
      </c>
      <c r="G469" t="s">
        <v>138</v>
      </c>
      <c r="H469" t="s">
        <v>457</v>
      </c>
      <c r="I469" t="s">
        <v>458</v>
      </c>
      <c r="J469" t="s">
        <v>219</v>
      </c>
      <c r="K469" t="s">
        <v>100</v>
      </c>
      <c r="L469" t="s">
        <v>337</v>
      </c>
      <c r="M469" t="s">
        <v>338</v>
      </c>
      <c r="N469" t="s">
        <v>93</v>
      </c>
      <c r="O469" t="s">
        <v>236</v>
      </c>
      <c r="P469">
        <v>3</v>
      </c>
      <c r="Q469" s="4">
        <v>267.25</v>
      </c>
      <c r="R469" s="5">
        <v>0.06</v>
      </c>
      <c r="S469" s="4">
        <v>23.14</v>
      </c>
      <c r="T469" t="s">
        <v>84</v>
      </c>
      <c r="U469" t="s">
        <v>85</v>
      </c>
      <c r="V469">
        <v>4</v>
      </c>
    </row>
    <row r="470" spans="1:22">
      <c r="A470" t="s">
        <v>955</v>
      </c>
      <c r="B470" s="3">
        <v>45778</v>
      </c>
      <c r="C470" s="3">
        <v>45780</v>
      </c>
      <c r="D470" t="s">
        <v>287</v>
      </c>
      <c r="E470" t="s">
        <v>146</v>
      </c>
      <c r="F470" t="s">
        <v>89</v>
      </c>
      <c r="G470" t="s">
        <v>194</v>
      </c>
      <c r="H470" t="s">
        <v>195</v>
      </c>
      <c r="I470" t="s">
        <v>196</v>
      </c>
      <c r="J470" t="s">
        <v>78</v>
      </c>
      <c r="K470" t="s">
        <v>168</v>
      </c>
      <c r="L470" t="s">
        <v>337</v>
      </c>
      <c r="M470" t="s">
        <v>338</v>
      </c>
      <c r="N470" t="s">
        <v>93</v>
      </c>
      <c r="O470" t="s">
        <v>236</v>
      </c>
      <c r="P470">
        <v>1</v>
      </c>
      <c r="Q470" s="4">
        <v>276.88</v>
      </c>
      <c r="R470" s="5">
        <v>7.0000000000000007E-2</v>
      </c>
      <c r="S470" s="4">
        <v>22.62</v>
      </c>
      <c r="T470" t="s">
        <v>84</v>
      </c>
      <c r="U470" t="s">
        <v>85</v>
      </c>
      <c r="V470">
        <v>5</v>
      </c>
    </row>
    <row r="471" spans="1:22">
      <c r="A471" t="s">
        <v>956</v>
      </c>
      <c r="B471" s="3">
        <v>45779</v>
      </c>
      <c r="C471" s="3">
        <v>45782</v>
      </c>
      <c r="D471" t="s">
        <v>205</v>
      </c>
      <c r="E471" t="s">
        <v>206</v>
      </c>
      <c r="F471" t="s">
        <v>74</v>
      </c>
      <c r="G471" t="s">
        <v>194</v>
      </c>
      <c r="H471" t="s">
        <v>202</v>
      </c>
      <c r="I471" t="s">
        <v>203</v>
      </c>
      <c r="J471" t="s">
        <v>109</v>
      </c>
      <c r="K471" t="s">
        <v>147</v>
      </c>
      <c r="L471" t="s">
        <v>188</v>
      </c>
      <c r="M471" t="s">
        <v>189</v>
      </c>
      <c r="N471" t="s">
        <v>120</v>
      </c>
      <c r="O471" t="s">
        <v>190</v>
      </c>
      <c r="P471">
        <v>3</v>
      </c>
      <c r="Q471" s="4">
        <v>61.59</v>
      </c>
      <c r="R471" s="5">
        <v>0.33</v>
      </c>
      <c r="S471" s="4">
        <v>5.39</v>
      </c>
      <c r="T471" t="s">
        <v>122</v>
      </c>
      <c r="U471" t="s">
        <v>85</v>
      </c>
      <c r="V471">
        <v>2</v>
      </c>
    </row>
    <row r="472" spans="1:22">
      <c r="A472" t="s">
        <v>957</v>
      </c>
      <c r="B472" s="3">
        <v>45780</v>
      </c>
      <c r="C472" s="3">
        <v>45785</v>
      </c>
      <c r="D472" t="s">
        <v>576</v>
      </c>
      <c r="E472" t="s">
        <v>577</v>
      </c>
      <c r="F472" t="s">
        <v>89</v>
      </c>
      <c r="G472" t="s">
        <v>126</v>
      </c>
      <c r="H472" t="s">
        <v>291</v>
      </c>
      <c r="I472" t="s">
        <v>292</v>
      </c>
      <c r="J472" t="s">
        <v>129</v>
      </c>
      <c r="K472" t="s">
        <v>130</v>
      </c>
      <c r="L472" t="s">
        <v>175</v>
      </c>
      <c r="M472" t="s">
        <v>176</v>
      </c>
      <c r="N472" t="s">
        <v>93</v>
      </c>
      <c r="O472" t="s">
        <v>177</v>
      </c>
      <c r="P472">
        <v>3</v>
      </c>
      <c r="Q472" s="4">
        <v>172.09</v>
      </c>
      <c r="R472" s="5">
        <v>0</v>
      </c>
      <c r="S472" s="4">
        <v>26.41</v>
      </c>
      <c r="T472" t="s">
        <v>122</v>
      </c>
      <c r="U472" t="s">
        <v>85</v>
      </c>
    </row>
    <row r="473" spans="1:22">
      <c r="A473" t="s">
        <v>958</v>
      </c>
      <c r="B473" s="3">
        <v>45784</v>
      </c>
      <c r="C473" s="3">
        <v>45788</v>
      </c>
      <c r="D473" t="s">
        <v>297</v>
      </c>
      <c r="E473" t="s">
        <v>298</v>
      </c>
      <c r="F473" t="s">
        <v>74</v>
      </c>
      <c r="G473" t="s">
        <v>126</v>
      </c>
      <c r="H473" t="s">
        <v>291</v>
      </c>
      <c r="I473" t="s">
        <v>292</v>
      </c>
      <c r="J473" t="s">
        <v>109</v>
      </c>
      <c r="K473" t="s">
        <v>130</v>
      </c>
      <c r="L473" t="s">
        <v>337</v>
      </c>
      <c r="M473" t="s">
        <v>338</v>
      </c>
      <c r="N473" t="s">
        <v>93</v>
      </c>
      <c r="O473" t="s">
        <v>236</v>
      </c>
      <c r="P473">
        <v>3</v>
      </c>
      <c r="Q473" s="4">
        <v>262.73</v>
      </c>
      <c r="R473" s="5">
        <v>0.09</v>
      </c>
      <c r="S473" s="4">
        <v>25.41</v>
      </c>
      <c r="T473" t="s">
        <v>122</v>
      </c>
      <c r="U473" t="s">
        <v>148</v>
      </c>
      <c r="V473">
        <v>5</v>
      </c>
    </row>
    <row r="474" spans="1:22">
      <c r="A474" t="s">
        <v>959</v>
      </c>
      <c r="B474" s="3">
        <v>45784</v>
      </c>
      <c r="C474" s="3">
        <v>45789</v>
      </c>
      <c r="D474" t="s">
        <v>180</v>
      </c>
      <c r="E474" t="s">
        <v>181</v>
      </c>
      <c r="F474" t="s">
        <v>74</v>
      </c>
      <c r="G474" t="s">
        <v>126</v>
      </c>
      <c r="H474" t="s">
        <v>160</v>
      </c>
      <c r="I474" t="s">
        <v>182</v>
      </c>
      <c r="J474" t="s">
        <v>109</v>
      </c>
      <c r="K474" t="s">
        <v>168</v>
      </c>
      <c r="L474" t="s">
        <v>214</v>
      </c>
      <c r="M474" t="s">
        <v>215</v>
      </c>
      <c r="N474" t="s">
        <v>103</v>
      </c>
      <c r="O474" t="s">
        <v>171</v>
      </c>
      <c r="P474">
        <v>2</v>
      </c>
      <c r="Q474" s="4">
        <v>12.22</v>
      </c>
      <c r="R474" s="5">
        <v>0.06</v>
      </c>
      <c r="S474" s="4">
        <v>13.34</v>
      </c>
      <c r="T474" t="s">
        <v>84</v>
      </c>
      <c r="U474" t="s">
        <v>85</v>
      </c>
    </row>
    <row r="475" spans="1:22">
      <c r="A475" t="s">
        <v>960</v>
      </c>
      <c r="B475" s="3">
        <v>45785</v>
      </c>
      <c r="C475" s="3">
        <v>45786</v>
      </c>
      <c r="D475" t="s">
        <v>223</v>
      </c>
      <c r="E475" t="s">
        <v>224</v>
      </c>
      <c r="F475" t="s">
        <v>152</v>
      </c>
      <c r="G475" t="s">
        <v>194</v>
      </c>
      <c r="H475" t="s">
        <v>225</v>
      </c>
      <c r="I475" t="s">
        <v>226</v>
      </c>
      <c r="J475" t="s">
        <v>78</v>
      </c>
      <c r="K475" t="s">
        <v>79</v>
      </c>
      <c r="L475" t="s">
        <v>220</v>
      </c>
      <c r="M475" t="s">
        <v>221</v>
      </c>
      <c r="N475" t="s">
        <v>93</v>
      </c>
      <c r="O475" t="s">
        <v>177</v>
      </c>
      <c r="P475">
        <v>2</v>
      </c>
      <c r="Q475" s="4">
        <v>237.16</v>
      </c>
      <c r="R475" s="5">
        <v>0.05</v>
      </c>
      <c r="S475" s="4">
        <v>22.33</v>
      </c>
      <c r="T475" t="s">
        <v>105</v>
      </c>
      <c r="U475" t="s">
        <v>85</v>
      </c>
      <c r="V475">
        <v>1</v>
      </c>
    </row>
    <row r="476" spans="1:22">
      <c r="A476" t="s">
        <v>961</v>
      </c>
      <c r="B476" s="3">
        <v>45785</v>
      </c>
      <c r="C476" s="3">
        <v>45794</v>
      </c>
      <c r="D476" t="s">
        <v>328</v>
      </c>
      <c r="E476" t="s">
        <v>329</v>
      </c>
      <c r="F476" t="s">
        <v>89</v>
      </c>
      <c r="G476" t="s">
        <v>75</v>
      </c>
      <c r="H476" t="s">
        <v>116</v>
      </c>
      <c r="I476" t="s">
        <v>117</v>
      </c>
      <c r="J476" t="s">
        <v>129</v>
      </c>
      <c r="K476" t="s">
        <v>90</v>
      </c>
      <c r="L476" t="s">
        <v>337</v>
      </c>
      <c r="M476" t="s">
        <v>338</v>
      </c>
      <c r="N476" t="s">
        <v>93</v>
      </c>
      <c r="O476" t="s">
        <v>236</v>
      </c>
      <c r="P476">
        <v>3</v>
      </c>
      <c r="Q476" s="4">
        <v>274.68</v>
      </c>
      <c r="R476" s="5">
        <v>0.06</v>
      </c>
      <c r="S476" s="4">
        <v>28.63</v>
      </c>
      <c r="T476" t="s">
        <v>105</v>
      </c>
      <c r="U476" t="s">
        <v>85</v>
      </c>
      <c r="V476">
        <v>5</v>
      </c>
    </row>
    <row r="477" spans="1:22">
      <c r="A477" t="s">
        <v>962</v>
      </c>
      <c r="B477" s="3">
        <v>45785</v>
      </c>
      <c r="C477" s="3">
        <v>45793</v>
      </c>
      <c r="D477" t="s">
        <v>445</v>
      </c>
      <c r="E477" t="s">
        <v>446</v>
      </c>
      <c r="F477" t="s">
        <v>152</v>
      </c>
      <c r="G477" t="s">
        <v>126</v>
      </c>
      <c r="H477" t="s">
        <v>160</v>
      </c>
      <c r="I477" t="s">
        <v>182</v>
      </c>
      <c r="J477" t="s">
        <v>219</v>
      </c>
      <c r="K477" t="s">
        <v>79</v>
      </c>
      <c r="L477" t="s">
        <v>110</v>
      </c>
      <c r="M477" t="s">
        <v>111</v>
      </c>
      <c r="N477" t="s">
        <v>82</v>
      </c>
      <c r="O477" t="s">
        <v>112</v>
      </c>
      <c r="P477">
        <v>4</v>
      </c>
      <c r="Q477" s="4">
        <v>307.11</v>
      </c>
      <c r="R477" s="5">
        <v>7.0000000000000007E-2</v>
      </c>
      <c r="S477" s="4">
        <v>15.37</v>
      </c>
      <c r="T477" t="s">
        <v>84</v>
      </c>
      <c r="U477" t="s">
        <v>85</v>
      </c>
    </row>
    <row r="478" spans="1:22">
      <c r="A478" t="s">
        <v>963</v>
      </c>
      <c r="B478" s="3">
        <v>45786</v>
      </c>
      <c r="C478" s="3">
        <v>45790</v>
      </c>
      <c r="D478" t="s">
        <v>368</v>
      </c>
      <c r="E478" t="s">
        <v>369</v>
      </c>
      <c r="F478" t="s">
        <v>89</v>
      </c>
      <c r="G478" t="s">
        <v>194</v>
      </c>
      <c r="H478" t="s">
        <v>240</v>
      </c>
      <c r="I478" t="s">
        <v>241</v>
      </c>
      <c r="J478" t="s">
        <v>109</v>
      </c>
      <c r="K478" t="s">
        <v>168</v>
      </c>
      <c r="L478" t="s">
        <v>118</v>
      </c>
      <c r="M478" t="s">
        <v>119</v>
      </c>
      <c r="N478" t="s">
        <v>120</v>
      </c>
      <c r="O478" t="s">
        <v>121</v>
      </c>
      <c r="P478">
        <v>2</v>
      </c>
      <c r="Q478" s="4">
        <v>286.33999999999997</v>
      </c>
      <c r="R478" s="5">
        <v>0.08</v>
      </c>
      <c r="S478" s="4">
        <v>21.5</v>
      </c>
      <c r="T478" t="s">
        <v>105</v>
      </c>
      <c r="U478" t="s">
        <v>85</v>
      </c>
      <c r="V478">
        <v>2</v>
      </c>
    </row>
    <row r="479" spans="1:22">
      <c r="A479" t="s">
        <v>964</v>
      </c>
      <c r="B479" s="3">
        <v>45787</v>
      </c>
      <c r="C479" s="3">
        <v>45788</v>
      </c>
      <c r="D479" t="s">
        <v>282</v>
      </c>
      <c r="E479" t="s">
        <v>283</v>
      </c>
      <c r="F479" t="s">
        <v>89</v>
      </c>
      <c r="G479" t="s">
        <v>75</v>
      </c>
      <c r="H479" t="s">
        <v>273</v>
      </c>
      <c r="I479" t="s">
        <v>274</v>
      </c>
      <c r="J479" t="s">
        <v>219</v>
      </c>
      <c r="K479" t="s">
        <v>100</v>
      </c>
      <c r="L479" t="s">
        <v>301</v>
      </c>
      <c r="M479" t="s">
        <v>302</v>
      </c>
      <c r="N479" t="s">
        <v>120</v>
      </c>
      <c r="O479" t="s">
        <v>190</v>
      </c>
      <c r="P479">
        <v>1</v>
      </c>
      <c r="Q479" s="4">
        <v>146.13999999999999</v>
      </c>
      <c r="R479" s="5">
        <v>0.03</v>
      </c>
      <c r="S479" s="4">
        <v>16.649999999999999</v>
      </c>
      <c r="T479" t="s">
        <v>105</v>
      </c>
      <c r="U479" t="s">
        <v>85</v>
      </c>
      <c r="V479">
        <v>4</v>
      </c>
    </row>
    <row r="480" spans="1:22">
      <c r="A480" t="s">
        <v>965</v>
      </c>
      <c r="B480" s="3">
        <v>45789</v>
      </c>
      <c r="C480" s="3">
        <v>45799</v>
      </c>
      <c r="D480" t="s">
        <v>335</v>
      </c>
      <c r="E480" t="s">
        <v>336</v>
      </c>
      <c r="F480" t="s">
        <v>74</v>
      </c>
      <c r="G480" t="s">
        <v>126</v>
      </c>
      <c r="H480" t="s">
        <v>291</v>
      </c>
      <c r="I480" t="s">
        <v>292</v>
      </c>
      <c r="J480" t="s">
        <v>78</v>
      </c>
      <c r="K480" t="s">
        <v>100</v>
      </c>
      <c r="L480" t="s">
        <v>284</v>
      </c>
      <c r="M480" t="s">
        <v>285</v>
      </c>
      <c r="N480" t="s">
        <v>103</v>
      </c>
      <c r="O480" t="s">
        <v>143</v>
      </c>
      <c r="P480">
        <v>2</v>
      </c>
      <c r="Q480" s="4">
        <v>29.09</v>
      </c>
      <c r="R480" s="5">
        <v>0</v>
      </c>
      <c r="S480" s="4">
        <v>10.81</v>
      </c>
      <c r="T480" t="s">
        <v>122</v>
      </c>
      <c r="U480" t="s">
        <v>85</v>
      </c>
      <c r="V480">
        <v>5</v>
      </c>
    </row>
    <row r="481" spans="1:22">
      <c r="A481" t="s">
        <v>966</v>
      </c>
      <c r="B481" s="3">
        <v>45789</v>
      </c>
      <c r="C481" s="3">
        <v>45794</v>
      </c>
      <c r="D481" t="s">
        <v>529</v>
      </c>
      <c r="E481" t="s">
        <v>397</v>
      </c>
      <c r="F481" t="s">
        <v>89</v>
      </c>
      <c r="G481" t="s">
        <v>194</v>
      </c>
      <c r="H481" t="s">
        <v>240</v>
      </c>
      <c r="I481" t="s">
        <v>241</v>
      </c>
      <c r="J481" t="s">
        <v>109</v>
      </c>
      <c r="K481" t="s">
        <v>147</v>
      </c>
      <c r="L481" t="s">
        <v>337</v>
      </c>
      <c r="M481" t="s">
        <v>338</v>
      </c>
      <c r="N481" t="s">
        <v>93</v>
      </c>
      <c r="O481" t="s">
        <v>236</v>
      </c>
      <c r="P481">
        <v>4</v>
      </c>
      <c r="Q481" s="4">
        <v>278.70999999999998</v>
      </c>
      <c r="R481" s="5">
        <v>7.0000000000000007E-2</v>
      </c>
      <c r="S481" s="4">
        <v>29.44</v>
      </c>
      <c r="T481" t="s">
        <v>122</v>
      </c>
      <c r="U481" t="s">
        <v>85</v>
      </c>
    </row>
    <row r="482" spans="1:22">
      <c r="A482" t="s">
        <v>967</v>
      </c>
      <c r="B482" s="3">
        <v>45790</v>
      </c>
      <c r="C482" s="3">
        <v>45788</v>
      </c>
      <c r="D482" t="s">
        <v>550</v>
      </c>
      <c r="E482" t="s">
        <v>218</v>
      </c>
      <c r="F482" t="s">
        <v>152</v>
      </c>
      <c r="G482" t="s">
        <v>126</v>
      </c>
      <c r="H482" t="s">
        <v>127</v>
      </c>
      <c r="I482" t="s">
        <v>128</v>
      </c>
      <c r="J482" t="s">
        <v>219</v>
      </c>
      <c r="K482" t="s">
        <v>130</v>
      </c>
      <c r="L482" t="s">
        <v>249</v>
      </c>
      <c r="M482" t="s">
        <v>250</v>
      </c>
      <c r="N482" t="s">
        <v>103</v>
      </c>
      <c r="O482" t="s">
        <v>251</v>
      </c>
      <c r="P482">
        <v>5</v>
      </c>
      <c r="Q482" s="4">
        <v>22.44</v>
      </c>
      <c r="R482" s="5">
        <v>0.09</v>
      </c>
      <c r="S482" s="4">
        <v>16.55</v>
      </c>
      <c r="T482" t="s">
        <v>105</v>
      </c>
      <c r="U482" t="s">
        <v>85</v>
      </c>
      <c r="V482">
        <v>5</v>
      </c>
    </row>
    <row r="483" spans="1:22">
      <c r="A483" t="s">
        <v>968</v>
      </c>
      <c r="B483" s="3">
        <v>45792</v>
      </c>
      <c r="C483" s="3">
        <v>45800</v>
      </c>
      <c r="D483" t="s">
        <v>271</v>
      </c>
      <c r="E483" t="s">
        <v>272</v>
      </c>
      <c r="F483" t="s">
        <v>89</v>
      </c>
      <c r="G483" t="s">
        <v>75</v>
      </c>
      <c r="H483" t="s">
        <v>273</v>
      </c>
      <c r="I483" t="s">
        <v>274</v>
      </c>
      <c r="J483" t="s">
        <v>78</v>
      </c>
      <c r="K483" t="s">
        <v>79</v>
      </c>
      <c r="L483" t="s">
        <v>207</v>
      </c>
      <c r="M483" t="s">
        <v>208</v>
      </c>
      <c r="N483" t="s">
        <v>120</v>
      </c>
      <c r="O483" t="s">
        <v>164</v>
      </c>
      <c r="P483">
        <v>2</v>
      </c>
      <c r="Q483" s="4">
        <v>1448.98</v>
      </c>
      <c r="R483" s="5">
        <v>0.31</v>
      </c>
      <c r="S483" s="4">
        <v>22.82</v>
      </c>
      <c r="T483" t="s">
        <v>122</v>
      </c>
      <c r="U483" t="s">
        <v>85</v>
      </c>
      <c r="V483">
        <v>1</v>
      </c>
    </row>
    <row r="484" spans="1:22">
      <c r="A484" t="s">
        <v>969</v>
      </c>
      <c r="B484" s="3">
        <v>45793</v>
      </c>
      <c r="C484" s="3">
        <v>45798</v>
      </c>
      <c r="D484" t="s">
        <v>72</v>
      </c>
      <c r="E484" t="s">
        <v>73</v>
      </c>
      <c r="F484" t="s">
        <v>74</v>
      </c>
      <c r="G484" t="s">
        <v>75</v>
      </c>
      <c r="H484" t="s">
        <v>76</v>
      </c>
      <c r="I484" t="s">
        <v>77</v>
      </c>
      <c r="J484" t="s">
        <v>78</v>
      </c>
      <c r="K484" t="s">
        <v>147</v>
      </c>
      <c r="L484" t="s">
        <v>131</v>
      </c>
      <c r="M484" t="s">
        <v>132</v>
      </c>
      <c r="N484" t="s">
        <v>120</v>
      </c>
      <c r="O484" t="s">
        <v>133</v>
      </c>
      <c r="P484">
        <v>1</v>
      </c>
      <c r="Q484" s="4">
        <v>83.81</v>
      </c>
      <c r="R484" s="5">
        <v>0.2</v>
      </c>
      <c r="S484" s="4">
        <v>9.7200000000000006</v>
      </c>
      <c r="T484" t="s">
        <v>134</v>
      </c>
      <c r="U484" t="s">
        <v>85</v>
      </c>
      <c r="V484">
        <v>4</v>
      </c>
    </row>
    <row r="485" spans="1:22">
      <c r="A485" t="s">
        <v>970</v>
      </c>
      <c r="B485" s="3">
        <v>45794</v>
      </c>
      <c r="C485" s="3">
        <v>45804</v>
      </c>
      <c r="D485" t="s">
        <v>971</v>
      </c>
      <c r="E485" t="s">
        <v>631</v>
      </c>
      <c r="F485" t="s">
        <v>152</v>
      </c>
      <c r="G485" t="s">
        <v>194</v>
      </c>
      <c r="H485" t="s">
        <v>240</v>
      </c>
      <c r="I485" t="s">
        <v>241</v>
      </c>
      <c r="J485" t="s">
        <v>109</v>
      </c>
      <c r="K485" t="s">
        <v>168</v>
      </c>
      <c r="L485" t="s">
        <v>110</v>
      </c>
      <c r="M485" t="s">
        <v>111</v>
      </c>
      <c r="N485" t="s">
        <v>82</v>
      </c>
      <c r="O485" t="s">
        <v>112</v>
      </c>
      <c r="P485">
        <v>5</v>
      </c>
      <c r="Q485" s="4">
        <v>329.25</v>
      </c>
      <c r="R485" s="5">
        <v>0</v>
      </c>
      <c r="S485" s="4">
        <v>6.67</v>
      </c>
      <c r="T485" t="s">
        <v>122</v>
      </c>
      <c r="U485" t="s">
        <v>85</v>
      </c>
      <c r="V485">
        <v>4</v>
      </c>
    </row>
    <row r="486" spans="1:22">
      <c r="A486" t="s">
        <v>972</v>
      </c>
      <c r="B486" s="3">
        <v>45794</v>
      </c>
      <c r="C486" s="3">
        <v>45799</v>
      </c>
      <c r="D486" t="s">
        <v>305</v>
      </c>
      <c r="E486" t="s">
        <v>306</v>
      </c>
      <c r="F486" t="s">
        <v>152</v>
      </c>
      <c r="G486" t="s">
        <v>138</v>
      </c>
      <c r="H486" t="s">
        <v>186</v>
      </c>
      <c r="I486" t="s">
        <v>187</v>
      </c>
      <c r="J486" t="s">
        <v>129</v>
      </c>
      <c r="K486" t="s">
        <v>130</v>
      </c>
      <c r="L486" t="s">
        <v>175</v>
      </c>
      <c r="M486" t="s">
        <v>176</v>
      </c>
      <c r="N486" t="s">
        <v>93</v>
      </c>
      <c r="O486" t="s">
        <v>177</v>
      </c>
      <c r="P486">
        <v>4</v>
      </c>
      <c r="Q486" s="4">
        <v>177.6</v>
      </c>
      <c r="R486" s="5">
        <v>0.02</v>
      </c>
      <c r="S486" s="4">
        <v>24.36</v>
      </c>
      <c r="T486" t="s">
        <v>134</v>
      </c>
      <c r="U486" t="s">
        <v>85</v>
      </c>
      <c r="V486">
        <v>4</v>
      </c>
    </row>
    <row r="487" spans="1:22">
      <c r="A487" t="s">
        <v>973</v>
      </c>
      <c r="B487" s="3">
        <v>45796</v>
      </c>
      <c r="C487" s="3">
        <v>45798</v>
      </c>
      <c r="D487" t="s">
        <v>594</v>
      </c>
      <c r="E487" t="s">
        <v>595</v>
      </c>
      <c r="F487" t="s">
        <v>74</v>
      </c>
      <c r="G487" t="s">
        <v>75</v>
      </c>
      <c r="H487" t="s">
        <v>76</v>
      </c>
      <c r="I487" t="s">
        <v>77</v>
      </c>
      <c r="J487" t="s">
        <v>109</v>
      </c>
      <c r="K487" t="s">
        <v>90</v>
      </c>
      <c r="L487" t="s">
        <v>359</v>
      </c>
      <c r="M487" t="s">
        <v>360</v>
      </c>
      <c r="N487" t="s">
        <v>93</v>
      </c>
      <c r="O487" t="s">
        <v>94</v>
      </c>
      <c r="P487">
        <v>4</v>
      </c>
      <c r="Q487" s="4">
        <v>453</v>
      </c>
      <c r="R487" s="5">
        <v>0.01</v>
      </c>
      <c r="S487" s="4">
        <v>23.38</v>
      </c>
      <c r="T487" t="s">
        <v>134</v>
      </c>
      <c r="U487" t="s">
        <v>85</v>
      </c>
    </row>
    <row r="488" spans="1:22">
      <c r="A488" t="s">
        <v>974</v>
      </c>
      <c r="B488" s="3">
        <v>45798</v>
      </c>
      <c r="C488" s="3">
        <v>45808</v>
      </c>
      <c r="D488" t="s">
        <v>253</v>
      </c>
      <c r="E488" t="s">
        <v>167</v>
      </c>
      <c r="F488" t="s">
        <v>152</v>
      </c>
      <c r="G488" t="s">
        <v>75</v>
      </c>
      <c r="H488" t="s">
        <v>212</v>
      </c>
      <c r="I488" t="s">
        <v>213</v>
      </c>
      <c r="J488" t="s">
        <v>78</v>
      </c>
      <c r="K488" t="s">
        <v>100</v>
      </c>
      <c r="L488" t="s">
        <v>431</v>
      </c>
      <c r="M488" t="s">
        <v>432</v>
      </c>
      <c r="N488" t="s">
        <v>103</v>
      </c>
      <c r="O488" t="s">
        <v>251</v>
      </c>
      <c r="P488">
        <v>2</v>
      </c>
      <c r="Q488" s="4">
        <v>40.200000000000003</v>
      </c>
      <c r="R488" s="5">
        <v>0.01</v>
      </c>
      <c r="S488" s="4">
        <v>12.11</v>
      </c>
      <c r="T488" t="s">
        <v>105</v>
      </c>
      <c r="U488" t="s">
        <v>85</v>
      </c>
      <c r="V488">
        <v>1</v>
      </c>
    </row>
    <row r="489" spans="1:22">
      <c r="A489" t="s">
        <v>974</v>
      </c>
      <c r="B489" s="3">
        <v>45798</v>
      </c>
      <c r="C489" s="3">
        <v>45808</v>
      </c>
      <c r="D489" t="s">
        <v>253</v>
      </c>
      <c r="E489" t="s">
        <v>167</v>
      </c>
      <c r="F489" t="s">
        <v>152</v>
      </c>
      <c r="G489" t="s">
        <v>75</v>
      </c>
      <c r="H489" t="s">
        <v>212</v>
      </c>
      <c r="I489" t="s">
        <v>213</v>
      </c>
      <c r="J489" t="s">
        <v>78</v>
      </c>
      <c r="K489" t="s">
        <v>100</v>
      </c>
      <c r="L489" t="s">
        <v>431</v>
      </c>
      <c r="M489" t="s">
        <v>432</v>
      </c>
      <c r="N489" t="s">
        <v>103</v>
      </c>
      <c r="O489" t="s">
        <v>251</v>
      </c>
      <c r="P489">
        <v>2</v>
      </c>
      <c r="Q489" s="4">
        <v>40.200000000000003</v>
      </c>
      <c r="R489" s="5">
        <v>0.01</v>
      </c>
      <c r="S489" s="4">
        <v>12.11</v>
      </c>
      <c r="T489" t="s">
        <v>105</v>
      </c>
      <c r="U489" t="s">
        <v>85</v>
      </c>
      <c r="V489">
        <v>1</v>
      </c>
    </row>
    <row r="490" spans="1:22">
      <c r="A490" t="s">
        <v>975</v>
      </c>
      <c r="B490" s="3">
        <v>45798</v>
      </c>
      <c r="C490" s="3">
        <v>45804</v>
      </c>
      <c r="D490" t="s">
        <v>586</v>
      </c>
      <c r="E490" t="s">
        <v>587</v>
      </c>
      <c r="F490" t="s">
        <v>89</v>
      </c>
      <c r="G490" t="s">
        <v>138</v>
      </c>
      <c r="H490" t="s">
        <v>139</v>
      </c>
      <c r="I490" t="s">
        <v>140</v>
      </c>
      <c r="J490" t="s">
        <v>129</v>
      </c>
      <c r="K490" t="s">
        <v>168</v>
      </c>
      <c r="L490" t="s">
        <v>110</v>
      </c>
      <c r="M490" t="s">
        <v>111</v>
      </c>
      <c r="N490" t="s">
        <v>82</v>
      </c>
      <c r="O490" t="s">
        <v>112</v>
      </c>
      <c r="P490">
        <v>8</v>
      </c>
      <c r="Q490" s="4">
        <v>301.67</v>
      </c>
      <c r="R490" s="5">
        <v>7.0000000000000007E-2</v>
      </c>
      <c r="S490" s="4">
        <v>8.48</v>
      </c>
      <c r="T490" t="s">
        <v>122</v>
      </c>
      <c r="U490" t="s">
        <v>85</v>
      </c>
      <c r="V490">
        <v>5</v>
      </c>
    </row>
    <row r="491" spans="1:22">
      <c r="A491" t="s">
        <v>976</v>
      </c>
      <c r="B491" s="3">
        <v>45799</v>
      </c>
      <c r="C491" s="3">
        <v>45809</v>
      </c>
      <c r="D491" t="s">
        <v>550</v>
      </c>
      <c r="E491" t="s">
        <v>218</v>
      </c>
      <c r="F491" t="s">
        <v>152</v>
      </c>
      <c r="G491" t="s">
        <v>126</v>
      </c>
      <c r="H491" t="s">
        <v>127</v>
      </c>
      <c r="I491" t="s">
        <v>128</v>
      </c>
      <c r="J491" t="s">
        <v>78</v>
      </c>
      <c r="K491" t="s">
        <v>79</v>
      </c>
      <c r="L491" t="s">
        <v>91</v>
      </c>
      <c r="M491" t="s">
        <v>92</v>
      </c>
      <c r="N491" t="s">
        <v>93</v>
      </c>
      <c r="O491" t="s">
        <v>94</v>
      </c>
      <c r="P491">
        <v>3</v>
      </c>
      <c r="Q491" s="4">
        <v>315.76</v>
      </c>
      <c r="R491" s="5">
        <v>0.12</v>
      </c>
      <c r="S491" s="4">
        <v>25.97</v>
      </c>
      <c r="T491" t="s">
        <v>105</v>
      </c>
      <c r="U491" t="s">
        <v>148</v>
      </c>
      <c r="V491">
        <v>1</v>
      </c>
    </row>
    <row r="492" spans="1:22">
      <c r="A492" t="s">
        <v>977</v>
      </c>
      <c r="B492" s="3">
        <v>45799</v>
      </c>
      <c r="C492" s="3">
        <v>45805</v>
      </c>
      <c r="D492" t="s">
        <v>350</v>
      </c>
      <c r="E492" t="s">
        <v>351</v>
      </c>
      <c r="F492" t="s">
        <v>152</v>
      </c>
      <c r="G492" t="s">
        <v>126</v>
      </c>
      <c r="H492" t="s">
        <v>160</v>
      </c>
      <c r="I492" t="s">
        <v>182</v>
      </c>
      <c r="J492" t="s">
        <v>129</v>
      </c>
      <c r="K492" t="s">
        <v>79</v>
      </c>
      <c r="L492" t="s">
        <v>242</v>
      </c>
      <c r="M492" t="s">
        <v>243</v>
      </c>
      <c r="N492" t="s">
        <v>120</v>
      </c>
      <c r="O492" t="s">
        <v>133</v>
      </c>
      <c r="P492">
        <v>1</v>
      </c>
      <c r="Q492" s="4">
        <v>182.55</v>
      </c>
      <c r="R492" s="5">
        <v>0.05</v>
      </c>
      <c r="S492" s="4">
        <v>6.67</v>
      </c>
      <c r="T492" t="s">
        <v>122</v>
      </c>
      <c r="U492" t="s">
        <v>85</v>
      </c>
    </row>
    <row r="493" spans="1:22">
      <c r="A493" t="s">
        <v>978</v>
      </c>
      <c r="B493" s="3">
        <v>45801</v>
      </c>
      <c r="C493" s="3">
        <v>45806</v>
      </c>
      <c r="D493" t="s">
        <v>353</v>
      </c>
      <c r="E493" t="s">
        <v>354</v>
      </c>
      <c r="F493" t="s">
        <v>74</v>
      </c>
      <c r="G493" t="s">
        <v>126</v>
      </c>
      <c r="H493" t="s">
        <v>160</v>
      </c>
      <c r="I493" t="s">
        <v>182</v>
      </c>
      <c r="J493" t="s">
        <v>78</v>
      </c>
      <c r="K493" t="s">
        <v>147</v>
      </c>
      <c r="L493" t="s">
        <v>175</v>
      </c>
      <c r="M493" t="s">
        <v>176</v>
      </c>
      <c r="N493" t="s">
        <v>93</v>
      </c>
      <c r="O493" t="s">
        <v>177</v>
      </c>
      <c r="P493">
        <v>4</v>
      </c>
      <c r="Q493" s="4">
        <v>173.97</v>
      </c>
      <c r="R493" s="5">
        <v>0.23</v>
      </c>
      <c r="S493" s="4">
        <v>19.149999999999999</v>
      </c>
      <c r="T493" t="s">
        <v>105</v>
      </c>
      <c r="U493" t="s">
        <v>85</v>
      </c>
      <c r="V493">
        <v>5</v>
      </c>
    </row>
    <row r="494" spans="1:22">
      <c r="A494" t="s">
        <v>979</v>
      </c>
      <c r="B494" s="3">
        <v>45801</v>
      </c>
      <c r="C494" s="3">
        <v>45807</v>
      </c>
      <c r="D494" t="s">
        <v>663</v>
      </c>
      <c r="E494" t="s">
        <v>664</v>
      </c>
      <c r="F494" t="s">
        <v>89</v>
      </c>
      <c r="G494" t="s">
        <v>194</v>
      </c>
      <c r="H494" t="s">
        <v>230</v>
      </c>
      <c r="I494" t="s">
        <v>231</v>
      </c>
      <c r="J494" t="s">
        <v>219</v>
      </c>
      <c r="K494" t="s">
        <v>90</v>
      </c>
      <c r="L494" t="s">
        <v>254</v>
      </c>
      <c r="M494" t="s">
        <v>255</v>
      </c>
      <c r="N494" t="s">
        <v>82</v>
      </c>
      <c r="O494" t="s">
        <v>83</v>
      </c>
      <c r="P494">
        <v>5</v>
      </c>
      <c r="Q494" s="4">
        <v>94.76</v>
      </c>
      <c r="R494" s="5">
        <v>0.06</v>
      </c>
      <c r="S494" s="4">
        <v>14.71</v>
      </c>
      <c r="T494" t="s">
        <v>122</v>
      </c>
      <c r="U494" t="s">
        <v>85</v>
      </c>
      <c r="V494">
        <v>3</v>
      </c>
    </row>
    <row r="495" spans="1:22">
      <c r="A495" t="s">
        <v>980</v>
      </c>
      <c r="B495" s="3">
        <v>45801</v>
      </c>
      <c r="C495" s="3">
        <v>45805</v>
      </c>
      <c r="D495" t="s">
        <v>659</v>
      </c>
      <c r="E495" t="s">
        <v>660</v>
      </c>
      <c r="F495" t="s">
        <v>74</v>
      </c>
      <c r="G495" t="s">
        <v>126</v>
      </c>
      <c r="H495" t="s">
        <v>291</v>
      </c>
      <c r="I495" t="s">
        <v>292</v>
      </c>
      <c r="J495" t="s">
        <v>78</v>
      </c>
      <c r="K495" t="s">
        <v>100</v>
      </c>
      <c r="L495" t="s">
        <v>101</v>
      </c>
      <c r="M495" t="s">
        <v>102</v>
      </c>
      <c r="N495" t="s">
        <v>103</v>
      </c>
      <c r="O495" t="s">
        <v>104</v>
      </c>
      <c r="P495">
        <v>3</v>
      </c>
      <c r="Q495" s="4">
        <v>72.81</v>
      </c>
      <c r="R495" s="5">
        <v>0.03</v>
      </c>
      <c r="S495" s="4">
        <v>9.3699999999999992</v>
      </c>
      <c r="T495" t="s">
        <v>122</v>
      </c>
      <c r="U495" t="s">
        <v>85</v>
      </c>
      <c r="V495">
        <v>4</v>
      </c>
    </row>
    <row r="496" spans="1:22">
      <c r="A496" t="s">
        <v>981</v>
      </c>
      <c r="B496" s="3">
        <v>45802</v>
      </c>
      <c r="C496" s="3">
        <v>45803</v>
      </c>
      <c r="D496" t="s">
        <v>728</v>
      </c>
      <c r="E496" t="s">
        <v>333</v>
      </c>
      <c r="F496" t="s">
        <v>89</v>
      </c>
      <c r="G496" t="s">
        <v>194</v>
      </c>
      <c r="H496" t="s">
        <v>195</v>
      </c>
      <c r="I496" t="s">
        <v>196</v>
      </c>
      <c r="J496" t="s">
        <v>129</v>
      </c>
      <c r="K496" t="s">
        <v>168</v>
      </c>
      <c r="L496" t="s">
        <v>131</v>
      </c>
      <c r="M496" t="s">
        <v>132</v>
      </c>
      <c r="N496" t="s">
        <v>120</v>
      </c>
      <c r="O496" t="s">
        <v>133</v>
      </c>
      <c r="P496">
        <v>3</v>
      </c>
      <c r="Q496" s="4">
        <v>93.56</v>
      </c>
      <c r="R496" s="5">
        <v>0.12</v>
      </c>
      <c r="S496" s="4">
        <v>15.96</v>
      </c>
      <c r="T496" t="s">
        <v>122</v>
      </c>
      <c r="U496" t="s">
        <v>85</v>
      </c>
      <c r="V496">
        <v>1</v>
      </c>
    </row>
    <row r="497" spans="1:22">
      <c r="A497" t="s">
        <v>982</v>
      </c>
      <c r="B497" s="3">
        <v>45802</v>
      </c>
      <c r="C497" s="3">
        <v>45805</v>
      </c>
      <c r="D497" t="s">
        <v>406</v>
      </c>
      <c r="E497" t="s">
        <v>407</v>
      </c>
      <c r="F497" t="s">
        <v>89</v>
      </c>
      <c r="G497" t="s">
        <v>75</v>
      </c>
      <c r="H497" t="s">
        <v>116</v>
      </c>
      <c r="I497" t="s">
        <v>117</v>
      </c>
      <c r="J497" t="s">
        <v>109</v>
      </c>
      <c r="K497" t="s">
        <v>79</v>
      </c>
      <c r="L497" t="s">
        <v>234</v>
      </c>
      <c r="M497" t="s">
        <v>235</v>
      </c>
      <c r="N497" t="s">
        <v>93</v>
      </c>
      <c r="O497" t="s">
        <v>236</v>
      </c>
      <c r="P497">
        <v>2</v>
      </c>
      <c r="Q497" s="4">
        <v>151.76</v>
      </c>
      <c r="R497" s="5">
        <v>7.0000000000000007E-2</v>
      </c>
      <c r="S497" s="4">
        <v>22.28</v>
      </c>
      <c r="T497" t="s">
        <v>105</v>
      </c>
      <c r="U497" t="s">
        <v>85</v>
      </c>
      <c r="V497">
        <v>4</v>
      </c>
    </row>
    <row r="498" spans="1:22">
      <c r="A498" t="s">
        <v>983</v>
      </c>
      <c r="B498" s="3">
        <v>45802</v>
      </c>
      <c r="C498" s="3">
        <v>45803</v>
      </c>
      <c r="D498" t="s">
        <v>96</v>
      </c>
      <c r="E498" t="s">
        <v>97</v>
      </c>
      <c r="F498" t="s">
        <v>74</v>
      </c>
      <c r="G498" t="s">
        <v>75</v>
      </c>
      <c r="H498" t="s">
        <v>98</v>
      </c>
      <c r="I498" t="s">
        <v>99</v>
      </c>
      <c r="J498" t="s">
        <v>219</v>
      </c>
      <c r="K498" t="s">
        <v>79</v>
      </c>
      <c r="L498" t="s">
        <v>431</v>
      </c>
      <c r="M498" t="s">
        <v>432</v>
      </c>
      <c r="N498" t="s">
        <v>103</v>
      </c>
      <c r="O498" t="s">
        <v>251</v>
      </c>
      <c r="P498">
        <v>10</v>
      </c>
      <c r="Q498" s="4">
        <v>37.29</v>
      </c>
      <c r="R498" s="5">
        <v>0.06</v>
      </c>
      <c r="S498" s="4">
        <v>8.86</v>
      </c>
      <c r="T498" t="s">
        <v>105</v>
      </c>
      <c r="U498" t="s">
        <v>85</v>
      </c>
      <c r="V498">
        <v>4</v>
      </c>
    </row>
    <row r="499" spans="1:22">
      <c r="A499" t="s">
        <v>984</v>
      </c>
      <c r="B499" s="3">
        <v>45803</v>
      </c>
      <c r="C499" s="3">
        <v>45805</v>
      </c>
      <c r="D499" t="s">
        <v>677</v>
      </c>
      <c r="E499" t="s">
        <v>678</v>
      </c>
      <c r="F499" t="s">
        <v>152</v>
      </c>
      <c r="G499" t="s">
        <v>138</v>
      </c>
      <c r="H499" t="s">
        <v>347</v>
      </c>
      <c r="I499" t="s">
        <v>348</v>
      </c>
      <c r="J499" t="s">
        <v>109</v>
      </c>
      <c r="K499" t="s">
        <v>100</v>
      </c>
      <c r="L499" t="s">
        <v>359</v>
      </c>
      <c r="M499" t="s">
        <v>360</v>
      </c>
      <c r="N499" t="s">
        <v>93</v>
      </c>
      <c r="O499" t="s">
        <v>94</v>
      </c>
      <c r="P499">
        <v>3</v>
      </c>
      <c r="Q499" s="4">
        <v>446.92</v>
      </c>
      <c r="R499" s="5">
        <v>0.06</v>
      </c>
      <c r="S499" s="4">
        <v>20.86</v>
      </c>
      <c r="T499" t="s">
        <v>105</v>
      </c>
      <c r="U499" t="s">
        <v>85</v>
      </c>
      <c r="V499">
        <v>2</v>
      </c>
    </row>
    <row r="500" spans="1:22">
      <c r="A500" t="s">
        <v>985</v>
      </c>
      <c r="B500" s="3">
        <v>45804</v>
      </c>
      <c r="C500" s="3">
        <v>45806</v>
      </c>
      <c r="D500" t="s">
        <v>482</v>
      </c>
      <c r="E500" t="s">
        <v>483</v>
      </c>
      <c r="F500" t="s">
        <v>74</v>
      </c>
      <c r="G500" t="s">
        <v>194</v>
      </c>
      <c r="H500" t="s">
        <v>240</v>
      </c>
      <c r="I500" t="s">
        <v>241</v>
      </c>
      <c r="J500" t="s">
        <v>219</v>
      </c>
      <c r="K500" t="s">
        <v>90</v>
      </c>
      <c r="L500" t="s">
        <v>254</v>
      </c>
      <c r="M500" t="s">
        <v>255</v>
      </c>
      <c r="N500" t="s">
        <v>82</v>
      </c>
      <c r="O500" t="s">
        <v>83</v>
      </c>
      <c r="P500">
        <v>9</v>
      </c>
      <c r="Q500" s="4">
        <v>91.52</v>
      </c>
      <c r="R500" s="5">
        <v>0.81</v>
      </c>
      <c r="S500" s="4">
        <v>6.35</v>
      </c>
      <c r="T500" t="s">
        <v>134</v>
      </c>
      <c r="U500" t="s">
        <v>85</v>
      </c>
      <c r="V500">
        <v>1</v>
      </c>
    </row>
    <row r="501" spans="1:22">
      <c r="A501" t="s">
        <v>986</v>
      </c>
      <c r="B501" s="3">
        <v>45805</v>
      </c>
      <c r="C501" s="3">
        <v>45813</v>
      </c>
      <c r="D501" t="s">
        <v>315</v>
      </c>
      <c r="E501" t="s">
        <v>316</v>
      </c>
      <c r="F501" t="s">
        <v>89</v>
      </c>
      <c r="G501" t="s">
        <v>75</v>
      </c>
      <c r="H501" t="s">
        <v>273</v>
      </c>
      <c r="I501" t="s">
        <v>274</v>
      </c>
      <c r="J501" t="s">
        <v>109</v>
      </c>
      <c r="K501" t="s">
        <v>130</v>
      </c>
      <c r="L501" t="s">
        <v>141</v>
      </c>
      <c r="M501" t="s">
        <v>142</v>
      </c>
      <c r="N501" t="s">
        <v>103</v>
      </c>
      <c r="O501" t="s">
        <v>143</v>
      </c>
      <c r="P501">
        <v>2</v>
      </c>
      <c r="Q501" s="4">
        <v>34.450000000000003</v>
      </c>
      <c r="R501" s="5">
        <v>0.06</v>
      </c>
      <c r="S501" s="4">
        <v>16.559999999999999</v>
      </c>
      <c r="T501" t="s">
        <v>134</v>
      </c>
      <c r="U501" t="s">
        <v>85</v>
      </c>
      <c r="V501">
        <v>3</v>
      </c>
    </row>
    <row r="502" spans="1:22">
      <c r="A502" t="s">
        <v>987</v>
      </c>
      <c r="B502" s="3">
        <v>45805</v>
      </c>
      <c r="C502" s="3">
        <v>45815</v>
      </c>
      <c r="D502" t="s">
        <v>787</v>
      </c>
      <c r="E502" t="s">
        <v>660</v>
      </c>
      <c r="F502" t="s">
        <v>152</v>
      </c>
      <c r="G502" t="s">
        <v>194</v>
      </c>
      <c r="H502" t="s">
        <v>202</v>
      </c>
      <c r="I502" t="s">
        <v>203</v>
      </c>
      <c r="J502" t="s">
        <v>78</v>
      </c>
      <c r="K502" t="s">
        <v>100</v>
      </c>
      <c r="L502" t="s">
        <v>359</v>
      </c>
      <c r="M502" t="s">
        <v>360</v>
      </c>
      <c r="N502" t="s">
        <v>93</v>
      </c>
      <c r="O502" t="s">
        <v>94</v>
      </c>
      <c r="P502">
        <v>1</v>
      </c>
      <c r="Q502" s="4">
        <v>429.86</v>
      </c>
      <c r="R502" s="5">
        <v>0.01</v>
      </c>
      <c r="S502" s="4">
        <v>23.18</v>
      </c>
      <c r="T502" t="s">
        <v>84</v>
      </c>
      <c r="U502" t="s">
        <v>85</v>
      </c>
      <c r="V502">
        <v>1</v>
      </c>
    </row>
    <row r="503" spans="1:22">
      <c r="A503" t="s">
        <v>988</v>
      </c>
      <c r="B503" s="3">
        <v>45805</v>
      </c>
      <c r="C503" s="3">
        <v>45809</v>
      </c>
      <c r="D503" t="s">
        <v>445</v>
      </c>
      <c r="E503" t="s">
        <v>446</v>
      </c>
      <c r="F503" t="s">
        <v>152</v>
      </c>
      <c r="G503" t="s">
        <v>126</v>
      </c>
      <c r="H503" t="s">
        <v>160</v>
      </c>
      <c r="I503" t="s">
        <v>182</v>
      </c>
      <c r="J503" t="s">
        <v>109</v>
      </c>
      <c r="K503" t="s">
        <v>168</v>
      </c>
      <c r="L503" t="s">
        <v>91</v>
      </c>
      <c r="M503" t="s">
        <v>92</v>
      </c>
      <c r="N503" t="s">
        <v>93</v>
      </c>
      <c r="O503" t="s">
        <v>94</v>
      </c>
      <c r="P503">
        <v>2</v>
      </c>
      <c r="Q503" s="4">
        <v>340.52</v>
      </c>
      <c r="R503" s="5">
        <v>0.24</v>
      </c>
      <c r="S503" s="4">
        <v>18.68</v>
      </c>
      <c r="T503" t="s">
        <v>105</v>
      </c>
      <c r="U503" t="s">
        <v>85</v>
      </c>
      <c r="V503">
        <v>3</v>
      </c>
    </row>
    <row r="504" spans="1:22">
      <c r="A504" t="s">
        <v>989</v>
      </c>
      <c r="B504" s="3">
        <v>45806</v>
      </c>
      <c r="C504" s="3">
        <v>45815</v>
      </c>
      <c r="D504" t="s">
        <v>504</v>
      </c>
      <c r="E504" t="s">
        <v>505</v>
      </c>
      <c r="F504" t="s">
        <v>74</v>
      </c>
      <c r="G504" t="s">
        <v>126</v>
      </c>
      <c r="H504" t="s">
        <v>160</v>
      </c>
      <c r="I504" t="s">
        <v>161</v>
      </c>
      <c r="J504" t="s">
        <v>129</v>
      </c>
      <c r="K504" t="s">
        <v>79</v>
      </c>
      <c r="L504" t="s">
        <v>301</v>
      </c>
      <c r="M504" t="s">
        <v>302</v>
      </c>
      <c r="N504" t="s">
        <v>120</v>
      </c>
      <c r="O504" t="s">
        <v>190</v>
      </c>
      <c r="P504">
        <v>3</v>
      </c>
      <c r="Q504" s="4">
        <v>140.34</v>
      </c>
      <c r="R504" s="5">
        <v>0.01</v>
      </c>
      <c r="S504" s="4">
        <v>22.16</v>
      </c>
      <c r="T504" t="s">
        <v>84</v>
      </c>
      <c r="U504" t="s">
        <v>85</v>
      </c>
      <c r="V504">
        <v>5</v>
      </c>
    </row>
    <row r="505" spans="1:22">
      <c r="A505" t="s">
        <v>990</v>
      </c>
      <c r="B505" s="3">
        <v>45808</v>
      </c>
      <c r="C505" s="3">
        <v>45809</v>
      </c>
      <c r="D505" t="s">
        <v>158</v>
      </c>
      <c r="E505" t="s">
        <v>159</v>
      </c>
      <c r="F505" t="s">
        <v>89</v>
      </c>
      <c r="G505" t="s">
        <v>126</v>
      </c>
      <c r="H505" t="s">
        <v>160</v>
      </c>
      <c r="I505" t="s">
        <v>161</v>
      </c>
      <c r="J505" t="s">
        <v>78</v>
      </c>
      <c r="K505" t="s">
        <v>90</v>
      </c>
      <c r="L505" t="s">
        <v>169</v>
      </c>
      <c r="M505" t="s">
        <v>170</v>
      </c>
      <c r="N505" t="s">
        <v>103</v>
      </c>
      <c r="O505" t="s">
        <v>171</v>
      </c>
      <c r="P505">
        <v>3</v>
      </c>
      <c r="Q505" s="4">
        <v>15.11</v>
      </c>
      <c r="R505" s="5">
        <v>0.28999999999999998</v>
      </c>
      <c r="S505" s="4">
        <v>14.71</v>
      </c>
      <c r="T505" t="s">
        <v>122</v>
      </c>
      <c r="U505" t="s">
        <v>85</v>
      </c>
      <c r="V505">
        <v>1</v>
      </c>
    </row>
    <row r="506" spans="1:22">
      <c r="A506" t="s">
        <v>991</v>
      </c>
      <c r="B506" s="3">
        <v>45808</v>
      </c>
      <c r="C506" s="3">
        <v>45809</v>
      </c>
      <c r="D506" t="s">
        <v>427</v>
      </c>
      <c r="E506" t="s">
        <v>428</v>
      </c>
      <c r="F506" t="s">
        <v>152</v>
      </c>
      <c r="G506" t="s">
        <v>194</v>
      </c>
      <c r="H506" t="s">
        <v>240</v>
      </c>
      <c r="I506" t="s">
        <v>241</v>
      </c>
      <c r="J506" t="s">
        <v>129</v>
      </c>
      <c r="K506" t="s">
        <v>90</v>
      </c>
      <c r="L506" t="s">
        <v>110</v>
      </c>
      <c r="M506" t="s">
        <v>111</v>
      </c>
      <c r="N506" t="s">
        <v>82</v>
      </c>
      <c r="O506" t="s">
        <v>112</v>
      </c>
      <c r="P506">
        <v>9</v>
      </c>
      <c r="Q506" s="4">
        <v>305.58999999999997</v>
      </c>
      <c r="R506" s="5">
        <v>0.04</v>
      </c>
      <c r="S506" s="4">
        <v>10.94</v>
      </c>
      <c r="T506" t="s">
        <v>105</v>
      </c>
      <c r="U506" t="s">
        <v>85</v>
      </c>
      <c r="V506">
        <v>5</v>
      </c>
    </row>
    <row r="507" spans="1:22">
      <c r="A507" t="s">
        <v>992</v>
      </c>
      <c r="B507" s="3">
        <v>45810</v>
      </c>
      <c r="C507" s="3">
        <v>45820</v>
      </c>
      <c r="D507" t="s">
        <v>667</v>
      </c>
      <c r="E507" t="s">
        <v>336</v>
      </c>
      <c r="F507" t="s">
        <v>152</v>
      </c>
      <c r="G507" t="s">
        <v>138</v>
      </c>
      <c r="H507" t="s">
        <v>457</v>
      </c>
      <c r="I507" t="s">
        <v>458</v>
      </c>
      <c r="J507" t="s">
        <v>219</v>
      </c>
      <c r="K507" t="s">
        <v>79</v>
      </c>
      <c r="L507" t="s">
        <v>162</v>
      </c>
      <c r="M507" t="s">
        <v>163</v>
      </c>
      <c r="N507" t="s">
        <v>120</v>
      </c>
      <c r="O507" t="s">
        <v>164</v>
      </c>
      <c r="P507">
        <v>2</v>
      </c>
      <c r="Q507" s="4">
        <v>929.35</v>
      </c>
      <c r="R507" s="5">
        <v>0.12</v>
      </c>
      <c r="S507" s="4">
        <v>5.64</v>
      </c>
      <c r="T507" t="s">
        <v>105</v>
      </c>
      <c r="U507" t="s">
        <v>85</v>
      </c>
    </row>
    <row r="508" spans="1:22">
      <c r="A508" t="s">
        <v>993</v>
      </c>
      <c r="B508" s="3">
        <v>45811</v>
      </c>
      <c r="C508" s="3">
        <v>45821</v>
      </c>
      <c r="D508" t="s">
        <v>150</v>
      </c>
      <c r="E508" t="s">
        <v>151</v>
      </c>
      <c r="F508" t="s">
        <v>152</v>
      </c>
      <c r="G508" t="s">
        <v>138</v>
      </c>
      <c r="H508" t="s">
        <v>153</v>
      </c>
      <c r="I508" t="s">
        <v>154</v>
      </c>
      <c r="J508" t="s">
        <v>109</v>
      </c>
      <c r="K508" t="s">
        <v>168</v>
      </c>
      <c r="L508" t="s">
        <v>284</v>
      </c>
      <c r="M508" t="s">
        <v>285</v>
      </c>
      <c r="N508" t="s">
        <v>103</v>
      </c>
      <c r="O508" t="s">
        <v>143</v>
      </c>
      <c r="P508">
        <v>6</v>
      </c>
      <c r="Q508" s="4">
        <v>28.13</v>
      </c>
      <c r="R508" s="5">
        <v>0.03</v>
      </c>
      <c r="S508" s="4">
        <v>7.35</v>
      </c>
      <c r="T508" t="s">
        <v>122</v>
      </c>
      <c r="U508" t="s">
        <v>85</v>
      </c>
      <c r="V508">
        <v>1</v>
      </c>
    </row>
    <row r="509" spans="1:22">
      <c r="A509" t="s">
        <v>994</v>
      </c>
      <c r="B509" s="3">
        <v>45813</v>
      </c>
      <c r="C509" s="3">
        <v>45815</v>
      </c>
      <c r="D509" t="s">
        <v>451</v>
      </c>
      <c r="E509" t="s">
        <v>452</v>
      </c>
      <c r="F509" t="s">
        <v>89</v>
      </c>
      <c r="G509" t="s">
        <v>126</v>
      </c>
      <c r="H509" t="s">
        <v>160</v>
      </c>
      <c r="I509" t="s">
        <v>161</v>
      </c>
      <c r="J509" t="s">
        <v>219</v>
      </c>
      <c r="K509" t="s">
        <v>90</v>
      </c>
      <c r="L509" t="s">
        <v>214</v>
      </c>
      <c r="M509" t="s">
        <v>215</v>
      </c>
      <c r="N509" t="s">
        <v>103</v>
      </c>
      <c r="O509" t="s">
        <v>171</v>
      </c>
      <c r="P509">
        <v>6</v>
      </c>
      <c r="Q509" s="4">
        <v>12.01</v>
      </c>
      <c r="R509" s="5">
        <v>0.11</v>
      </c>
      <c r="S509" s="4">
        <v>16.84</v>
      </c>
      <c r="T509" t="s">
        <v>134</v>
      </c>
      <c r="U509" t="s">
        <v>85</v>
      </c>
      <c r="V509">
        <v>3</v>
      </c>
    </row>
    <row r="510" spans="1:22">
      <c r="A510" t="s">
        <v>995</v>
      </c>
      <c r="B510" s="3">
        <v>45813</v>
      </c>
      <c r="C510" s="3">
        <v>45819</v>
      </c>
      <c r="D510" t="s">
        <v>478</v>
      </c>
      <c r="E510" t="s">
        <v>479</v>
      </c>
      <c r="F510" t="s">
        <v>74</v>
      </c>
      <c r="G510" t="s">
        <v>194</v>
      </c>
      <c r="H510" t="s">
        <v>240</v>
      </c>
      <c r="I510" t="s">
        <v>241</v>
      </c>
      <c r="J510" t="s">
        <v>109</v>
      </c>
      <c r="K510" t="s">
        <v>168</v>
      </c>
      <c r="L510" t="s">
        <v>207</v>
      </c>
      <c r="M510" t="s">
        <v>208</v>
      </c>
      <c r="N510" t="s">
        <v>120</v>
      </c>
      <c r="O510" t="s">
        <v>164</v>
      </c>
      <c r="P510">
        <v>4</v>
      </c>
      <c r="Q510" s="4">
        <v>1355.58</v>
      </c>
      <c r="R510" s="5">
        <v>0.11</v>
      </c>
      <c r="S510" s="4">
        <v>14.09</v>
      </c>
      <c r="T510" t="s">
        <v>105</v>
      </c>
      <c r="U510" t="s">
        <v>85</v>
      </c>
      <c r="V510">
        <v>2</v>
      </c>
    </row>
    <row r="511" spans="1:22">
      <c r="A511" t="s">
        <v>996</v>
      </c>
      <c r="B511" s="3">
        <v>45815</v>
      </c>
      <c r="C511" s="3">
        <v>45821</v>
      </c>
      <c r="D511" t="s">
        <v>392</v>
      </c>
      <c r="E511" t="s">
        <v>393</v>
      </c>
      <c r="F511" t="s">
        <v>74</v>
      </c>
      <c r="G511" t="s">
        <v>126</v>
      </c>
      <c r="H511" t="s">
        <v>160</v>
      </c>
      <c r="I511" t="s">
        <v>161</v>
      </c>
      <c r="J511" t="s">
        <v>129</v>
      </c>
      <c r="K511" t="s">
        <v>100</v>
      </c>
      <c r="L511" t="s">
        <v>169</v>
      </c>
      <c r="M511" t="s">
        <v>170</v>
      </c>
      <c r="N511" t="s">
        <v>103</v>
      </c>
      <c r="O511" t="s">
        <v>171</v>
      </c>
      <c r="P511">
        <v>9</v>
      </c>
      <c r="Q511" s="4">
        <v>14.28</v>
      </c>
      <c r="R511" s="5">
        <v>0.25</v>
      </c>
      <c r="S511" s="4">
        <v>13.93</v>
      </c>
      <c r="T511" t="s">
        <v>134</v>
      </c>
      <c r="U511" t="s">
        <v>85</v>
      </c>
      <c r="V511">
        <v>4</v>
      </c>
    </row>
    <row r="512" spans="1:22">
      <c r="A512" t="s">
        <v>997</v>
      </c>
      <c r="B512" s="3">
        <v>45817</v>
      </c>
      <c r="C512" s="3">
        <v>45820</v>
      </c>
      <c r="D512" t="s">
        <v>712</v>
      </c>
      <c r="E512" t="s">
        <v>515</v>
      </c>
      <c r="F512" t="s">
        <v>152</v>
      </c>
      <c r="G512" t="s">
        <v>138</v>
      </c>
      <c r="H512" t="s">
        <v>153</v>
      </c>
      <c r="I512" t="s">
        <v>154</v>
      </c>
      <c r="J512" t="s">
        <v>129</v>
      </c>
      <c r="K512" t="s">
        <v>79</v>
      </c>
      <c r="L512" t="s">
        <v>80</v>
      </c>
      <c r="M512" t="s">
        <v>81</v>
      </c>
      <c r="N512" t="s">
        <v>82</v>
      </c>
      <c r="O512" t="s">
        <v>83</v>
      </c>
      <c r="P512">
        <v>1</v>
      </c>
      <c r="Q512" s="4">
        <v>243.18</v>
      </c>
      <c r="R512" s="5">
        <v>0.08</v>
      </c>
      <c r="S512" s="4">
        <v>11.45</v>
      </c>
      <c r="T512" t="s">
        <v>122</v>
      </c>
      <c r="U512" t="s">
        <v>85</v>
      </c>
      <c r="V512">
        <v>1</v>
      </c>
    </row>
    <row r="513" spans="1:22">
      <c r="A513" t="s">
        <v>998</v>
      </c>
      <c r="B513" s="3">
        <v>45820</v>
      </c>
      <c r="C513" s="3">
        <v>45823</v>
      </c>
      <c r="D513" t="s">
        <v>124</v>
      </c>
      <c r="E513" t="s">
        <v>125</v>
      </c>
      <c r="F513" t="s">
        <v>74</v>
      </c>
      <c r="G513" t="s">
        <v>126</v>
      </c>
      <c r="H513" t="s">
        <v>127</v>
      </c>
      <c r="I513" t="s">
        <v>128</v>
      </c>
      <c r="J513" t="s">
        <v>78</v>
      </c>
      <c r="K513" t="s">
        <v>79</v>
      </c>
      <c r="L513" t="s">
        <v>162</v>
      </c>
      <c r="M513" t="s">
        <v>163</v>
      </c>
      <c r="N513" t="s">
        <v>120</v>
      </c>
      <c r="O513" t="s">
        <v>164</v>
      </c>
      <c r="P513">
        <v>4</v>
      </c>
      <c r="Q513" s="4">
        <v>867.54</v>
      </c>
      <c r="R513" s="5">
        <v>0.03</v>
      </c>
      <c r="S513" s="4">
        <v>15.95</v>
      </c>
      <c r="T513" t="s">
        <v>122</v>
      </c>
      <c r="U513" t="s">
        <v>85</v>
      </c>
      <c r="V513">
        <v>3</v>
      </c>
    </row>
    <row r="514" spans="1:22">
      <c r="A514" t="s">
        <v>999</v>
      </c>
      <c r="B514" s="3">
        <v>45820</v>
      </c>
      <c r="C514" s="3">
        <v>45821</v>
      </c>
      <c r="D514" t="s">
        <v>158</v>
      </c>
      <c r="E514" t="s">
        <v>159</v>
      </c>
      <c r="F514" t="s">
        <v>89</v>
      </c>
      <c r="G514" t="s">
        <v>126</v>
      </c>
      <c r="H514" t="s">
        <v>160</v>
      </c>
      <c r="I514" t="s">
        <v>161</v>
      </c>
      <c r="J514" t="s">
        <v>78</v>
      </c>
      <c r="K514" t="s">
        <v>168</v>
      </c>
      <c r="L514" t="s">
        <v>110</v>
      </c>
      <c r="M514" t="s">
        <v>111</v>
      </c>
      <c r="N514" t="s">
        <v>82</v>
      </c>
      <c r="O514" t="s">
        <v>112</v>
      </c>
      <c r="P514">
        <v>2</v>
      </c>
      <c r="Q514" s="4">
        <v>301.66000000000003</v>
      </c>
      <c r="R514" s="5">
        <v>0.05</v>
      </c>
      <c r="S514" s="4">
        <v>16.16</v>
      </c>
      <c r="T514" t="s">
        <v>122</v>
      </c>
      <c r="U514" t="s">
        <v>85</v>
      </c>
    </row>
    <row r="515" spans="1:22">
      <c r="A515" t="s">
        <v>1000</v>
      </c>
      <c r="B515" s="3">
        <v>45821</v>
      </c>
      <c r="C515" s="3">
        <v>45822</v>
      </c>
      <c r="D515" t="s">
        <v>728</v>
      </c>
      <c r="E515" t="s">
        <v>333</v>
      </c>
      <c r="F515" t="s">
        <v>89</v>
      </c>
      <c r="G515" t="s">
        <v>194</v>
      </c>
      <c r="H515" t="s">
        <v>195</v>
      </c>
      <c r="I515" t="s">
        <v>196</v>
      </c>
      <c r="J515" t="s">
        <v>129</v>
      </c>
      <c r="K515" t="s">
        <v>147</v>
      </c>
      <c r="L515" t="s">
        <v>80</v>
      </c>
      <c r="M515" t="s">
        <v>81</v>
      </c>
      <c r="N515" t="s">
        <v>82</v>
      </c>
      <c r="O515" t="s">
        <v>83</v>
      </c>
      <c r="P515">
        <v>10</v>
      </c>
      <c r="Q515" s="4">
        <v>239.37</v>
      </c>
      <c r="R515" s="5">
        <v>0.04</v>
      </c>
      <c r="S515" s="4">
        <v>11.34</v>
      </c>
      <c r="T515" t="s">
        <v>134</v>
      </c>
      <c r="U515" t="s">
        <v>85</v>
      </c>
      <c r="V515">
        <v>4</v>
      </c>
    </row>
    <row r="516" spans="1:22">
      <c r="A516" t="s">
        <v>1001</v>
      </c>
      <c r="B516" s="3">
        <v>45821</v>
      </c>
      <c r="C516" s="3">
        <v>45829</v>
      </c>
      <c r="D516" t="s">
        <v>406</v>
      </c>
      <c r="E516" t="s">
        <v>407</v>
      </c>
      <c r="F516" t="s">
        <v>89</v>
      </c>
      <c r="G516" t="s">
        <v>75</v>
      </c>
      <c r="H516" t="s">
        <v>116</v>
      </c>
      <c r="I516" t="s">
        <v>117</v>
      </c>
      <c r="J516" t="s">
        <v>219</v>
      </c>
      <c r="K516" t="s">
        <v>100</v>
      </c>
      <c r="L516" t="s">
        <v>207</v>
      </c>
      <c r="M516" t="s">
        <v>208</v>
      </c>
      <c r="N516" t="s">
        <v>120</v>
      </c>
      <c r="O516" t="s">
        <v>164</v>
      </c>
      <c r="P516">
        <v>3</v>
      </c>
      <c r="Q516" s="4">
        <v>1409.7</v>
      </c>
      <c r="R516" s="5">
        <v>0.03</v>
      </c>
      <c r="S516" s="4">
        <v>17.920000000000002</v>
      </c>
      <c r="T516" t="s">
        <v>134</v>
      </c>
      <c r="U516" t="s">
        <v>85</v>
      </c>
    </row>
    <row r="517" spans="1:22">
      <c r="A517" t="s">
        <v>1002</v>
      </c>
      <c r="B517" s="3">
        <v>45821</v>
      </c>
      <c r="C517" s="3">
        <v>45826</v>
      </c>
      <c r="D517" t="s">
        <v>332</v>
      </c>
      <c r="E517" t="s">
        <v>333</v>
      </c>
      <c r="F517" t="s">
        <v>74</v>
      </c>
      <c r="G517" t="s">
        <v>126</v>
      </c>
      <c r="H517" t="s">
        <v>127</v>
      </c>
      <c r="I517" t="s">
        <v>128</v>
      </c>
      <c r="J517" t="s">
        <v>78</v>
      </c>
      <c r="K517" t="s">
        <v>90</v>
      </c>
      <c r="L517" t="s">
        <v>301</v>
      </c>
      <c r="M517" t="s">
        <v>302</v>
      </c>
      <c r="N517" t="s">
        <v>120</v>
      </c>
      <c r="O517" t="s">
        <v>190</v>
      </c>
      <c r="P517">
        <v>1</v>
      </c>
      <c r="Q517" s="4">
        <v>137.78</v>
      </c>
      <c r="R517" s="5">
        <v>0.06</v>
      </c>
      <c r="S517" s="4">
        <v>19.46</v>
      </c>
      <c r="T517" t="s">
        <v>134</v>
      </c>
      <c r="U517" t="s">
        <v>85</v>
      </c>
    </row>
    <row r="518" spans="1:22">
      <c r="A518" t="s">
        <v>1003</v>
      </c>
      <c r="B518" s="3">
        <v>45822</v>
      </c>
      <c r="C518" s="3">
        <v>45824</v>
      </c>
      <c r="D518" t="s">
        <v>136</v>
      </c>
      <c r="E518" t="s">
        <v>137</v>
      </c>
      <c r="F518" t="s">
        <v>74</v>
      </c>
      <c r="G518" t="s">
        <v>138</v>
      </c>
      <c r="H518" t="s">
        <v>139</v>
      </c>
      <c r="I518" t="s">
        <v>140</v>
      </c>
      <c r="J518" t="s">
        <v>129</v>
      </c>
      <c r="K518" t="s">
        <v>130</v>
      </c>
      <c r="L518" t="s">
        <v>214</v>
      </c>
      <c r="M518" t="s">
        <v>215</v>
      </c>
      <c r="N518" t="s">
        <v>103</v>
      </c>
      <c r="O518" t="s">
        <v>171</v>
      </c>
      <c r="P518">
        <v>10</v>
      </c>
      <c r="Q518" s="4">
        <v>12.14</v>
      </c>
      <c r="R518" s="5">
        <v>7.0000000000000007E-2</v>
      </c>
      <c r="S518" s="4">
        <v>16.21</v>
      </c>
      <c r="T518" t="s">
        <v>122</v>
      </c>
      <c r="U518" t="s">
        <v>85</v>
      </c>
      <c r="V518">
        <v>2</v>
      </c>
    </row>
    <row r="519" spans="1:22">
      <c r="A519" t="s">
        <v>1004</v>
      </c>
      <c r="B519" s="3">
        <v>45825</v>
      </c>
      <c r="C519" s="3">
        <v>45830</v>
      </c>
      <c r="D519" t="s">
        <v>345</v>
      </c>
      <c r="E519" t="s">
        <v>346</v>
      </c>
      <c r="F519" t="s">
        <v>89</v>
      </c>
      <c r="G519" t="s">
        <v>138</v>
      </c>
      <c r="H519" t="s">
        <v>347</v>
      </c>
      <c r="I519" t="s">
        <v>348</v>
      </c>
      <c r="J519" t="s">
        <v>78</v>
      </c>
      <c r="K519" t="s">
        <v>100</v>
      </c>
      <c r="L519" t="s">
        <v>214</v>
      </c>
      <c r="M519" t="s">
        <v>215</v>
      </c>
      <c r="N519" t="s">
        <v>103</v>
      </c>
      <c r="O519" t="s">
        <v>171</v>
      </c>
      <c r="P519">
        <v>5</v>
      </c>
      <c r="Q519" s="4">
        <v>11.71</v>
      </c>
      <c r="R519" s="5">
        <v>0.04</v>
      </c>
      <c r="S519" s="4">
        <v>15.79</v>
      </c>
      <c r="T519" t="s">
        <v>84</v>
      </c>
      <c r="U519" t="s">
        <v>85</v>
      </c>
      <c r="V519">
        <v>3</v>
      </c>
    </row>
    <row r="520" spans="1:22">
      <c r="A520" t="s">
        <v>1005</v>
      </c>
      <c r="B520" s="3">
        <v>45826</v>
      </c>
      <c r="C520" s="3">
        <v>45843</v>
      </c>
      <c r="D520" t="s">
        <v>427</v>
      </c>
      <c r="E520" t="s">
        <v>428</v>
      </c>
      <c r="F520" t="s">
        <v>152</v>
      </c>
      <c r="G520" t="s">
        <v>194</v>
      </c>
      <c r="H520" t="s">
        <v>240</v>
      </c>
      <c r="I520" t="s">
        <v>241</v>
      </c>
      <c r="J520" t="s">
        <v>129</v>
      </c>
      <c r="K520" t="s">
        <v>79</v>
      </c>
      <c r="L520" t="s">
        <v>337</v>
      </c>
      <c r="M520" t="s">
        <v>338</v>
      </c>
      <c r="N520" t="s">
        <v>93</v>
      </c>
      <c r="O520" t="s">
        <v>236</v>
      </c>
      <c r="P520">
        <v>3</v>
      </c>
      <c r="Q520" s="4">
        <v>253.89</v>
      </c>
      <c r="R520" s="5">
        <v>0.04</v>
      </c>
      <c r="S520" s="4">
        <v>29.69</v>
      </c>
      <c r="T520" t="s">
        <v>122</v>
      </c>
      <c r="U520" t="s">
        <v>85</v>
      </c>
      <c r="V520">
        <v>4</v>
      </c>
    </row>
    <row r="521" spans="1:22">
      <c r="A521" t="s">
        <v>1006</v>
      </c>
      <c r="B521" s="3">
        <v>45827</v>
      </c>
      <c r="C521" s="3">
        <v>45833</v>
      </c>
      <c r="D521" t="s">
        <v>500</v>
      </c>
      <c r="E521" t="s">
        <v>501</v>
      </c>
      <c r="F521" t="s">
        <v>152</v>
      </c>
      <c r="G521" t="s">
        <v>194</v>
      </c>
      <c r="H521" t="s">
        <v>202</v>
      </c>
      <c r="I521" t="s">
        <v>203</v>
      </c>
      <c r="J521" t="s">
        <v>129</v>
      </c>
      <c r="K521" t="s">
        <v>79</v>
      </c>
      <c r="L521" t="s">
        <v>207</v>
      </c>
      <c r="M521" t="s">
        <v>208</v>
      </c>
      <c r="N521" t="s">
        <v>120</v>
      </c>
      <c r="O521" t="s">
        <v>164</v>
      </c>
      <c r="P521">
        <v>2</v>
      </c>
      <c r="Q521" s="4">
        <v>1408.32</v>
      </c>
      <c r="R521" s="5">
        <v>0.09</v>
      </c>
      <c r="S521" s="4">
        <v>10.62</v>
      </c>
      <c r="T521" t="s">
        <v>84</v>
      </c>
      <c r="U521" t="s">
        <v>85</v>
      </c>
      <c r="V521">
        <v>1</v>
      </c>
    </row>
    <row r="522" spans="1:22">
      <c r="A522" t="s">
        <v>1007</v>
      </c>
      <c r="B522" s="3">
        <v>45827</v>
      </c>
      <c r="C522" s="3">
        <v>45832</v>
      </c>
      <c r="D522" t="s">
        <v>913</v>
      </c>
      <c r="E522" t="s">
        <v>914</v>
      </c>
      <c r="F522" t="s">
        <v>74</v>
      </c>
      <c r="G522" t="s">
        <v>138</v>
      </c>
      <c r="H522" t="s">
        <v>153</v>
      </c>
      <c r="I522" t="s">
        <v>154</v>
      </c>
      <c r="J522" t="s">
        <v>129</v>
      </c>
      <c r="K522" t="s">
        <v>100</v>
      </c>
      <c r="L522" t="s">
        <v>207</v>
      </c>
      <c r="M522" t="s">
        <v>208</v>
      </c>
      <c r="N522" t="s">
        <v>120</v>
      </c>
      <c r="O522" t="s">
        <v>164</v>
      </c>
      <c r="P522">
        <v>2</v>
      </c>
      <c r="Q522" s="4">
        <v>1378.7</v>
      </c>
      <c r="R522" s="5">
        <v>0.09</v>
      </c>
      <c r="S522" s="4">
        <v>22.51</v>
      </c>
      <c r="T522" t="s">
        <v>122</v>
      </c>
      <c r="U522" t="s">
        <v>85</v>
      </c>
      <c r="V522">
        <v>4</v>
      </c>
    </row>
    <row r="523" spans="1:22">
      <c r="A523" t="s">
        <v>1008</v>
      </c>
      <c r="B523" s="3">
        <v>45827</v>
      </c>
      <c r="C523" s="3">
        <v>45831</v>
      </c>
      <c r="D523" t="s">
        <v>550</v>
      </c>
      <c r="E523" t="s">
        <v>218</v>
      </c>
      <c r="F523" t="s">
        <v>152</v>
      </c>
      <c r="G523" t="s">
        <v>126</v>
      </c>
      <c r="H523" t="s">
        <v>127</v>
      </c>
      <c r="I523" t="s">
        <v>128</v>
      </c>
      <c r="J523" t="s">
        <v>129</v>
      </c>
      <c r="K523" t="s">
        <v>90</v>
      </c>
      <c r="L523" t="s">
        <v>249</v>
      </c>
      <c r="M523" t="s">
        <v>250</v>
      </c>
      <c r="N523" t="s">
        <v>103</v>
      </c>
      <c r="O523" t="s">
        <v>251</v>
      </c>
      <c r="P523">
        <v>7</v>
      </c>
      <c r="Q523" s="4">
        <v>21.96</v>
      </c>
      <c r="R523" s="5">
        <v>0.04</v>
      </c>
      <c r="S523" s="4">
        <v>12.15</v>
      </c>
      <c r="T523" t="s">
        <v>122</v>
      </c>
      <c r="U523" t="s">
        <v>85</v>
      </c>
      <c r="V523">
        <v>4</v>
      </c>
    </row>
    <row r="524" spans="1:22">
      <c r="A524" t="s">
        <v>1009</v>
      </c>
      <c r="B524" s="3">
        <v>45828</v>
      </c>
      <c r="C524" s="3">
        <v>45842</v>
      </c>
      <c r="D524" t="s">
        <v>667</v>
      </c>
      <c r="E524" t="s">
        <v>336</v>
      </c>
      <c r="F524" t="s">
        <v>152</v>
      </c>
      <c r="G524" t="s">
        <v>138</v>
      </c>
      <c r="H524" t="s">
        <v>457</v>
      </c>
      <c r="I524" t="s">
        <v>458</v>
      </c>
      <c r="J524" t="s">
        <v>78</v>
      </c>
      <c r="K524" t="s">
        <v>79</v>
      </c>
      <c r="L524" t="s">
        <v>242</v>
      </c>
      <c r="M524" t="s">
        <v>243</v>
      </c>
      <c r="N524" t="s">
        <v>120</v>
      </c>
      <c r="O524" t="s">
        <v>133</v>
      </c>
      <c r="P524">
        <v>3</v>
      </c>
      <c r="Q524" s="4">
        <v>197.56</v>
      </c>
      <c r="R524" s="5">
        <v>0.11</v>
      </c>
      <c r="S524" s="4">
        <v>9.4</v>
      </c>
      <c r="T524" t="s">
        <v>84</v>
      </c>
      <c r="U524" t="s">
        <v>85</v>
      </c>
      <c r="V524">
        <v>5</v>
      </c>
    </row>
    <row r="525" spans="1:22">
      <c r="A525" t="s">
        <v>1010</v>
      </c>
      <c r="B525" s="3">
        <v>45828</v>
      </c>
      <c r="C525" s="3">
        <v>45832</v>
      </c>
      <c r="D525" t="s">
        <v>294</v>
      </c>
      <c r="E525" t="s">
        <v>146</v>
      </c>
      <c r="F525" t="s">
        <v>152</v>
      </c>
      <c r="G525" t="s">
        <v>194</v>
      </c>
      <c r="H525" t="s">
        <v>225</v>
      </c>
      <c r="I525" t="s">
        <v>226</v>
      </c>
      <c r="J525" t="s">
        <v>129</v>
      </c>
      <c r="K525" t="s">
        <v>168</v>
      </c>
      <c r="L525" t="s">
        <v>234</v>
      </c>
      <c r="M525" t="s">
        <v>235</v>
      </c>
      <c r="N525" t="s">
        <v>93</v>
      </c>
      <c r="O525" t="s">
        <v>236</v>
      </c>
      <c r="P525">
        <v>1</v>
      </c>
      <c r="Q525" s="4">
        <v>144.05000000000001</v>
      </c>
      <c r="R525" s="5">
        <v>0.08</v>
      </c>
      <c r="S525" s="4">
        <v>23.99</v>
      </c>
      <c r="T525" t="s">
        <v>122</v>
      </c>
      <c r="U525" t="s">
        <v>85</v>
      </c>
      <c r="V525">
        <v>2</v>
      </c>
    </row>
    <row r="526" spans="1:22">
      <c r="A526" t="s">
        <v>1011</v>
      </c>
      <c r="B526" s="3">
        <v>45830</v>
      </c>
      <c r="C526" s="3">
        <v>45834</v>
      </c>
      <c r="D526" t="s">
        <v>124</v>
      </c>
      <c r="E526" t="s">
        <v>125</v>
      </c>
      <c r="F526" t="s">
        <v>74</v>
      </c>
      <c r="G526" t="s">
        <v>126</v>
      </c>
      <c r="H526" t="s">
        <v>127</v>
      </c>
      <c r="I526" t="s">
        <v>128</v>
      </c>
      <c r="J526" t="s">
        <v>78</v>
      </c>
      <c r="K526" t="s">
        <v>147</v>
      </c>
      <c r="L526" t="s">
        <v>169</v>
      </c>
      <c r="M526" t="s">
        <v>170</v>
      </c>
      <c r="N526" t="s">
        <v>103</v>
      </c>
      <c r="O526" t="s">
        <v>171</v>
      </c>
      <c r="P526">
        <v>6</v>
      </c>
      <c r="Q526" s="4">
        <v>15.16</v>
      </c>
      <c r="R526" s="5">
        <v>0.1</v>
      </c>
      <c r="S526" s="4">
        <v>13.17</v>
      </c>
      <c r="T526" t="s">
        <v>84</v>
      </c>
      <c r="U526" t="s">
        <v>85</v>
      </c>
      <c r="V526">
        <v>5</v>
      </c>
    </row>
    <row r="527" spans="1:22">
      <c r="A527" t="s">
        <v>1012</v>
      </c>
      <c r="B527" s="3">
        <v>45830</v>
      </c>
      <c r="C527" s="3">
        <v>45840</v>
      </c>
      <c r="D527" t="s">
        <v>627</v>
      </c>
      <c r="E527" t="s">
        <v>542</v>
      </c>
      <c r="F527" t="s">
        <v>152</v>
      </c>
      <c r="G527" t="s">
        <v>194</v>
      </c>
      <c r="H527" t="s">
        <v>240</v>
      </c>
      <c r="I527" t="s">
        <v>241</v>
      </c>
      <c r="J527" t="s">
        <v>78</v>
      </c>
      <c r="K527" t="s">
        <v>147</v>
      </c>
      <c r="L527" t="s">
        <v>155</v>
      </c>
      <c r="M527" t="s">
        <v>156</v>
      </c>
      <c r="N527" t="s">
        <v>82</v>
      </c>
      <c r="O527" t="s">
        <v>112</v>
      </c>
      <c r="P527">
        <v>10</v>
      </c>
      <c r="Q527" s="4">
        <v>178.03</v>
      </c>
      <c r="R527" s="5">
        <v>0.1</v>
      </c>
      <c r="S527" s="4">
        <v>14.45</v>
      </c>
      <c r="T527" t="s">
        <v>84</v>
      </c>
      <c r="U527" t="s">
        <v>85</v>
      </c>
      <c r="V527">
        <v>3</v>
      </c>
    </row>
    <row r="528" spans="1:22">
      <c r="A528" t="s">
        <v>1013</v>
      </c>
      <c r="B528" s="3">
        <v>45832</v>
      </c>
      <c r="C528" s="3">
        <v>45834</v>
      </c>
      <c r="D528" t="s">
        <v>392</v>
      </c>
      <c r="E528" t="s">
        <v>393</v>
      </c>
      <c r="F528" t="s">
        <v>74</v>
      </c>
      <c r="G528" t="s">
        <v>126</v>
      </c>
      <c r="H528" t="s">
        <v>160</v>
      </c>
      <c r="I528" t="s">
        <v>161</v>
      </c>
      <c r="J528" t="s">
        <v>219</v>
      </c>
      <c r="K528" t="s">
        <v>130</v>
      </c>
      <c r="L528" t="s">
        <v>131</v>
      </c>
      <c r="M528" t="s">
        <v>132</v>
      </c>
      <c r="N528" t="s">
        <v>120</v>
      </c>
      <c r="O528" t="s">
        <v>133</v>
      </c>
      <c r="P528">
        <v>1</v>
      </c>
      <c r="Q528" s="4">
        <v>85.37</v>
      </c>
      <c r="R528" s="5">
        <v>0.06</v>
      </c>
      <c r="S528" s="4">
        <v>9.27</v>
      </c>
      <c r="T528" t="s">
        <v>122</v>
      </c>
      <c r="U528" t="s">
        <v>85</v>
      </c>
      <c r="V528">
        <v>2</v>
      </c>
    </row>
    <row r="529" spans="1:22">
      <c r="A529" t="s">
        <v>1014</v>
      </c>
      <c r="B529" s="3">
        <v>45832</v>
      </c>
      <c r="C529" s="3">
        <v>45834</v>
      </c>
      <c r="D529" t="s">
        <v>268</v>
      </c>
      <c r="E529" t="s">
        <v>269</v>
      </c>
      <c r="F529" t="s">
        <v>74</v>
      </c>
      <c r="G529" t="s">
        <v>75</v>
      </c>
      <c r="H529" t="s">
        <v>212</v>
      </c>
      <c r="I529" t="s">
        <v>213</v>
      </c>
      <c r="J529" t="s">
        <v>219</v>
      </c>
      <c r="K529" t="s">
        <v>90</v>
      </c>
      <c r="L529" t="s">
        <v>254</v>
      </c>
      <c r="M529" t="s">
        <v>255</v>
      </c>
      <c r="N529" t="s">
        <v>82</v>
      </c>
      <c r="O529" t="s">
        <v>83</v>
      </c>
      <c r="P529">
        <v>3</v>
      </c>
      <c r="Q529" s="4">
        <v>94.99</v>
      </c>
      <c r="R529" s="5">
        <v>7.0000000000000007E-2</v>
      </c>
      <c r="S529" s="4">
        <v>6.21</v>
      </c>
      <c r="T529" t="s">
        <v>105</v>
      </c>
      <c r="U529" t="s">
        <v>85</v>
      </c>
      <c r="V529">
        <v>3</v>
      </c>
    </row>
    <row r="530" spans="1:22">
      <c r="A530" t="s">
        <v>1015</v>
      </c>
      <c r="B530" s="3">
        <v>45834</v>
      </c>
      <c r="C530" s="3">
        <v>45838</v>
      </c>
      <c r="D530" t="s">
        <v>467</v>
      </c>
      <c r="E530" t="s">
        <v>363</v>
      </c>
      <c r="F530" t="s">
        <v>152</v>
      </c>
      <c r="G530" t="s">
        <v>75</v>
      </c>
      <c r="H530" t="s">
        <v>76</v>
      </c>
      <c r="I530" t="s">
        <v>77</v>
      </c>
      <c r="J530" t="s">
        <v>219</v>
      </c>
      <c r="K530" t="s">
        <v>147</v>
      </c>
      <c r="L530" t="s">
        <v>234</v>
      </c>
      <c r="M530" t="s">
        <v>235</v>
      </c>
      <c r="N530" t="s">
        <v>93</v>
      </c>
      <c r="O530" t="s">
        <v>236</v>
      </c>
      <c r="P530">
        <v>3</v>
      </c>
      <c r="Q530" s="4">
        <v>153.19</v>
      </c>
      <c r="R530" s="5">
        <v>0.03</v>
      </c>
      <c r="S530" s="4">
        <v>22.06</v>
      </c>
      <c r="T530" t="s">
        <v>105</v>
      </c>
      <c r="U530" t="s">
        <v>85</v>
      </c>
    </row>
    <row r="531" spans="1:22">
      <c r="A531" t="s">
        <v>1016</v>
      </c>
      <c r="B531" s="3">
        <v>45835</v>
      </c>
      <c r="C531" s="3">
        <v>45838</v>
      </c>
      <c r="D531" t="s">
        <v>456</v>
      </c>
      <c r="E531" t="s">
        <v>369</v>
      </c>
      <c r="F531" t="s">
        <v>89</v>
      </c>
      <c r="G531" t="s">
        <v>138</v>
      </c>
      <c r="H531" t="s">
        <v>457</v>
      </c>
      <c r="I531" t="s">
        <v>458</v>
      </c>
      <c r="J531" t="s">
        <v>109</v>
      </c>
      <c r="K531" t="s">
        <v>168</v>
      </c>
      <c r="L531" t="s">
        <v>254</v>
      </c>
      <c r="M531" t="s">
        <v>255</v>
      </c>
      <c r="N531" t="s">
        <v>82</v>
      </c>
      <c r="O531" t="s">
        <v>83</v>
      </c>
      <c r="P531">
        <v>8</v>
      </c>
      <c r="Q531" s="4">
        <v>99.25</v>
      </c>
      <c r="R531" s="5">
        <v>0.01</v>
      </c>
      <c r="S531" s="4">
        <v>16.32</v>
      </c>
      <c r="T531" t="s">
        <v>134</v>
      </c>
      <c r="U531" t="s">
        <v>85</v>
      </c>
      <c r="V531">
        <v>2</v>
      </c>
    </row>
    <row r="532" spans="1:22">
      <c r="A532" t="s">
        <v>1017</v>
      </c>
      <c r="B532" s="3">
        <v>45835</v>
      </c>
      <c r="C532" s="3">
        <v>45840</v>
      </c>
      <c r="D532" t="s">
        <v>332</v>
      </c>
      <c r="E532" t="s">
        <v>333</v>
      </c>
      <c r="F532" t="s">
        <v>74</v>
      </c>
      <c r="G532" t="s">
        <v>126</v>
      </c>
      <c r="H532" t="s">
        <v>127</v>
      </c>
      <c r="I532" t="s">
        <v>128</v>
      </c>
      <c r="J532" t="s">
        <v>109</v>
      </c>
      <c r="K532" t="s">
        <v>168</v>
      </c>
      <c r="L532" t="s">
        <v>175</v>
      </c>
      <c r="M532" t="s">
        <v>176</v>
      </c>
      <c r="N532" t="s">
        <v>93</v>
      </c>
      <c r="O532" t="s">
        <v>177</v>
      </c>
      <c r="P532">
        <v>1</v>
      </c>
      <c r="Q532" s="4">
        <v>168.38</v>
      </c>
      <c r="R532" s="5">
        <v>0.12</v>
      </c>
      <c r="S532" s="4">
        <v>24.03</v>
      </c>
      <c r="T532" t="s">
        <v>122</v>
      </c>
      <c r="U532" t="s">
        <v>148</v>
      </c>
      <c r="V532">
        <v>5</v>
      </c>
    </row>
    <row r="533" spans="1:22">
      <c r="A533" t="s">
        <v>1018</v>
      </c>
      <c r="B533" s="3">
        <v>45836</v>
      </c>
      <c r="C533" s="3">
        <v>45843</v>
      </c>
      <c r="D533" t="s">
        <v>305</v>
      </c>
      <c r="E533" t="s">
        <v>306</v>
      </c>
      <c r="F533" t="s">
        <v>152</v>
      </c>
      <c r="G533" t="s">
        <v>138</v>
      </c>
      <c r="H533" t="s">
        <v>186</v>
      </c>
      <c r="I533" t="s">
        <v>187</v>
      </c>
      <c r="J533" t="s">
        <v>78</v>
      </c>
      <c r="K533" t="s">
        <v>147</v>
      </c>
      <c r="L533" t="s">
        <v>254</v>
      </c>
      <c r="M533" t="s">
        <v>255</v>
      </c>
      <c r="N533" t="s">
        <v>82</v>
      </c>
      <c r="O533" t="s">
        <v>83</v>
      </c>
      <c r="P533">
        <v>1</v>
      </c>
      <c r="Q533" s="4">
        <v>90.61</v>
      </c>
      <c r="R533" s="5">
        <v>0.06</v>
      </c>
      <c r="S533" s="4">
        <v>6.62</v>
      </c>
      <c r="T533" t="s">
        <v>84</v>
      </c>
      <c r="U533" t="s">
        <v>85</v>
      </c>
      <c r="V533">
        <v>2</v>
      </c>
    </row>
    <row r="534" spans="1:22">
      <c r="A534" t="s">
        <v>1019</v>
      </c>
      <c r="B534" s="3">
        <v>45839</v>
      </c>
      <c r="C534" s="3">
        <v>45845</v>
      </c>
      <c r="D534" t="s">
        <v>96</v>
      </c>
      <c r="E534" t="s">
        <v>97</v>
      </c>
      <c r="F534" t="s">
        <v>74</v>
      </c>
      <c r="G534" t="s">
        <v>75</v>
      </c>
      <c r="H534" t="s">
        <v>98</v>
      </c>
      <c r="I534" t="s">
        <v>99</v>
      </c>
      <c r="J534" t="s">
        <v>129</v>
      </c>
      <c r="K534" t="s">
        <v>79</v>
      </c>
      <c r="L534" t="s">
        <v>207</v>
      </c>
      <c r="M534" t="s">
        <v>208</v>
      </c>
      <c r="N534" t="s">
        <v>120</v>
      </c>
      <c r="O534" t="s">
        <v>164</v>
      </c>
      <c r="P534">
        <v>2</v>
      </c>
      <c r="Q534" s="4">
        <v>1394.97</v>
      </c>
      <c r="R534" s="5">
        <v>0.23</v>
      </c>
      <c r="S534" s="4">
        <v>8.85</v>
      </c>
      <c r="T534" t="s">
        <v>84</v>
      </c>
      <c r="U534" t="s">
        <v>85</v>
      </c>
      <c r="V534">
        <v>4</v>
      </c>
    </row>
    <row r="535" spans="1:22">
      <c r="A535" t="s">
        <v>1020</v>
      </c>
      <c r="B535" s="3">
        <v>45840</v>
      </c>
      <c r="C535" s="3">
        <v>45848</v>
      </c>
      <c r="D535" t="s">
        <v>767</v>
      </c>
      <c r="E535" t="s">
        <v>617</v>
      </c>
      <c r="F535" t="s">
        <v>74</v>
      </c>
      <c r="G535" t="s">
        <v>138</v>
      </c>
      <c r="H535" t="s">
        <v>457</v>
      </c>
      <c r="I535" t="s">
        <v>458</v>
      </c>
      <c r="J535" t="s">
        <v>219</v>
      </c>
      <c r="K535" t="s">
        <v>79</v>
      </c>
      <c r="L535" t="s">
        <v>101</v>
      </c>
      <c r="M535" t="s">
        <v>102</v>
      </c>
      <c r="N535" t="s">
        <v>103</v>
      </c>
      <c r="O535" t="s">
        <v>104</v>
      </c>
      <c r="P535">
        <v>10</v>
      </c>
      <c r="Q535" s="4">
        <v>72.849999999999994</v>
      </c>
      <c r="R535" s="5">
        <v>0</v>
      </c>
      <c r="S535" s="4">
        <v>9.6</v>
      </c>
      <c r="T535" t="s">
        <v>134</v>
      </c>
      <c r="U535" t="s">
        <v>85</v>
      </c>
      <c r="V535">
        <v>2</v>
      </c>
    </row>
    <row r="536" spans="1:22">
      <c r="A536" t="s">
        <v>1021</v>
      </c>
      <c r="B536" s="3">
        <v>45840</v>
      </c>
      <c r="C536" s="3">
        <v>45842</v>
      </c>
      <c r="D536" t="s">
        <v>771</v>
      </c>
      <c r="E536" t="s">
        <v>772</v>
      </c>
      <c r="F536" t="s">
        <v>74</v>
      </c>
      <c r="G536" t="s">
        <v>126</v>
      </c>
      <c r="H536" t="s">
        <v>127</v>
      </c>
      <c r="I536" t="s">
        <v>128</v>
      </c>
      <c r="J536" t="s">
        <v>78</v>
      </c>
      <c r="K536" t="s">
        <v>90</v>
      </c>
      <c r="L536" t="s">
        <v>359</v>
      </c>
      <c r="M536" t="s">
        <v>360</v>
      </c>
      <c r="N536" t="s">
        <v>93</v>
      </c>
      <c r="O536" t="s">
        <v>94</v>
      </c>
      <c r="P536">
        <v>2</v>
      </c>
      <c r="Q536" s="4">
        <v>446.93</v>
      </c>
      <c r="R536" s="5">
        <v>0.06</v>
      </c>
      <c r="S536" s="4">
        <v>20.97</v>
      </c>
      <c r="T536" t="s">
        <v>84</v>
      </c>
      <c r="U536" t="s">
        <v>85</v>
      </c>
      <c r="V536">
        <v>3</v>
      </c>
    </row>
    <row r="537" spans="1:22">
      <c r="A537" t="s">
        <v>1022</v>
      </c>
      <c r="B537" s="3">
        <v>45844</v>
      </c>
      <c r="C537" s="3">
        <v>45854</v>
      </c>
      <c r="D537" t="s">
        <v>971</v>
      </c>
      <c r="E537" t="s">
        <v>631</v>
      </c>
      <c r="F537" t="s">
        <v>152</v>
      </c>
      <c r="G537" t="s">
        <v>194</v>
      </c>
      <c r="H537" t="s">
        <v>240</v>
      </c>
      <c r="I537" t="s">
        <v>241</v>
      </c>
      <c r="J537" t="s">
        <v>109</v>
      </c>
      <c r="K537" t="s">
        <v>168</v>
      </c>
      <c r="L537" t="s">
        <v>284</v>
      </c>
      <c r="M537" t="s">
        <v>285</v>
      </c>
      <c r="N537" t="s">
        <v>103</v>
      </c>
      <c r="O537" t="s">
        <v>143</v>
      </c>
      <c r="P537">
        <v>9</v>
      </c>
      <c r="Q537" s="4">
        <v>26.47</v>
      </c>
      <c r="R537" s="5">
        <v>0.02</v>
      </c>
      <c r="S537" s="4">
        <v>13.15</v>
      </c>
      <c r="T537" t="s">
        <v>84</v>
      </c>
      <c r="U537" t="s">
        <v>85</v>
      </c>
      <c r="V537">
        <v>3</v>
      </c>
    </row>
    <row r="538" spans="1:22">
      <c r="A538" t="s">
        <v>1023</v>
      </c>
      <c r="B538" s="3">
        <v>45845</v>
      </c>
      <c r="C538" s="3">
        <v>45848</v>
      </c>
      <c r="D538" t="s">
        <v>490</v>
      </c>
      <c r="E538" t="s">
        <v>491</v>
      </c>
      <c r="F538" t="s">
        <v>152</v>
      </c>
      <c r="G538" t="s">
        <v>194</v>
      </c>
      <c r="H538" t="s">
        <v>202</v>
      </c>
      <c r="I538" t="s">
        <v>203</v>
      </c>
      <c r="J538" t="s">
        <v>78</v>
      </c>
      <c r="K538" t="s">
        <v>100</v>
      </c>
      <c r="L538" t="s">
        <v>188</v>
      </c>
      <c r="M538" t="s">
        <v>189</v>
      </c>
      <c r="N538" t="s">
        <v>120</v>
      </c>
      <c r="O538" t="s">
        <v>190</v>
      </c>
      <c r="P538">
        <v>2</v>
      </c>
      <c r="Q538" s="4">
        <v>55.91</v>
      </c>
      <c r="R538" s="5">
        <v>0.27</v>
      </c>
      <c r="S538" s="4">
        <v>17.190000000000001</v>
      </c>
      <c r="T538" t="s">
        <v>122</v>
      </c>
      <c r="U538" t="s">
        <v>85</v>
      </c>
      <c r="V538">
        <v>2</v>
      </c>
    </row>
    <row r="539" spans="1:22">
      <c r="A539" t="s">
        <v>1024</v>
      </c>
      <c r="B539" s="3">
        <v>45847</v>
      </c>
      <c r="C539" s="3">
        <v>45850</v>
      </c>
      <c r="D539" t="s">
        <v>849</v>
      </c>
      <c r="E539" t="s">
        <v>137</v>
      </c>
      <c r="F539" t="s">
        <v>152</v>
      </c>
      <c r="G539" t="s">
        <v>126</v>
      </c>
      <c r="H539" t="s">
        <v>160</v>
      </c>
      <c r="I539" t="s">
        <v>161</v>
      </c>
      <c r="J539" t="s">
        <v>219</v>
      </c>
      <c r="K539" t="s">
        <v>100</v>
      </c>
      <c r="L539" t="s">
        <v>141</v>
      </c>
      <c r="M539" t="s">
        <v>142</v>
      </c>
      <c r="N539" t="s">
        <v>103</v>
      </c>
      <c r="O539" t="s">
        <v>143</v>
      </c>
      <c r="P539">
        <v>9</v>
      </c>
      <c r="Q539" s="4">
        <v>35.14</v>
      </c>
      <c r="R539" s="5">
        <v>0.09</v>
      </c>
      <c r="S539" s="4">
        <v>11.74</v>
      </c>
      <c r="T539" t="s">
        <v>122</v>
      </c>
      <c r="U539" t="s">
        <v>85</v>
      </c>
      <c r="V539">
        <v>5</v>
      </c>
    </row>
    <row r="540" spans="1:22">
      <c r="A540" t="s">
        <v>1025</v>
      </c>
      <c r="B540" s="3">
        <v>45847</v>
      </c>
      <c r="C540" s="3">
        <v>45852</v>
      </c>
      <c r="D540" t="s">
        <v>180</v>
      </c>
      <c r="E540" t="s">
        <v>181</v>
      </c>
      <c r="F540" t="s">
        <v>74</v>
      </c>
      <c r="G540" t="s">
        <v>126</v>
      </c>
      <c r="H540" t="s">
        <v>160</v>
      </c>
      <c r="I540" t="s">
        <v>182</v>
      </c>
      <c r="J540" t="s">
        <v>219</v>
      </c>
      <c r="K540" t="s">
        <v>147</v>
      </c>
      <c r="L540" t="s">
        <v>141</v>
      </c>
      <c r="M540" t="s">
        <v>142</v>
      </c>
      <c r="N540" t="s">
        <v>103</v>
      </c>
      <c r="O540" t="s">
        <v>143</v>
      </c>
      <c r="P540">
        <v>6</v>
      </c>
      <c r="Q540" s="4">
        <v>34.19</v>
      </c>
      <c r="R540" s="5">
        <v>0.22</v>
      </c>
      <c r="S540" s="4">
        <v>13.83</v>
      </c>
      <c r="T540" t="s">
        <v>84</v>
      </c>
      <c r="U540" t="s">
        <v>85</v>
      </c>
      <c r="V540">
        <v>1</v>
      </c>
    </row>
    <row r="541" spans="1:22">
      <c r="A541" t="s">
        <v>1026</v>
      </c>
      <c r="B541" s="3">
        <v>45848</v>
      </c>
      <c r="C541" s="3">
        <v>45856</v>
      </c>
      <c r="D541" t="s">
        <v>500</v>
      </c>
      <c r="E541" t="s">
        <v>501</v>
      </c>
      <c r="F541" t="s">
        <v>152</v>
      </c>
      <c r="G541" t="s">
        <v>194</v>
      </c>
      <c r="H541" t="s">
        <v>202</v>
      </c>
      <c r="I541" t="s">
        <v>203</v>
      </c>
      <c r="J541" t="s">
        <v>109</v>
      </c>
      <c r="K541" t="s">
        <v>79</v>
      </c>
      <c r="L541" t="s">
        <v>162</v>
      </c>
      <c r="M541" t="s">
        <v>163</v>
      </c>
      <c r="N541" t="s">
        <v>120</v>
      </c>
      <c r="O541" t="s">
        <v>164</v>
      </c>
      <c r="P541">
        <v>4</v>
      </c>
      <c r="Q541" s="4">
        <v>924.03</v>
      </c>
      <c r="R541" s="5">
        <v>0</v>
      </c>
      <c r="S541" s="4">
        <v>7.91</v>
      </c>
      <c r="T541" t="s">
        <v>134</v>
      </c>
      <c r="U541" t="s">
        <v>85</v>
      </c>
      <c r="V541">
        <v>5</v>
      </c>
    </row>
    <row r="542" spans="1:22">
      <c r="A542" t="s">
        <v>1027</v>
      </c>
      <c r="B542" s="3">
        <v>45848</v>
      </c>
      <c r="C542" s="3">
        <v>45849</v>
      </c>
      <c r="D542" t="s">
        <v>366</v>
      </c>
      <c r="E542" t="s">
        <v>342</v>
      </c>
      <c r="F542" t="s">
        <v>89</v>
      </c>
      <c r="G542" t="s">
        <v>194</v>
      </c>
      <c r="H542" t="s">
        <v>230</v>
      </c>
      <c r="I542" t="s">
        <v>231</v>
      </c>
      <c r="J542" t="s">
        <v>78</v>
      </c>
      <c r="K542" t="s">
        <v>100</v>
      </c>
      <c r="L542" t="s">
        <v>155</v>
      </c>
      <c r="M542" t="s">
        <v>156</v>
      </c>
      <c r="N542" t="s">
        <v>82</v>
      </c>
      <c r="O542" t="s">
        <v>112</v>
      </c>
      <c r="P542">
        <v>10</v>
      </c>
      <c r="Q542" s="4">
        <v>172.32</v>
      </c>
      <c r="R542" s="5">
        <v>0</v>
      </c>
      <c r="S542" s="4">
        <v>14.38</v>
      </c>
      <c r="T542" t="s">
        <v>134</v>
      </c>
      <c r="U542" t="s">
        <v>85</v>
      </c>
      <c r="V542">
        <v>2</v>
      </c>
    </row>
    <row r="543" spans="1:22">
      <c r="A543" t="s">
        <v>1028</v>
      </c>
      <c r="B543" s="3">
        <v>45849</v>
      </c>
      <c r="C543" s="3">
        <v>45857</v>
      </c>
      <c r="D543" t="s">
        <v>396</v>
      </c>
      <c r="E543" t="s">
        <v>397</v>
      </c>
      <c r="F543" t="s">
        <v>152</v>
      </c>
      <c r="G543" t="s">
        <v>138</v>
      </c>
      <c r="H543" t="s">
        <v>186</v>
      </c>
      <c r="I543" t="s">
        <v>187</v>
      </c>
      <c r="J543" t="s">
        <v>219</v>
      </c>
      <c r="K543" t="s">
        <v>147</v>
      </c>
      <c r="L543" t="s">
        <v>249</v>
      </c>
      <c r="M543" t="s">
        <v>250</v>
      </c>
      <c r="N543" t="s">
        <v>103</v>
      </c>
      <c r="O543" t="s">
        <v>251</v>
      </c>
      <c r="P543">
        <v>2</v>
      </c>
      <c r="Q543" s="4">
        <v>22.75</v>
      </c>
      <c r="R543" s="5">
        <v>0.06</v>
      </c>
      <c r="S543" s="4">
        <v>15.63</v>
      </c>
      <c r="T543" t="s">
        <v>122</v>
      </c>
      <c r="U543" t="s">
        <v>85</v>
      </c>
      <c r="V543">
        <v>3</v>
      </c>
    </row>
    <row r="544" spans="1:22">
      <c r="A544" t="s">
        <v>1029</v>
      </c>
      <c r="B544" s="3">
        <v>45850</v>
      </c>
      <c r="C544" s="3">
        <v>45859</v>
      </c>
      <c r="D544" t="s">
        <v>451</v>
      </c>
      <c r="E544" t="s">
        <v>452</v>
      </c>
      <c r="F544" t="s">
        <v>89</v>
      </c>
      <c r="G544" t="s">
        <v>126</v>
      </c>
      <c r="H544" t="s">
        <v>160</v>
      </c>
      <c r="I544" t="s">
        <v>161</v>
      </c>
      <c r="J544" t="s">
        <v>109</v>
      </c>
      <c r="K544" t="s">
        <v>147</v>
      </c>
      <c r="L544" t="s">
        <v>242</v>
      </c>
      <c r="M544" t="s">
        <v>243</v>
      </c>
      <c r="N544" t="s">
        <v>120</v>
      </c>
      <c r="O544" t="s">
        <v>133</v>
      </c>
      <c r="P544">
        <v>1</v>
      </c>
      <c r="Q544" s="4">
        <v>179.88</v>
      </c>
      <c r="R544" s="5">
        <v>0.06</v>
      </c>
      <c r="S544" s="4">
        <v>13.47</v>
      </c>
      <c r="T544" t="s">
        <v>134</v>
      </c>
      <c r="U544" t="s">
        <v>85</v>
      </c>
      <c r="V544">
        <v>3</v>
      </c>
    </row>
    <row r="545" spans="1:22">
      <c r="A545" t="s">
        <v>1030</v>
      </c>
      <c r="B545" s="3">
        <v>45851</v>
      </c>
      <c r="C545" s="3">
        <v>45855</v>
      </c>
      <c r="D545" t="s">
        <v>659</v>
      </c>
      <c r="E545" t="s">
        <v>660</v>
      </c>
      <c r="F545" t="s">
        <v>74</v>
      </c>
      <c r="G545" t="s">
        <v>126</v>
      </c>
      <c r="H545" t="s">
        <v>291</v>
      </c>
      <c r="I545" t="s">
        <v>292</v>
      </c>
      <c r="J545" t="s">
        <v>219</v>
      </c>
      <c r="K545" t="s">
        <v>79</v>
      </c>
      <c r="L545" t="s">
        <v>175</v>
      </c>
      <c r="M545" t="s">
        <v>176</v>
      </c>
      <c r="N545" t="s">
        <v>93</v>
      </c>
      <c r="O545" t="s">
        <v>177</v>
      </c>
      <c r="P545">
        <v>1</v>
      </c>
      <c r="Q545" s="4">
        <v>167.83</v>
      </c>
      <c r="R545" s="5">
        <v>0.09</v>
      </c>
      <c r="S545" s="4">
        <v>25.47</v>
      </c>
      <c r="T545" t="s">
        <v>134</v>
      </c>
      <c r="U545" t="s">
        <v>85</v>
      </c>
    </row>
    <row r="546" spans="1:22">
      <c r="A546" t="s">
        <v>1031</v>
      </c>
      <c r="B546" s="3">
        <v>45853</v>
      </c>
      <c r="C546" s="3">
        <v>45863</v>
      </c>
      <c r="D546" t="s">
        <v>107</v>
      </c>
      <c r="E546" t="s">
        <v>108</v>
      </c>
      <c r="F546" t="s">
        <v>74</v>
      </c>
      <c r="G546" t="s">
        <v>75</v>
      </c>
      <c r="H546" t="s">
        <v>98</v>
      </c>
      <c r="I546" t="s">
        <v>99</v>
      </c>
      <c r="J546" t="s">
        <v>78</v>
      </c>
      <c r="K546" t="s">
        <v>100</v>
      </c>
      <c r="L546" t="s">
        <v>284</v>
      </c>
      <c r="M546" t="s">
        <v>285</v>
      </c>
      <c r="N546" t="s">
        <v>103</v>
      </c>
      <c r="O546" t="s">
        <v>143</v>
      </c>
      <c r="P546">
        <v>5</v>
      </c>
      <c r="Q546" s="4">
        <v>28.48</v>
      </c>
      <c r="R546" s="5">
        <v>0.1</v>
      </c>
      <c r="S546" s="4">
        <v>11.56</v>
      </c>
      <c r="T546" t="s">
        <v>84</v>
      </c>
      <c r="U546" t="s">
        <v>85</v>
      </c>
      <c r="V546">
        <v>1</v>
      </c>
    </row>
    <row r="547" spans="1:22">
      <c r="A547" t="s">
        <v>1032</v>
      </c>
      <c r="B547" s="3">
        <v>45853</v>
      </c>
      <c r="C547" s="3">
        <v>45857</v>
      </c>
      <c r="D547" t="s">
        <v>448</v>
      </c>
      <c r="E547" t="s">
        <v>449</v>
      </c>
      <c r="F547" t="s">
        <v>89</v>
      </c>
      <c r="G547" t="s">
        <v>126</v>
      </c>
      <c r="H547" t="s">
        <v>160</v>
      </c>
      <c r="I547" t="s">
        <v>182</v>
      </c>
      <c r="J547" t="s">
        <v>109</v>
      </c>
      <c r="K547" t="s">
        <v>130</v>
      </c>
      <c r="L547" t="s">
        <v>197</v>
      </c>
      <c r="M547" t="s">
        <v>198</v>
      </c>
      <c r="N547" t="s">
        <v>120</v>
      </c>
      <c r="O547" t="s">
        <v>121</v>
      </c>
      <c r="P547">
        <v>2</v>
      </c>
      <c r="Q547" s="4">
        <v>528.41999999999996</v>
      </c>
      <c r="R547" s="5">
        <v>0.05</v>
      </c>
      <c r="S547" s="4">
        <v>18.68</v>
      </c>
      <c r="T547" t="s">
        <v>84</v>
      </c>
      <c r="U547" t="s">
        <v>85</v>
      </c>
      <c r="V547">
        <v>3</v>
      </c>
    </row>
    <row r="548" spans="1:22">
      <c r="A548" t="s">
        <v>1033</v>
      </c>
      <c r="B548" s="3">
        <v>45855</v>
      </c>
      <c r="C548" s="3">
        <v>45865</v>
      </c>
      <c r="D548" t="s">
        <v>445</v>
      </c>
      <c r="E548" t="s">
        <v>446</v>
      </c>
      <c r="F548" t="s">
        <v>152</v>
      </c>
      <c r="G548" t="s">
        <v>126</v>
      </c>
      <c r="H548" t="s">
        <v>160</v>
      </c>
      <c r="I548" t="s">
        <v>182</v>
      </c>
      <c r="J548" t="s">
        <v>129</v>
      </c>
      <c r="K548" t="s">
        <v>130</v>
      </c>
      <c r="L548" t="s">
        <v>91</v>
      </c>
      <c r="M548" t="s">
        <v>92</v>
      </c>
      <c r="N548" t="s">
        <v>93</v>
      </c>
      <c r="O548" t="s">
        <v>94</v>
      </c>
      <c r="P548">
        <v>3</v>
      </c>
      <c r="Q548" s="4">
        <v>315.64999999999998</v>
      </c>
      <c r="R548" s="5">
        <v>0.2</v>
      </c>
      <c r="S548" s="4">
        <v>28.18</v>
      </c>
      <c r="T548" t="s">
        <v>122</v>
      </c>
      <c r="U548" t="s">
        <v>85</v>
      </c>
      <c r="V548">
        <v>2</v>
      </c>
    </row>
    <row r="549" spans="1:22">
      <c r="A549" t="s">
        <v>1034</v>
      </c>
      <c r="B549" s="3">
        <v>45856</v>
      </c>
      <c r="C549" s="3">
        <v>45863</v>
      </c>
      <c r="D549" t="s">
        <v>621</v>
      </c>
      <c r="E549" t="s">
        <v>622</v>
      </c>
      <c r="F549" t="s">
        <v>74</v>
      </c>
      <c r="G549" t="s">
        <v>194</v>
      </c>
      <c r="H549" t="s">
        <v>230</v>
      </c>
      <c r="I549" t="s">
        <v>231</v>
      </c>
      <c r="J549" t="s">
        <v>109</v>
      </c>
      <c r="K549" t="s">
        <v>100</v>
      </c>
      <c r="L549" t="s">
        <v>284</v>
      </c>
      <c r="M549" t="s">
        <v>285</v>
      </c>
      <c r="N549" t="s">
        <v>103</v>
      </c>
      <c r="O549" t="s">
        <v>143</v>
      </c>
      <c r="P549">
        <v>6</v>
      </c>
      <c r="Q549" s="4">
        <v>27.14</v>
      </c>
      <c r="R549" s="5">
        <v>0.08</v>
      </c>
      <c r="S549" s="4">
        <v>5.24</v>
      </c>
      <c r="T549" t="s">
        <v>84</v>
      </c>
      <c r="U549" t="s">
        <v>85</v>
      </c>
      <c r="V549">
        <v>1</v>
      </c>
    </row>
    <row r="550" spans="1:22">
      <c r="A550" t="s">
        <v>1035</v>
      </c>
      <c r="B550" s="3">
        <v>45856</v>
      </c>
      <c r="C550" s="3">
        <v>45868</v>
      </c>
      <c r="D550" t="s">
        <v>289</v>
      </c>
      <c r="E550" t="s">
        <v>290</v>
      </c>
      <c r="F550" t="s">
        <v>74</v>
      </c>
      <c r="G550" t="s">
        <v>126</v>
      </c>
      <c r="H550" t="s">
        <v>291</v>
      </c>
      <c r="I550" t="s">
        <v>292</v>
      </c>
      <c r="J550" t="s">
        <v>78</v>
      </c>
      <c r="K550" t="s">
        <v>130</v>
      </c>
      <c r="L550" t="s">
        <v>284</v>
      </c>
      <c r="M550" t="s">
        <v>285</v>
      </c>
      <c r="N550" t="s">
        <v>103</v>
      </c>
      <c r="O550" t="s">
        <v>143</v>
      </c>
      <c r="P550">
        <v>8</v>
      </c>
      <c r="Q550" s="4">
        <v>26.91</v>
      </c>
      <c r="R550" s="5">
        <v>0.05</v>
      </c>
      <c r="S550" s="4">
        <v>14.4</v>
      </c>
      <c r="T550" t="s">
        <v>122</v>
      </c>
      <c r="U550" t="s">
        <v>85</v>
      </c>
      <c r="V550">
        <v>3</v>
      </c>
    </row>
    <row r="551" spans="1:22">
      <c r="A551" t="s">
        <v>1036</v>
      </c>
      <c r="B551" s="3">
        <v>45856</v>
      </c>
      <c r="C551" s="3">
        <v>45862</v>
      </c>
      <c r="D551" t="s">
        <v>504</v>
      </c>
      <c r="E551" t="s">
        <v>505</v>
      </c>
      <c r="F551" t="s">
        <v>74</v>
      </c>
      <c r="G551" t="s">
        <v>126</v>
      </c>
      <c r="H551" t="s">
        <v>160</v>
      </c>
      <c r="I551" t="s">
        <v>161</v>
      </c>
      <c r="J551" t="s">
        <v>78</v>
      </c>
      <c r="K551" t="s">
        <v>100</v>
      </c>
      <c r="L551" t="s">
        <v>155</v>
      </c>
      <c r="M551" t="s">
        <v>156</v>
      </c>
      <c r="N551" t="s">
        <v>82</v>
      </c>
      <c r="O551" t="s">
        <v>112</v>
      </c>
      <c r="P551">
        <v>1</v>
      </c>
      <c r="Q551" s="4">
        <v>169.35</v>
      </c>
      <c r="R551" s="5">
        <v>0.05</v>
      </c>
      <c r="S551" s="4">
        <v>5.49</v>
      </c>
      <c r="T551" t="s">
        <v>105</v>
      </c>
      <c r="U551" t="s">
        <v>85</v>
      </c>
      <c r="V551">
        <v>3</v>
      </c>
    </row>
    <row r="552" spans="1:22">
      <c r="A552" t="s">
        <v>1037</v>
      </c>
      <c r="B552" s="3">
        <v>45857</v>
      </c>
      <c r="C552" s="3">
        <v>45866</v>
      </c>
      <c r="D552" t="s">
        <v>406</v>
      </c>
      <c r="E552" t="s">
        <v>407</v>
      </c>
      <c r="F552" t="s">
        <v>89</v>
      </c>
      <c r="G552" t="s">
        <v>75</v>
      </c>
      <c r="H552" t="s">
        <v>116</v>
      </c>
      <c r="I552" t="s">
        <v>117</v>
      </c>
      <c r="J552" t="s">
        <v>219</v>
      </c>
      <c r="K552" t="s">
        <v>168</v>
      </c>
      <c r="L552" t="s">
        <v>284</v>
      </c>
      <c r="M552" t="s">
        <v>285</v>
      </c>
      <c r="N552" t="s">
        <v>103</v>
      </c>
      <c r="O552" t="s">
        <v>143</v>
      </c>
      <c r="P552">
        <v>6</v>
      </c>
      <c r="Q552" s="4">
        <v>26.88</v>
      </c>
      <c r="R552" s="5">
        <v>7.0000000000000007E-2</v>
      </c>
      <c r="S552" s="4">
        <v>11.48</v>
      </c>
      <c r="T552" t="s">
        <v>84</v>
      </c>
      <c r="U552" t="s">
        <v>85</v>
      </c>
      <c r="V552">
        <v>5</v>
      </c>
    </row>
    <row r="553" spans="1:22">
      <c r="A553" t="s">
        <v>1038</v>
      </c>
      <c r="B553" s="3">
        <v>45858</v>
      </c>
      <c r="C553" s="3">
        <v>45866</v>
      </c>
      <c r="D553" t="s">
        <v>114</v>
      </c>
      <c r="E553" t="s">
        <v>115</v>
      </c>
      <c r="F553" t="s">
        <v>89</v>
      </c>
      <c r="G553" t="s">
        <v>75</v>
      </c>
      <c r="H553" t="s">
        <v>116</v>
      </c>
      <c r="I553" t="s">
        <v>117</v>
      </c>
      <c r="J553" t="s">
        <v>78</v>
      </c>
      <c r="K553" t="s">
        <v>130</v>
      </c>
      <c r="L553" t="s">
        <v>214</v>
      </c>
      <c r="M553" t="s">
        <v>215</v>
      </c>
      <c r="N553" t="s">
        <v>103</v>
      </c>
      <c r="O553" t="s">
        <v>171</v>
      </c>
      <c r="P553">
        <v>9</v>
      </c>
      <c r="Q553" s="4">
        <v>11.73</v>
      </c>
      <c r="R553" s="5">
        <v>0.12</v>
      </c>
      <c r="S553" s="4">
        <v>8.6</v>
      </c>
      <c r="T553" t="s">
        <v>122</v>
      </c>
      <c r="U553" t="s">
        <v>85</v>
      </c>
      <c r="V553">
        <v>4</v>
      </c>
    </row>
    <row r="554" spans="1:22">
      <c r="A554" t="s">
        <v>1039</v>
      </c>
      <c r="B554" s="3">
        <v>45858</v>
      </c>
      <c r="C554" s="3">
        <v>45863</v>
      </c>
      <c r="D554" t="s">
        <v>760</v>
      </c>
      <c r="E554" t="s">
        <v>761</v>
      </c>
      <c r="F554" t="s">
        <v>89</v>
      </c>
      <c r="G554" t="s">
        <v>194</v>
      </c>
      <c r="H554" t="s">
        <v>230</v>
      </c>
      <c r="I554" t="s">
        <v>231</v>
      </c>
      <c r="J554" t="s">
        <v>129</v>
      </c>
      <c r="K554" t="s">
        <v>168</v>
      </c>
      <c r="L554" t="s">
        <v>188</v>
      </c>
      <c r="M554" t="s">
        <v>189</v>
      </c>
      <c r="N554" t="s">
        <v>120</v>
      </c>
      <c r="O554" t="s">
        <v>190</v>
      </c>
      <c r="P554">
        <v>2</v>
      </c>
      <c r="Q554" s="4">
        <v>61.8</v>
      </c>
      <c r="R554" s="5">
        <v>0.06</v>
      </c>
      <c r="S554" s="4">
        <v>19.05</v>
      </c>
      <c r="T554" t="s">
        <v>105</v>
      </c>
      <c r="U554" t="s">
        <v>85</v>
      </c>
      <c r="V554">
        <v>2</v>
      </c>
    </row>
    <row r="555" spans="1:22">
      <c r="A555" t="s">
        <v>1040</v>
      </c>
      <c r="B555" s="3">
        <v>45859</v>
      </c>
      <c r="C555" s="3">
        <v>45866</v>
      </c>
      <c r="D555" t="s">
        <v>173</v>
      </c>
      <c r="E555" t="s">
        <v>174</v>
      </c>
      <c r="F555" t="s">
        <v>89</v>
      </c>
      <c r="G555" t="s">
        <v>126</v>
      </c>
      <c r="H555" t="s">
        <v>127</v>
      </c>
      <c r="I555" t="s">
        <v>128</v>
      </c>
      <c r="J555" t="s">
        <v>129</v>
      </c>
      <c r="K555" t="s">
        <v>147</v>
      </c>
      <c r="L555" t="s">
        <v>101</v>
      </c>
      <c r="M555" t="s">
        <v>102</v>
      </c>
      <c r="N555" t="s">
        <v>103</v>
      </c>
      <c r="O555" t="s">
        <v>104</v>
      </c>
      <c r="P555">
        <v>5</v>
      </c>
      <c r="Q555" s="4">
        <v>77.47</v>
      </c>
      <c r="R555" s="5">
        <v>0.01</v>
      </c>
      <c r="S555" s="4">
        <v>10.85</v>
      </c>
      <c r="T555" t="s">
        <v>122</v>
      </c>
      <c r="U555" t="s">
        <v>85</v>
      </c>
      <c r="V555">
        <v>4</v>
      </c>
    </row>
    <row r="556" spans="1:22">
      <c r="A556" t="s">
        <v>1041</v>
      </c>
      <c r="B556" s="3">
        <v>45861</v>
      </c>
      <c r="C556" s="3">
        <v>45870</v>
      </c>
      <c r="D556" t="s">
        <v>145</v>
      </c>
      <c r="E556" t="s">
        <v>146</v>
      </c>
      <c r="F556" t="s">
        <v>74</v>
      </c>
      <c r="G556" t="s">
        <v>75</v>
      </c>
      <c r="H556" t="s">
        <v>116</v>
      </c>
      <c r="I556" t="s">
        <v>117</v>
      </c>
      <c r="J556" t="s">
        <v>109</v>
      </c>
      <c r="K556" t="s">
        <v>168</v>
      </c>
      <c r="L556" t="s">
        <v>141</v>
      </c>
      <c r="M556" t="s">
        <v>142</v>
      </c>
      <c r="N556" t="s">
        <v>103</v>
      </c>
      <c r="O556" t="s">
        <v>143</v>
      </c>
      <c r="P556">
        <v>5</v>
      </c>
      <c r="Q556" s="4">
        <v>35.79</v>
      </c>
      <c r="R556" s="5">
        <v>0.11</v>
      </c>
      <c r="S556" s="4">
        <v>7.09</v>
      </c>
      <c r="T556" t="s">
        <v>122</v>
      </c>
      <c r="U556" t="s">
        <v>85</v>
      </c>
      <c r="V556">
        <v>3</v>
      </c>
    </row>
    <row r="557" spans="1:22">
      <c r="A557" t="s">
        <v>1042</v>
      </c>
      <c r="B557" s="3">
        <v>45862</v>
      </c>
      <c r="C557" s="3">
        <v>45868</v>
      </c>
      <c r="D557" t="s">
        <v>427</v>
      </c>
      <c r="E557" t="s">
        <v>428</v>
      </c>
      <c r="F557" t="s">
        <v>152</v>
      </c>
      <c r="G557" t="s">
        <v>194</v>
      </c>
      <c r="H557" t="s">
        <v>240</v>
      </c>
      <c r="I557" t="s">
        <v>241</v>
      </c>
      <c r="J557" t="s">
        <v>78</v>
      </c>
      <c r="K557" t="s">
        <v>90</v>
      </c>
      <c r="L557" t="s">
        <v>431</v>
      </c>
      <c r="M557" t="s">
        <v>432</v>
      </c>
      <c r="N557" t="s">
        <v>103</v>
      </c>
      <c r="O557" t="s">
        <v>251</v>
      </c>
      <c r="P557">
        <v>6</v>
      </c>
      <c r="Q557" s="4">
        <v>37.32</v>
      </c>
      <c r="R557" s="5">
        <v>0.1</v>
      </c>
      <c r="S557" s="4">
        <v>9.19</v>
      </c>
      <c r="T557" t="s">
        <v>122</v>
      </c>
      <c r="U557" t="s">
        <v>85</v>
      </c>
    </row>
    <row r="558" spans="1:22">
      <c r="A558" t="s">
        <v>1043</v>
      </c>
      <c r="B558" s="3">
        <v>45870</v>
      </c>
      <c r="C558" s="3">
        <v>45887</v>
      </c>
      <c r="D558" t="s">
        <v>454</v>
      </c>
      <c r="E558" t="s">
        <v>329</v>
      </c>
      <c r="F558" t="s">
        <v>89</v>
      </c>
      <c r="G558" t="s">
        <v>75</v>
      </c>
      <c r="H558" t="s">
        <v>212</v>
      </c>
      <c r="I558" t="s">
        <v>213</v>
      </c>
      <c r="J558" t="s">
        <v>109</v>
      </c>
      <c r="K558" t="s">
        <v>168</v>
      </c>
      <c r="L558" t="s">
        <v>214</v>
      </c>
      <c r="M558" t="s">
        <v>215</v>
      </c>
      <c r="N558" t="s">
        <v>103</v>
      </c>
      <c r="O558" t="s">
        <v>171</v>
      </c>
      <c r="P558">
        <v>2</v>
      </c>
      <c r="Q558" s="4">
        <v>11.74</v>
      </c>
      <c r="R558" s="5">
        <v>0.11</v>
      </c>
      <c r="S558" s="4">
        <v>10.47</v>
      </c>
      <c r="T558" t="s">
        <v>84</v>
      </c>
      <c r="U558" t="s">
        <v>85</v>
      </c>
      <c r="V558">
        <v>2</v>
      </c>
    </row>
    <row r="559" spans="1:22">
      <c r="A559" t="s">
        <v>1044</v>
      </c>
      <c r="B559" s="3">
        <v>45870</v>
      </c>
      <c r="C559" s="3">
        <v>45875</v>
      </c>
      <c r="D559" t="s">
        <v>96</v>
      </c>
      <c r="E559" t="s">
        <v>97</v>
      </c>
      <c r="F559" t="s">
        <v>74</v>
      </c>
      <c r="G559" t="s">
        <v>75</v>
      </c>
      <c r="H559" t="s">
        <v>98</v>
      </c>
      <c r="I559" t="s">
        <v>99</v>
      </c>
      <c r="J559" t="s">
        <v>109</v>
      </c>
      <c r="K559" t="s">
        <v>168</v>
      </c>
      <c r="L559" t="s">
        <v>431</v>
      </c>
      <c r="M559" t="s">
        <v>432</v>
      </c>
      <c r="N559" t="s">
        <v>103</v>
      </c>
      <c r="O559" t="s">
        <v>251</v>
      </c>
      <c r="P559">
        <v>1</v>
      </c>
      <c r="Q559" s="4">
        <v>39.39</v>
      </c>
      <c r="R559" s="5">
        <v>0.28000000000000003</v>
      </c>
      <c r="S559" s="4">
        <v>15.56</v>
      </c>
      <c r="T559" t="s">
        <v>122</v>
      </c>
      <c r="U559" t="s">
        <v>85</v>
      </c>
      <c r="V559">
        <v>3</v>
      </c>
    </row>
    <row r="560" spans="1:22">
      <c r="A560" t="s">
        <v>1045</v>
      </c>
      <c r="B560" s="3">
        <v>45871</v>
      </c>
      <c r="C560" s="3">
        <v>45884</v>
      </c>
      <c r="D560" t="s">
        <v>276</v>
      </c>
      <c r="E560" t="s">
        <v>277</v>
      </c>
      <c r="F560" t="s">
        <v>152</v>
      </c>
      <c r="G560" t="s">
        <v>75</v>
      </c>
      <c r="H560" t="s">
        <v>212</v>
      </c>
      <c r="I560" t="s">
        <v>213</v>
      </c>
      <c r="J560" t="s">
        <v>109</v>
      </c>
      <c r="K560" t="s">
        <v>90</v>
      </c>
      <c r="L560" t="s">
        <v>169</v>
      </c>
      <c r="M560" t="s">
        <v>170</v>
      </c>
      <c r="N560" t="s">
        <v>103</v>
      </c>
      <c r="O560" t="s">
        <v>171</v>
      </c>
      <c r="P560">
        <v>8</v>
      </c>
      <c r="Q560" s="4">
        <v>15.43</v>
      </c>
      <c r="R560" s="5">
        <v>0.01</v>
      </c>
      <c r="S560" s="4">
        <v>10.59</v>
      </c>
      <c r="T560" t="s">
        <v>84</v>
      </c>
      <c r="U560" t="s">
        <v>85</v>
      </c>
      <c r="V560">
        <v>1</v>
      </c>
    </row>
    <row r="561" spans="1:22">
      <c r="A561" t="s">
        <v>1046</v>
      </c>
      <c r="B561" s="3">
        <v>45874</v>
      </c>
      <c r="C561" s="3">
        <v>45876</v>
      </c>
      <c r="D561" t="s">
        <v>767</v>
      </c>
      <c r="E561" t="s">
        <v>617</v>
      </c>
      <c r="F561" t="s">
        <v>74</v>
      </c>
      <c r="G561" t="s">
        <v>138</v>
      </c>
      <c r="H561" t="s">
        <v>457</v>
      </c>
      <c r="I561" t="s">
        <v>458</v>
      </c>
      <c r="J561" t="s">
        <v>109</v>
      </c>
      <c r="K561" t="s">
        <v>147</v>
      </c>
      <c r="L561" t="s">
        <v>242</v>
      </c>
      <c r="M561" t="s">
        <v>243</v>
      </c>
      <c r="N561" t="s">
        <v>120</v>
      </c>
      <c r="O561" t="s">
        <v>133</v>
      </c>
      <c r="P561">
        <v>3</v>
      </c>
      <c r="Q561" s="4">
        <v>187.77</v>
      </c>
      <c r="R561" s="5">
        <v>0.26</v>
      </c>
      <c r="S561" s="4">
        <v>13.45</v>
      </c>
      <c r="T561" t="s">
        <v>84</v>
      </c>
      <c r="U561" t="s">
        <v>85</v>
      </c>
      <c r="V561">
        <v>1</v>
      </c>
    </row>
    <row r="562" spans="1:22">
      <c r="A562" t="s">
        <v>1047</v>
      </c>
      <c r="B562" s="3">
        <v>45878</v>
      </c>
      <c r="C562" s="3">
        <v>45884</v>
      </c>
      <c r="D562" t="s">
        <v>441</v>
      </c>
      <c r="E562" t="s">
        <v>442</v>
      </c>
      <c r="F562" t="s">
        <v>89</v>
      </c>
      <c r="G562" t="s">
        <v>194</v>
      </c>
      <c r="H562" t="s">
        <v>202</v>
      </c>
      <c r="I562" t="s">
        <v>203</v>
      </c>
      <c r="J562" t="s">
        <v>109</v>
      </c>
      <c r="K562" t="s">
        <v>147</v>
      </c>
      <c r="L562" t="s">
        <v>131</v>
      </c>
      <c r="M562" t="s">
        <v>132</v>
      </c>
      <c r="N562" t="s">
        <v>120</v>
      </c>
      <c r="O562" t="s">
        <v>133</v>
      </c>
      <c r="P562">
        <v>3</v>
      </c>
      <c r="Q562" s="4">
        <v>85.09</v>
      </c>
      <c r="R562" s="5">
        <v>0.01</v>
      </c>
      <c r="S562" s="4">
        <v>11</v>
      </c>
      <c r="T562" t="s">
        <v>134</v>
      </c>
      <c r="U562" t="s">
        <v>85</v>
      </c>
      <c r="V562">
        <v>2</v>
      </c>
    </row>
    <row r="563" spans="1:22">
      <c r="A563" t="s">
        <v>1048</v>
      </c>
      <c r="B563" s="3">
        <v>45881</v>
      </c>
      <c r="C563" s="3">
        <v>45887</v>
      </c>
      <c r="D563" t="s">
        <v>463</v>
      </c>
      <c r="E563" t="s">
        <v>464</v>
      </c>
      <c r="F563" t="s">
        <v>152</v>
      </c>
      <c r="G563" t="s">
        <v>194</v>
      </c>
      <c r="H563" t="s">
        <v>202</v>
      </c>
      <c r="I563" t="s">
        <v>203</v>
      </c>
      <c r="J563" t="s">
        <v>129</v>
      </c>
      <c r="K563" t="s">
        <v>90</v>
      </c>
      <c r="L563" t="s">
        <v>254</v>
      </c>
      <c r="M563" t="s">
        <v>255</v>
      </c>
      <c r="N563" t="s">
        <v>82</v>
      </c>
      <c r="O563" t="s">
        <v>83</v>
      </c>
      <c r="P563">
        <v>8</v>
      </c>
      <c r="Q563" s="4">
        <v>89.69</v>
      </c>
      <c r="R563" s="5">
        <v>0.06</v>
      </c>
      <c r="S563" s="4">
        <v>14.91</v>
      </c>
      <c r="T563" t="s">
        <v>105</v>
      </c>
      <c r="U563" t="s">
        <v>85</v>
      </c>
      <c r="V563">
        <v>1</v>
      </c>
    </row>
    <row r="564" spans="1:22">
      <c r="A564" t="s">
        <v>1049</v>
      </c>
      <c r="B564" s="3">
        <v>45883</v>
      </c>
      <c r="C564" s="3">
        <v>45890</v>
      </c>
      <c r="D564" t="s">
        <v>402</v>
      </c>
      <c r="E564" t="s">
        <v>403</v>
      </c>
      <c r="F564" t="s">
        <v>74</v>
      </c>
      <c r="G564" t="s">
        <v>75</v>
      </c>
      <c r="H564" t="s">
        <v>212</v>
      </c>
      <c r="I564" t="s">
        <v>213</v>
      </c>
      <c r="J564" t="s">
        <v>129</v>
      </c>
      <c r="K564" t="s">
        <v>79</v>
      </c>
      <c r="L564" t="s">
        <v>337</v>
      </c>
      <c r="M564" t="s">
        <v>338</v>
      </c>
      <c r="N564" t="s">
        <v>93</v>
      </c>
      <c r="O564" t="s">
        <v>236</v>
      </c>
      <c r="P564">
        <v>4</v>
      </c>
      <c r="Q564" s="4">
        <v>279.74</v>
      </c>
      <c r="R564" s="5">
        <v>0.08</v>
      </c>
      <c r="S564" s="4">
        <v>25.65</v>
      </c>
      <c r="T564" t="s">
        <v>84</v>
      </c>
      <c r="U564" t="s">
        <v>148</v>
      </c>
      <c r="V564">
        <v>1</v>
      </c>
    </row>
    <row r="565" spans="1:22">
      <c r="A565" t="s">
        <v>1050</v>
      </c>
      <c r="B565" s="3">
        <v>45884</v>
      </c>
      <c r="C565" s="3">
        <v>45894</v>
      </c>
      <c r="D565" t="s">
        <v>248</v>
      </c>
      <c r="E565" t="s">
        <v>137</v>
      </c>
      <c r="F565" t="s">
        <v>74</v>
      </c>
      <c r="G565" t="s">
        <v>75</v>
      </c>
      <c r="H565" t="s">
        <v>98</v>
      </c>
      <c r="I565" t="s">
        <v>99</v>
      </c>
      <c r="J565" t="s">
        <v>78</v>
      </c>
      <c r="K565" t="s">
        <v>147</v>
      </c>
      <c r="L565" t="s">
        <v>162</v>
      </c>
      <c r="M565" t="s">
        <v>163</v>
      </c>
      <c r="N565" t="s">
        <v>120</v>
      </c>
      <c r="O565" t="s">
        <v>164</v>
      </c>
      <c r="P565">
        <v>4</v>
      </c>
      <c r="Q565" s="4">
        <v>891.87</v>
      </c>
      <c r="R565" s="5">
        <v>0.02</v>
      </c>
      <c r="S565" s="4">
        <v>21.56</v>
      </c>
      <c r="T565" t="s">
        <v>84</v>
      </c>
      <c r="U565" t="s">
        <v>85</v>
      </c>
      <c r="V565">
        <v>1</v>
      </c>
    </row>
    <row r="566" spans="1:22">
      <c r="A566" t="s">
        <v>1051</v>
      </c>
      <c r="B566" s="3">
        <v>45884</v>
      </c>
      <c r="C566" s="3">
        <v>45889</v>
      </c>
      <c r="D566" t="s">
        <v>508</v>
      </c>
      <c r="E566" t="s">
        <v>509</v>
      </c>
      <c r="F566" t="s">
        <v>74</v>
      </c>
      <c r="G566" t="s">
        <v>75</v>
      </c>
      <c r="H566" t="s">
        <v>76</v>
      </c>
      <c r="I566" t="s">
        <v>77</v>
      </c>
      <c r="J566" t="s">
        <v>78</v>
      </c>
      <c r="K566" t="s">
        <v>130</v>
      </c>
      <c r="L566" t="s">
        <v>80</v>
      </c>
      <c r="M566" t="s">
        <v>81</v>
      </c>
      <c r="N566" t="s">
        <v>82</v>
      </c>
      <c r="O566" t="s">
        <v>83</v>
      </c>
      <c r="P566">
        <v>1</v>
      </c>
      <c r="Q566" s="4">
        <v>0</v>
      </c>
      <c r="R566" s="5">
        <v>0</v>
      </c>
      <c r="S566" s="4">
        <v>14.8</v>
      </c>
      <c r="T566" t="s">
        <v>84</v>
      </c>
      <c r="U566" t="s">
        <v>85</v>
      </c>
      <c r="V566">
        <v>1</v>
      </c>
    </row>
    <row r="567" spans="1:22">
      <c r="A567" t="s">
        <v>1052</v>
      </c>
      <c r="B567" s="3">
        <v>45884</v>
      </c>
      <c r="C567" s="3">
        <v>45887</v>
      </c>
      <c r="D567" t="s">
        <v>297</v>
      </c>
      <c r="E567" t="s">
        <v>298</v>
      </c>
      <c r="F567" t="s">
        <v>74</v>
      </c>
      <c r="G567" t="s">
        <v>126</v>
      </c>
      <c r="H567" t="s">
        <v>291</v>
      </c>
      <c r="I567" t="s">
        <v>292</v>
      </c>
      <c r="J567" t="s">
        <v>219</v>
      </c>
      <c r="K567" t="s">
        <v>90</v>
      </c>
      <c r="L567" t="s">
        <v>141</v>
      </c>
      <c r="M567" t="s">
        <v>142</v>
      </c>
      <c r="N567" t="s">
        <v>103</v>
      </c>
      <c r="O567" t="s">
        <v>143</v>
      </c>
      <c r="P567">
        <v>9</v>
      </c>
      <c r="Q567" s="4">
        <v>37.06</v>
      </c>
      <c r="R567" s="5">
        <v>0.02</v>
      </c>
      <c r="S567" s="4">
        <v>13.82</v>
      </c>
      <c r="T567" t="s">
        <v>84</v>
      </c>
      <c r="U567" t="s">
        <v>85</v>
      </c>
      <c r="V567">
        <v>2</v>
      </c>
    </row>
    <row r="568" spans="1:22">
      <c r="A568" t="s">
        <v>1053</v>
      </c>
      <c r="B568" s="3">
        <v>45885</v>
      </c>
      <c r="C568" s="3">
        <v>45886</v>
      </c>
      <c r="D568" t="s">
        <v>812</v>
      </c>
      <c r="E568" t="s">
        <v>813</v>
      </c>
      <c r="F568" t="s">
        <v>152</v>
      </c>
      <c r="G568" t="s">
        <v>75</v>
      </c>
      <c r="H568" t="s">
        <v>273</v>
      </c>
      <c r="I568" t="s">
        <v>274</v>
      </c>
      <c r="J568" t="s">
        <v>129</v>
      </c>
      <c r="K568" t="s">
        <v>79</v>
      </c>
      <c r="L568" t="s">
        <v>359</v>
      </c>
      <c r="M568" t="s">
        <v>360</v>
      </c>
      <c r="N568" t="s">
        <v>93</v>
      </c>
      <c r="O568" t="s">
        <v>94</v>
      </c>
      <c r="P568">
        <v>4</v>
      </c>
      <c r="Q568" s="4">
        <v>471.24</v>
      </c>
      <c r="R568" s="5">
        <v>0.12</v>
      </c>
      <c r="S568" s="4">
        <v>20.95</v>
      </c>
      <c r="T568" t="s">
        <v>84</v>
      </c>
      <c r="U568" t="s">
        <v>85</v>
      </c>
      <c r="V568">
        <v>1</v>
      </c>
    </row>
    <row r="569" spans="1:22">
      <c r="A569" t="s">
        <v>1054</v>
      </c>
      <c r="B569" s="3">
        <v>45886</v>
      </c>
      <c r="C569" s="3">
        <v>45895</v>
      </c>
      <c r="D569" t="s">
        <v>541</v>
      </c>
      <c r="E569" t="s">
        <v>542</v>
      </c>
      <c r="F569" t="s">
        <v>89</v>
      </c>
      <c r="G569" t="s">
        <v>138</v>
      </c>
      <c r="H569" t="s">
        <v>139</v>
      </c>
      <c r="I569" t="s">
        <v>140</v>
      </c>
      <c r="J569" t="s">
        <v>219</v>
      </c>
      <c r="K569" t="s">
        <v>90</v>
      </c>
      <c r="L569" t="s">
        <v>220</v>
      </c>
      <c r="M569" t="s">
        <v>221</v>
      </c>
      <c r="N569" t="s">
        <v>93</v>
      </c>
      <c r="O569" t="s">
        <v>177</v>
      </c>
      <c r="P569">
        <v>2</v>
      </c>
      <c r="Q569" s="4">
        <v>224.36</v>
      </c>
      <c r="R569" s="5">
        <v>0.1</v>
      </c>
      <c r="S569" s="4">
        <v>19.16</v>
      </c>
      <c r="T569" t="s">
        <v>105</v>
      </c>
      <c r="U569" t="s">
        <v>85</v>
      </c>
      <c r="V569">
        <v>5</v>
      </c>
    </row>
    <row r="570" spans="1:22">
      <c r="A570" t="s">
        <v>1055</v>
      </c>
      <c r="B570" s="3">
        <v>45887</v>
      </c>
      <c r="C570" s="3">
        <v>45894</v>
      </c>
      <c r="D570" t="s">
        <v>787</v>
      </c>
      <c r="E570" t="s">
        <v>660</v>
      </c>
      <c r="F570" t="s">
        <v>152</v>
      </c>
      <c r="G570" t="s">
        <v>194</v>
      </c>
      <c r="I570" t="s">
        <v>203</v>
      </c>
      <c r="J570" t="s">
        <v>109</v>
      </c>
      <c r="K570" t="s">
        <v>168</v>
      </c>
      <c r="L570" t="s">
        <v>91</v>
      </c>
      <c r="M570" t="s">
        <v>92</v>
      </c>
      <c r="N570" t="s">
        <v>93</v>
      </c>
      <c r="O570" t="s">
        <v>94</v>
      </c>
      <c r="P570">
        <v>2</v>
      </c>
      <c r="Q570" s="4">
        <v>332.77</v>
      </c>
      <c r="R570" s="5">
        <v>0.06</v>
      </c>
      <c r="S570" s="4">
        <v>26.49</v>
      </c>
      <c r="T570" t="s">
        <v>84</v>
      </c>
      <c r="U570" t="s">
        <v>85</v>
      </c>
      <c r="V570">
        <v>3</v>
      </c>
    </row>
    <row r="571" spans="1:22">
      <c r="A571" t="s">
        <v>1056</v>
      </c>
      <c r="B571" s="3">
        <v>45887</v>
      </c>
      <c r="C571" s="3">
        <v>45892</v>
      </c>
      <c r="D571" t="s">
        <v>287</v>
      </c>
      <c r="E571" t="s">
        <v>146</v>
      </c>
      <c r="F571" t="s">
        <v>89</v>
      </c>
      <c r="G571" t="s">
        <v>194</v>
      </c>
      <c r="H571" t="s">
        <v>195</v>
      </c>
      <c r="I571" t="s">
        <v>196</v>
      </c>
      <c r="J571" t="s">
        <v>109</v>
      </c>
      <c r="K571" t="s">
        <v>90</v>
      </c>
      <c r="L571" t="s">
        <v>261</v>
      </c>
      <c r="M571" t="s">
        <v>262</v>
      </c>
      <c r="N571" t="s">
        <v>103</v>
      </c>
      <c r="O571" t="s">
        <v>104</v>
      </c>
      <c r="P571">
        <v>1</v>
      </c>
      <c r="Q571" s="4">
        <v>28.01</v>
      </c>
      <c r="R571" s="5">
        <v>0.1</v>
      </c>
      <c r="S571" s="4">
        <v>11.01</v>
      </c>
      <c r="T571" t="s">
        <v>84</v>
      </c>
      <c r="U571" t="s">
        <v>85</v>
      </c>
      <c r="V571">
        <v>1</v>
      </c>
    </row>
    <row r="572" spans="1:22">
      <c r="A572" t="s">
        <v>1057</v>
      </c>
      <c r="B572" s="3">
        <v>45888</v>
      </c>
      <c r="C572" s="3">
        <v>45896</v>
      </c>
      <c r="D572" t="s">
        <v>279</v>
      </c>
      <c r="E572" t="s">
        <v>280</v>
      </c>
      <c r="F572" t="s">
        <v>89</v>
      </c>
      <c r="G572" t="s">
        <v>126</v>
      </c>
      <c r="H572" t="s">
        <v>160</v>
      </c>
      <c r="I572" t="s">
        <v>182</v>
      </c>
      <c r="J572" t="s">
        <v>129</v>
      </c>
      <c r="K572" t="s">
        <v>168</v>
      </c>
      <c r="L572" t="s">
        <v>80</v>
      </c>
      <c r="M572" t="s">
        <v>81</v>
      </c>
      <c r="N572" t="s">
        <v>82</v>
      </c>
      <c r="O572" t="s">
        <v>83</v>
      </c>
      <c r="P572">
        <v>10</v>
      </c>
      <c r="Q572" s="4">
        <v>242.38</v>
      </c>
      <c r="R572" s="5">
        <v>0.01</v>
      </c>
      <c r="S572" s="4">
        <v>6.04</v>
      </c>
      <c r="T572" t="s">
        <v>84</v>
      </c>
      <c r="U572" t="s">
        <v>85</v>
      </c>
      <c r="V572">
        <v>5</v>
      </c>
    </row>
    <row r="573" spans="1:22">
      <c r="A573" t="s">
        <v>1058</v>
      </c>
      <c r="B573" s="3">
        <v>45890</v>
      </c>
      <c r="C573" s="3">
        <v>45897</v>
      </c>
      <c r="D573" t="s">
        <v>210</v>
      </c>
      <c r="E573" t="s">
        <v>211</v>
      </c>
      <c r="F573" t="s">
        <v>89</v>
      </c>
      <c r="G573" t="s">
        <v>75</v>
      </c>
      <c r="H573" t="s">
        <v>212</v>
      </c>
      <c r="I573" t="s">
        <v>213</v>
      </c>
      <c r="J573" t="s">
        <v>78</v>
      </c>
      <c r="K573" t="s">
        <v>90</v>
      </c>
      <c r="L573" t="s">
        <v>80</v>
      </c>
      <c r="M573" t="s">
        <v>81</v>
      </c>
      <c r="N573" t="s">
        <v>82</v>
      </c>
      <c r="O573" t="s">
        <v>83</v>
      </c>
      <c r="P573">
        <v>4</v>
      </c>
      <c r="Q573" s="4">
        <v>252.56</v>
      </c>
      <c r="R573" s="5">
        <v>0.11</v>
      </c>
      <c r="S573" s="4">
        <v>16.559999999999999</v>
      </c>
      <c r="T573" t="s">
        <v>122</v>
      </c>
      <c r="U573" t="s">
        <v>85</v>
      </c>
      <c r="V573">
        <v>4</v>
      </c>
    </row>
    <row r="574" spans="1:22">
      <c r="A574" t="s">
        <v>1059</v>
      </c>
      <c r="B574" s="3">
        <v>45892</v>
      </c>
      <c r="C574" s="3">
        <v>45901</v>
      </c>
      <c r="D574" t="s">
        <v>598</v>
      </c>
      <c r="E574" t="s">
        <v>599</v>
      </c>
      <c r="F574" t="s">
        <v>89</v>
      </c>
      <c r="G574" t="s">
        <v>138</v>
      </c>
      <c r="H574" t="s">
        <v>457</v>
      </c>
      <c r="I574" t="s">
        <v>458</v>
      </c>
      <c r="J574" t="s">
        <v>109</v>
      </c>
      <c r="K574" t="s">
        <v>79</v>
      </c>
      <c r="L574" t="s">
        <v>162</v>
      </c>
      <c r="M574" t="s">
        <v>163</v>
      </c>
      <c r="N574" t="s">
        <v>120</v>
      </c>
      <c r="O574" t="s">
        <v>164</v>
      </c>
      <c r="P574">
        <v>1</v>
      </c>
      <c r="Q574" s="4">
        <v>847.78</v>
      </c>
      <c r="R574" s="5">
        <v>0.01</v>
      </c>
      <c r="S574" s="4">
        <v>17.86</v>
      </c>
      <c r="T574" t="s">
        <v>134</v>
      </c>
      <c r="U574" t="s">
        <v>85</v>
      </c>
      <c r="V574">
        <v>1</v>
      </c>
    </row>
    <row r="575" spans="1:22">
      <c r="A575" t="s">
        <v>1060</v>
      </c>
      <c r="B575" s="3">
        <v>45892</v>
      </c>
      <c r="C575" s="3">
        <v>45900</v>
      </c>
      <c r="D575" t="s">
        <v>300</v>
      </c>
      <c r="E575" t="s">
        <v>151</v>
      </c>
      <c r="F575" t="s">
        <v>152</v>
      </c>
      <c r="G575" t="s">
        <v>75</v>
      </c>
      <c r="H575" t="s">
        <v>98</v>
      </c>
      <c r="I575" t="s">
        <v>99</v>
      </c>
      <c r="J575" t="s">
        <v>129</v>
      </c>
      <c r="K575" t="s">
        <v>147</v>
      </c>
      <c r="L575" t="s">
        <v>301</v>
      </c>
      <c r="M575" t="s">
        <v>302</v>
      </c>
      <c r="N575" t="s">
        <v>120</v>
      </c>
      <c r="O575" t="s">
        <v>190</v>
      </c>
      <c r="P575">
        <v>3</v>
      </c>
      <c r="Q575" s="4">
        <v>135.80000000000001</v>
      </c>
      <c r="R575" s="5">
        <v>0.11</v>
      </c>
      <c r="S575" s="4">
        <v>14.94</v>
      </c>
      <c r="T575" t="s">
        <v>134</v>
      </c>
      <c r="U575" t="s">
        <v>85</v>
      </c>
      <c r="V575">
        <v>3</v>
      </c>
    </row>
    <row r="576" spans="1:22">
      <c r="A576" t="s">
        <v>1061</v>
      </c>
      <c r="B576" s="3">
        <v>45892</v>
      </c>
      <c r="C576" s="3">
        <v>45907</v>
      </c>
      <c r="D576" t="s">
        <v>667</v>
      </c>
      <c r="E576" t="s">
        <v>336</v>
      </c>
      <c r="F576" t="s">
        <v>152</v>
      </c>
      <c r="G576" t="s">
        <v>138</v>
      </c>
      <c r="H576" t="s">
        <v>457</v>
      </c>
      <c r="I576" t="s">
        <v>458</v>
      </c>
      <c r="J576" t="s">
        <v>129</v>
      </c>
      <c r="K576" t="s">
        <v>130</v>
      </c>
      <c r="L576" t="s">
        <v>234</v>
      </c>
      <c r="M576" t="s">
        <v>235</v>
      </c>
      <c r="N576" t="s">
        <v>93</v>
      </c>
      <c r="O576" t="s">
        <v>236</v>
      </c>
      <c r="P576">
        <v>3</v>
      </c>
      <c r="Q576" s="4">
        <v>150.78</v>
      </c>
      <c r="R576" s="5">
        <v>7.0000000000000007E-2</v>
      </c>
      <c r="S576" s="4">
        <v>22.68</v>
      </c>
      <c r="T576" t="s">
        <v>105</v>
      </c>
      <c r="U576" t="s">
        <v>85</v>
      </c>
      <c r="V576">
        <v>5</v>
      </c>
    </row>
    <row r="577" spans="1:22">
      <c r="A577" t="s">
        <v>1062</v>
      </c>
      <c r="B577" s="3">
        <v>45893</v>
      </c>
      <c r="C577" s="3">
        <v>45902</v>
      </c>
      <c r="D577" t="s">
        <v>704</v>
      </c>
      <c r="E577" t="s">
        <v>705</v>
      </c>
      <c r="F577" t="s">
        <v>89</v>
      </c>
      <c r="G577" t="s">
        <v>138</v>
      </c>
      <c r="H577" t="s">
        <v>186</v>
      </c>
      <c r="I577" t="s">
        <v>187</v>
      </c>
      <c r="J577" t="s">
        <v>219</v>
      </c>
      <c r="K577" t="s">
        <v>130</v>
      </c>
      <c r="L577" t="s">
        <v>118</v>
      </c>
      <c r="M577" t="s">
        <v>119</v>
      </c>
      <c r="N577" t="s">
        <v>120</v>
      </c>
      <c r="O577" t="s">
        <v>121</v>
      </c>
      <c r="P577">
        <v>2</v>
      </c>
      <c r="Q577" s="4">
        <v>301.83999999999997</v>
      </c>
      <c r="R577" s="5">
        <v>0.08</v>
      </c>
      <c r="S577" s="4">
        <v>19.309999999999999</v>
      </c>
      <c r="T577" t="s">
        <v>134</v>
      </c>
      <c r="U577" t="s">
        <v>85</v>
      </c>
      <c r="V577">
        <v>4</v>
      </c>
    </row>
    <row r="578" spans="1:22">
      <c r="A578" t="s">
        <v>1063</v>
      </c>
      <c r="B578" s="3">
        <v>45894</v>
      </c>
      <c r="C578" s="3">
        <v>45897</v>
      </c>
      <c r="D578" t="s">
        <v>271</v>
      </c>
      <c r="E578" t="s">
        <v>272</v>
      </c>
      <c r="F578" t="s">
        <v>89</v>
      </c>
      <c r="G578" t="s">
        <v>75</v>
      </c>
      <c r="H578" t="s">
        <v>273</v>
      </c>
      <c r="I578" t="s">
        <v>274</v>
      </c>
      <c r="J578" t="s">
        <v>78</v>
      </c>
      <c r="K578" t="s">
        <v>168</v>
      </c>
      <c r="L578" t="s">
        <v>431</v>
      </c>
      <c r="M578" t="s">
        <v>432</v>
      </c>
      <c r="N578" t="s">
        <v>103</v>
      </c>
      <c r="O578" t="s">
        <v>251</v>
      </c>
      <c r="P578">
        <v>1</v>
      </c>
      <c r="Q578" s="4">
        <v>37.49</v>
      </c>
      <c r="R578" s="5">
        <v>0</v>
      </c>
      <c r="S578" s="4">
        <v>7.65</v>
      </c>
      <c r="T578" t="s">
        <v>134</v>
      </c>
      <c r="U578" t="s">
        <v>85</v>
      </c>
      <c r="V578">
        <v>4</v>
      </c>
    </row>
    <row r="579" spans="1:22">
      <c r="A579" t="s">
        <v>1064</v>
      </c>
      <c r="B579" s="3">
        <v>45895</v>
      </c>
      <c r="C579" s="3">
        <v>45897</v>
      </c>
      <c r="D579" t="s">
        <v>145</v>
      </c>
      <c r="E579" t="s">
        <v>146</v>
      </c>
      <c r="F579" t="s">
        <v>74</v>
      </c>
      <c r="G579" t="s">
        <v>75</v>
      </c>
      <c r="H579" t="s">
        <v>116</v>
      </c>
      <c r="I579" t="s">
        <v>117</v>
      </c>
      <c r="J579" t="s">
        <v>219</v>
      </c>
      <c r="K579" t="s">
        <v>130</v>
      </c>
      <c r="L579" t="s">
        <v>284</v>
      </c>
      <c r="M579" t="s">
        <v>285</v>
      </c>
      <c r="N579" t="s">
        <v>103</v>
      </c>
      <c r="O579" t="s">
        <v>143</v>
      </c>
      <c r="P579">
        <v>2</v>
      </c>
      <c r="Q579" s="4">
        <v>27.65</v>
      </c>
      <c r="R579" s="5">
        <v>7.0000000000000007E-2</v>
      </c>
      <c r="S579" s="4">
        <v>13.01</v>
      </c>
      <c r="T579" t="s">
        <v>122</v>
      </c>
      <c r="U579" t="s">
        <v>85</v>
      </c>
      <c r="V579">
        <v>4</v>
      </c>
    </row>
    <row r="580" spans="1:22">
      <c r="A580" t="s">
        <v>1065</v>
      </c>
      <c r="B580" s="3">
        <v>45896</v>
      </c>
      <c r="C580" s="3">
        <v>45906</v>
      </c>
      <c r="D580" t="s">
        <v>1066</v>
      </c>
      <c r="E580" t="s">
        <v>1067</v>
      </c>
      <c r="F580" t="s">
        <v>152</v>
      </c>
      <c r="G580" t="s">
        <v>75</v>
      </c>
      <c r="H580" t="s">
        <v>98</v>
      </c>
      <c r="I580" t="s">
        <v>99</v>
      </c>
      <c r="J580" t="s">
        <v>129</v>
      </c>
      <c r="K580" t="s">
        <v>130</v>
      </c>
      <c r="L580" t="s">
        <v>261</v>
      </c>
      <c r="M580" t="s">
        <v>262</v>
      </c>
      <c r="N580" t="s">
        <v>103</v>
      </c>
      <c r="O580" t="s">
        <v>104</v>
      </c>
      <c r="P580">
        <v>-7</v>
      </c>
      <c r="Q580" s="4">
        <v>25.52</v>
      </c>
      <c r="R580" s="5">
        <v>0.06</v>
      </c>
      <c r="S580" s="4">
        <v>7.03</v>
      </c>
      <c r="T580" t="s">
        <v>122</v>
      </c>
      <c r="U580" t="s">
        <v>85</v>
      </c>
    </row>
    <row r="581" spans="1:22">
      <c r="A581" t="s">
        <v>1068</v>
      </c>
      <c r="B581" s="3">
        <v>45896</v>
      </c>
      <c r="C581" s="3">
        <v>45897</v>
      </c>
      <c r="D581" t="s">
        <v>751</v>
      </c>
      <c r="E581" t="s">
        <v>752</v>
      </c>
      <c r="F581" t="s">
        <v>152</v>
      </c>
      <c r="G581" t="s">
        <v>138</v>
      </c>
      <c r="H581" t="s">
        <v>139</v>
      </c>
      <c r="I581" t="s">
        <v>140</v>
      </c>
      <c r="J581" t="s">
        <v>219</v>
      </c>
      <c r="K581" t="s">
        <v>79</v>
      </c>
      <c r="L581" t="s">
        <v>141</v>
      </c>
      <c r="M581" t="s">
        <v>142</v>
      </c>
      <c r="N581" t="s">
        <v>103</v>
      </c>
      <c r="O581" t="s">
        <v>143</v>
      </c>
      <c r="P581">
        <v>4</v>
      </c>
      <c r="Q581" s="4">
        <v>36.020000000000003</v>
      </c>
      <c r="R581" s="5">
        <v>0.26</v>
      </c>
      <c r="S581" s="4">
        <v>10.119999999999999</v>
      </c>
      <c r="T581" t="s">
        <v>134</v>
      </c>
      <c r="U581" t="s">
        <v>85</v>
      </c>
      <c r="V581">
        <v>1</v>
      </c>
    </row>
    <row r="582" spans="1:22">
      <c r="A582" t="s">
        <v>1069</v>
      </c>
      <c r="B582" s="3">
        <v>45897</v>
      </c>
      <c r="C582" s="3">
        <v>45910</v>
      </c>
      <c r="D582" t="s">
        <v>714</v>
      </c>
      <c r="E582" t="s">
        <v>715</v>
      </c>
      <c r="F582" t="s">
        <v>89</v>
      </c>
      <c r="G582" t="s">
        <v>126</v>
      </c>
      <c r="H582" t="s">
        <v>160</v>
      </c>
      <c r="I582" t="s">
        <v>161</v>
      </c>
      <c r="J582" t="s">
        <v>219</v>
      </c>
      <c r="K582" t="s">
        <v>130</v>
      </c>
      <c r="L582" t="s">
        <v>207</v>
      </c>
      <c r="M582" t="s">
        <v>208</v>
      </c>
      <c r="N582" t="s">
        <v>120</v>
      </c>
      <c r="O582" t="s">
        <v>164</v>
      </c>
      <c r="P582">
        <v>4</v>
      </c>
      <c r="Q582" s="4">
        <v>1426.2</v>
      </c>
      <c r="R582" s="5">
        <v>0</v>
      </c>
      <c r="S582" s="4">
        <v>22.6</v>
      </c>
      <c r="T582" t="s">
        <v>105</v>
      </c>
      <c r="U582" t="s">
        <v>85</v>
      </c>
      <c r="V582">
        <v>3</v>
      </c>
    </row>
    <row r="583" spans="1:22">
      <c r="A583" t="s">
        <v>1070</v>
      </c>
      <c r="B583" s="3">
        <v>45897</v>
      </c>
      <c r="C583" s="3">
        <v>45904</v>
      </c>
      <c r="D583" t="s">
        <v>289</v>
      </c>
      <c r="E583" t="s">
        <v>290</v>
      </c>
      <c r="F583" t="s">
        <v>74</v>
      </c>
      <c r="G583" t="s">
        <v>126</v>
      </c>
      <c r="H583" t="s">
        <v>291</v>
      </c>
      <c r="I583" t="s">
        <v>292</v>
      </c>
      <c r="J583" t="s">
        <v>219</v>
      </c>
      <c r="K583" t="s">
        <v>130</v>
      </c>
      <c r="L583" t="s">
        <v>220</v>
      </c>
      <c r="M583" t="s">
        <v>221</v>
      </c>
      <c r="N583" t="s">
        <v>93</v>
      </c>
      <c r="O583" t="s">
        <v>177</v>
      </c>
      <c r="P583">
        <v>1</v>
      </c>
      <c r="Q583" s="4">
        <v>236.84</v>
      </c>
      <c r="R583" s="5">
        <v>7.0000000000000007E-2</v>
      </c>
      <c r="S583" s="4">
        <v>18.18</v>
      </c>
      <c r="T583" t="s">
        <v>84</v>
      </c>
      <c r="U583" t="s">
        <v>85</v>
      </c>
    </row>
    <row r="584" spans="1:22">
      <c r="A584" t="s">
        <v>1071</v>
      </c>
      <c r="B584" s="3">
        <v>45898</v>
      </c>
      <c r="C584" s="3">
        <v>45903</v>
      </c>
      <c r="D584" t="s">
        <v>228</v>
      </c>
      <c r="E584" t="s">
        <v>229</v>
      </c>
      <c r="F584" t="s">
        <v>74</v>
      </c>
      <c r="G584" t="s">
        <v>194</v>
      </c>
      <c r="H584" t="s">
        <v>230</v>
      </c>
      <c r="I584" t="s">
        <v>231</v>
      </c>
      <c r="J584" t="s">
        <v>129</v>
      </c>
      <c r="K584" t="s">
        <v>79</v>
      </c>
      <c r="L584" t="s">
        <v>80</v>
      </c>
      <c r="M584" t="s">
        <v>81</v>
      </c>
      <c r="N584" t="s">
        <v>82</v>
      </c>
      <c r="O584" t="s">
        <v>83</v>
      </c>
      <c r="P584">
        <v>9</v>
      </c>
      <c r="Q584" s="4">
        <v>250</v>
      </c>
      <c r="R584" s="5">
        <v>0.34</v>
      </c>
      <c r="S584" s="4">
        <v>9.61</v>
      </c>
      <c r="T584" t="s">
        <v>134</v>
      </c>
      <c r="U584" t="s">
        <v>85</v>
      </c>
      <c r="V584">
        <v>2</v>
      </c>
    </row>
    <row r="585" spans="1:22">
      <c r="A585" t="s">
        <v>1072</v>
      </c>
      <c r="B585" s="3">
        <v>45899</v>
      </c>
      <c r="C585" s="3">
        <v>45907</v>
      </c>
      <c r="D585" t="s">
        <v>613</v>
      </c>
      <c r="E585" t="s">
        <v>614</v>
      </c>
      <c r="F585" t="s">
        <v>74</v>
      </c>
      <c r="G585" t="s">
        <v>194</v>
      </c>
      <c r="H585" t="s">
        <v>195</v>
      </c>
      <c r="I585" t="s">
        <v>196</v>
      </c>
      <c r="J585" t="s">
        <v>78</v>
      </c>
      <c r="K585" t="s">
        <v>100</v>
      </c>
      <c r="L585" t="s">
        <v>141</v>
      </c>
      <c r="M585" t="s">
        <v>142</v>
      </c>
      <c r="N585" t="s">
        <v>103</v>
      </c>
      <c r="O585" t="s">
        <v>143</v>
      </c>
      <c r="P585">
        <v>3</v>
      </c>
      <c r="Q585" s="4">
        <v>34.67</v>
      </c>
      <c r="R585" s="5">
        <v>0.04</v>
      </c>
      <c r="S585" s="4">
        <v>7.29</v>
      </c>
      <c r="T585" t="s">
        <v>84</v>
      </c>
      <c r="U585" t="s">
        <v>85</v>
      </c>
      <c r="V585">
        <v>5</v>
      </c>
    </row>
    <row r="586" spans="1:22">
      <c r="A586" t="s">
        <v>1073</v>
      </c>
      <c r="B586" s="3">
        <v>45899</v>
      </c>
      <c r="C586" s="3">
        <v>45907</v>
      </c>
      <c r="D586" t="s">
        <v>627</v>
      </c>
      <c r="E586" t="s">
        <v>542</v>
      </c>
      <c r="F586" t="s">
        <v>152</v>
      </c>
      <c r="G586" t="s">
        <v>194</v>
      </c>
      <c r="H586" t="s">
        <v>240</v>
      </c>
      <c r="I586" t="s">
        <v>241</v>
      </c>
      <c r="J586" t="s">
        <v>109</v>
      </c>
      <c r="K586" t="s">
        <v>79</v>
      </c>
      <c r="L586" t="s">
        <v>197</v>
      </c>
      <c r="M586" t="s">
        <v>198</v>
      </c>
      <c r="N586" t="s">
        <v>120</v>
      </c>
      <c r="O586" t="s">
        <v>121</v>
      </c>
      <c r="P586">
        <v>3</v>
      </c>
      <c r="Q586" s="4">
        <v>534.01</v>
      </c>
      <c r="R586" s="5">
        <v>0</v>
      </c>
      <c r="S586" s="4">
        <v>13.31</v>
      </c>
      <c r="T586" t="s">
        <v>134</v>
      </c>
      <c r="U586" t="s">
        <v>85</v>
      </c>
      <c r="V586">
        <v>4</v>
      </c>
    </row>
    <row r="587" spans="1:22">
      <c r="A587" t="s">
        <v>1074</v>
      </c>
      <c r="B587" s="3">
        <v>45900</v>
      </c>
      <c r="C587" s="3">
        <v>45906</v>
      </c>
      <c r="D587" t="s">
        <v>136</v>
      </c>
      <c r="E587" t="s">
        <v>137</v>
      </c>
      <c r="F587" t="s">
        <v>74</v>
      </c>
      <c r="G587" t="s">
        <v>138</v>
      </c>
      <c r="H587" t="s">
        <v>139</v>
      </c>
      <c r="I587" t="s">
        <v>140</v>
      </c>
      <c r="J587" t="s">
        <v>129</v>
      </c>
      <c r="K587" t="s">
        <v>90</v>
      </c>
      <c r="L587" t="s">
        <v>301</v>
      </c>
      <c r="M587" t="s">
        <v>302</v>
      </c>
      <c r="N587" t="s">
        <v>120</v>
      </c>
      <c r="O587" t="s">
        <v>190</v>
      </c>
      <c r="P587">
        <v>2</v>
      </c>
      <c r="Q587" s="4">
        <v>141.46</v>
      </c>
      <c r="R587" s="5">
        <v>0.11</v>
      </c>
      <c r="S587" s="4">
        <v>10.210000000000001</v>
      </c>
      <c r="T587" t="s">
        <v>134</v>
      </c>
      <c r="U587" t="s">
        <v>85</v>
      </c>
      <c r="V587">
        <v>2</v>
      </c>
    </row>
    <row r="588" spans="1:22">
      <c r="A588" t="s">
        <v>1075</v>
      </c>
      <c r="B588" s="3">
        <v>45901</v>
      </c>
      <c r="C588" s="3">
        <v>45908</v>
      </c>
      <c r="D588" t="s">
        <v>1076</v>
      </c>
      <c r="E588" t="s">
        <v>1077</v>
      </c>
      <c r="F588" t="s">
        <v>74</v>
      </c>
      <c r="G588" t="s">
        <v>126</v>
      </c>
      <c r="H588" t="s">
        <v>160</v>
      </c>
      <c r="I588" t="s">
        <v>161</v>
      </c>
      <c r="J588" t="s">
        <v>219</v>
      </c>
      <c r="K588" t="s">
        <v>79</v>
      </c>
      <c r="L588" t="s">
        <v>431</v>
      </c>
      <c r="M588" t="s">
        <v>432</v>
      </c>
      <c r="N588" t="s">
        <v>103</v>
      </c>
      <c r="O588" t="s">
        <v>251</v>
      </c>
      <c r="P588">
        <v>3</v>
      </c>
      <c r="Q588" s="4">
        <v>38.840000000000003</v>
      </c>
      <c r="R588" s="5">
        <v>7.0000000000000007E-2</v>
      </c>
      <c r="S588" s="4">
        <v>10.69</v>
      </c>
      <c r="T588" t="s">
        <v>122</v>
      </c>
      <c r="U588" t="s">
        <v>85</v>
      </c>
      <c r="V588">
        <v>4</v>
      </c>
    </row>
    <row r="589" spans="1:22">
      <c r="A589" t="s">
        <v>1078</v>
      </c>
      <c r="B589" s="3">
        <v>45901</v>
      </c>
      <c r="C589" s="3">
        <v>45909</v>
      </c>
      <c r="D589" t="s">
        <v>166</v>
      </c>
      <c r="E589" t="s">
        <v>167</v>
      </c>
      <c r="F589" t="s">
        <v>74</v>
      </c>
      <c r="G589" t="s">
        <v>75</v>
      </c>
      <c r="H589" t="s">
        <v>116</v>
      </c>
      <c r="I589" t="s">
        <v>117</v>
      </c>
      <c r="J589" t="s">
        <v>219</v>
      </c>
      <c r="K589" t="s">
        <v>130</v>
      </c>
      <c r="L589" t="s">
        <v>254</v>
      </c>
      <c r="M589" t="s">
        <v>255</v>
      </c>
      <c r="N589" t="s">
        <v>82</v>
      </c>
      <c r="O589" t="s">
        <v>83</v>
      </c>
      <c r="P589">
        <v>6</v>
      </c>
      <c r="Q589" s="4">
        <v>96.21</v>
      </c>
      <c r="R589" s="5">
        <v>7.0000000000000007E-2</v>
      </c>
      <c r="S589" s="4">
        <v>15.63</v>
      </c>
      <c r="T589" t="s">
        <v>84</v>
      </c>
      <c r="U589" t="s">
        <v>85</v>
      </c>
      <c r="V589">
        <v>4</v>
      </c>
    </row>
    <row r="590" spans="1:22">
      <c r="A590" t="s">
        <v>1079</v>
      </c>
      <c r="B590" s="3">
        <v>45902</v>
      </c>
      <c r="C590" s="3">
        <v>45906</v>
      </c>
      <c r="D590" t="s">
        <v>771</v>
      </c>
      <c r="E590" t="s">
        <v>772</v>
      </c>
      <c r="F590" t="s">
        <v>74</v>
      </c>
      <c r="G590" t="s">
        <v>126</v>
      </c>
      <c r="H590" t="s">
        <v>127</v>
      </c>
      <c r="I590" t="s">
        <v>128</v>
      </c>
      <c r="J590" t="s">
        <v>219</v>
      </c>
      <c r="K590" t="s">
        <v>79</v>
      </c>
      <c r="L590" t="s">
        <v>110</v>
      </c>
      <c r="M590" t="s">
        <v>111</v>
      </c>
      <c r="N590" t="s">
        <v>82</v>
      </c>
      <c r="O590" t="s">
        <v>112</v>
      </c>
      <c r="P590">
        <v>3</v>
      </c>
      <c r="Q590" s="4">
        <v>316.93</v>
      </c>
      <c r="R590" s="5">
        <v>0.1</v>
      </c>
      <c r="S590" s="4">
        <v>5.0199999999999996</v>
      </c>
      <c r="T590" t="s">
        <v>122</v>
      </c>
    </row>
    <row r="591" spans="1:22">
      <c r="A591" t="s">
        <v>1080</v>
      </c>
      <c r="B591" s="3">
        <v>45904</v>
      </c>
      <c r="C591" s="3">
        <v>45906</v>
      </c>
      <c r="D591" t="s">
        <v>563</v>
      </c>
      <c r="E591" t="s">
        <v>564</v>
      </c>
      <c r="F591" t="s">
        <v>152</v>
      </c>
      <c r="G591" t="s">
        <v>138</v>
      </c>
      <c r="H591" t="s">
        <v>139</v>
      </c>
      <c r="I591" t="s">
        <v>140</v>
      </c>
      <c r="J591" t="s">
        <v>219</v>
      </c>
      <c r="K591" t="s">
        <v>79</v>
      </c>
      <c r="L591" t="s">
        <v>431</v>
      </c>
      <c r="M591" t="s">
        <v>432</v>
      </c>
      <c r="N591" t="s">
        <v>103</v>
      </c>
      <c r="O591" t="s">
        <v>251</v>
      </c>
      <c r="P591">
        <v>8</v>
      </c>
      <c r="Q591" s="4">
        <v>39.369999999999997</v>
      </c>
      <c r="R591" s="5">
        <v>0</v>
      </c>
      <c r="S591" s="4">
        <v>9.9</v>
      </c>
      <c r="T591" t="s">
        <v>105</v>
      </c>
      <c r="U591" t="s">
        <v>85</v>
      </c>
      <c r="V591">
        <v>1</v>
      </c>
    </row>
    <row r="592" spans="1:22">
      <c r="A592" t="s">
        <v>1081</v>
      </c>
      <c r="B592" s="3">
        <v>45904</v>
      </c>
      <c r="C592" s="3">
        <v>45917</v>
      </c>
      <c r="D592" t="s">
        <v>714</v>
      </c>
      <c r="E592" t="s">
        <v>715</v>
      </c>
      <c r="F592" t="s">
        <v>89</v>
      </c>
      <c r="G592" t="s">
        <v>126</v>
      </c>
      <c r="H592" t="s">
        <v>160</v>
      </c>
      <c r="I592" t="s">
        <v>161</v>
      </c>
      <c r="J592" t="s">
        <v>78</v>
      </c>
      <c r="K592" t="s">
        <v>130</v>
      </c>
      <c r="L592" t="s">
        <v>234</v>
      </c>
      <c r="M592" t="s">
        <v>235</v>
      </c>
      <c r="N592" t="s">
        <v>93</v>
      </c>
      <c r="O592" t="s">
        <v>236</v>
      </c>
      <c r="P592">
        <v>2</v>
      </c>
      <c r="Q592" s="4">
        <v>142.38999999999999</v>
      </c>
      <c r="R592" s="5">
        <v>0.35</v>
      </c>
      <c r="S592" s="4">
        <v>28.46</v>
      </c>
      <c r="T592" t="s">
        <v>134</v>
      </c>
      <c r="U592" t="s">
        <v>85</v>
      </c>
      <c r="V592">
        <v>4</v>
      </c>
    </row>
    <row r="593" spans="1:22">
      <c r="A593" t="s">
        <v>1082</v>
      </c>
      <c r="B593" s="3">
        <v>45904</v>
      </c>
      <c r="C593" s="3">
        <v>45906</v>
      </c>
      <c r="D593" t="s">
        <v>576</v>
      </c>
      <c r="E593" t="s">
        <v>577</v>
      </c>
      <c r="F593" t="s">
        <v>89</v>
      </c>
      <c r="G593" t="s">
        <v>126</v>
      </c>
      <c r="H593" t="s">
        <v>291</v>
      </c>
      <c r="I593" t="s">
        <v>292</v>
      </c>
      <c r="J593" t="s">
        <v>109</v>
      </c>
      <c r="K593" t="s">
        <v>168</v>
      </c>
      <c r="L593" t="s">
        <v>254</v>
      </c>
      <c r="M593" t="s">
        <v>255</v>
      </c>
      <c r="N593" t="s">
        <v>82</v>
      </c>
      <c r="O593" t="s">
        <v>83</v>
      </c>
      <c r="P593">
        <v>-1</v>
      </c>
      <c r="Q593" s="4">
        <v>100.11</v>
      </c>
      <c r="R593" s="5">
        <v>0.06</v>
      </c>
      <c r="S593" s="4">
        <v>7.21</v>
      </c>
      <c r="T593" t="s">
        <v>134</v>
      </c>
      <c r="U593" t="s">
        <v>85</v>
      </c>
      <c r="V593">
        <v>1</v>
      </c>
    </row>
    <row r="594" spans="1:22">
      <c r="A594" t="s">
        <v>1083</v>
      </c>
      <c r="B594" s="3">
        <v>45904</v>
      </c>
      <c r="C594" s="3">
        <v>45921</v>
      </c>
      <c r="D594" t="s">
        <v>392</v>
      </c>
      <c r="E594" t="s">
        <v>393</v>
      </c>
      <c r="F594" t="s">
        <v>74</v>
      </c>
      <c r="G594" t="s">
        <v>126</v>
      </c>
      <c r="H594" t="s">
        <v>160</v>
      </c>
      <c r="I594" t="s">
        <v>161</v>
      </c>
      <c r="J594" t="s">
        <v>78</v>
      </c>
      <c r="K594" t="s">
        <v>168</v>
      </c>
      <c r="L594" t="s">
        <v>110</v>
      </c>
      <c r="M594" t="s">
        <v>111</v>
      </c>
      <c r="N594" t="s">
        <v>82</v>
      </c>
      <c r="O594" t="s">
        <v>112</v>
      </c>
      <c r="P594">
        <v>0</v>
      </c>
      <c r="Q594" s="4">
        <v>329.02</v>
      </c>
      <c r="R594" s="5">
        <v>0.08</v>
      </c>
      <c r="S594" s="4">
        <v>6.65</v>
      </c>
      <c r="T594" t="s">
        <v>84</v>
      </c>
      <c r="U594" t="s">
        <v>85</v>
      </c>
      <c r="V594">
        <v>1</v>
      </c>
    </row>
    <row r="595" spans="1:22">
      <c r="A595" t="s">
        <v>1084</v>
      </c>
      <c r="B595" s="3">
        <v>45905</v>
      </c>
      <c r="C595" s="3">
        <v>45919</v>
      </c>
      <c r="D595" t="s">
        <v>228</v>
      </c>
      <c r="E595" t="s">
        <v>229</v>
      </c>
      <c r="F595" t="s">
        <v>74</v>
      </c>
      <c r="G595" t="s">
        <v>194</v>
      </c>
      <c r="H595" t="s">
        <v>230</v>
      </c>
      <c r="I595" t="s">
        <v>231</v>
      </c>
      <c r="J595" t="s">
        <v>78</v>
      </c>
      <c r="K595" t="s">
        <v>100</v>
      </c>
      <c r="L595" t="s">
        <v>101</v>
      </c>
      <c r="M595" t="s">
        <v>102</v>
      </c>
      <c r="N595" t="s">
        <v>103</v>
      </c>
      <c r="O595" t="s">
        <v>104</v>
      </c>
      <c r="P595">
        <v>2</v>
      </c>
      <c r="Q595" s="4">
        <v>77.03</v>
      </c>
      <c r="R595" s="5">
        <v>7.0000000000000007E-2</v>
      </c>
      <c r="S595" s="4">
        <v>8.3800000000000008</v>
      </c>
      <c r="T595" t="s">
        <v>84</v>
      </c>
      <c r="U595" t="s">
        <v>85</v>
      </c>
      <c r="V595">
        <v>4</v>
      </c>
    </row>
    <row r="596" spans="1:22">
      <c r="A596" t="s">
        <v>1085</v>
      </c>
      <c r="B596" s="3">
        <v>45905</v>
      </c>
      <c r="C596" s="3">
        <v>45906</v>
      </c>
      <c r="D596" t="s">
        <v>1066</v>
      </c>
      <c r="E596" t="s">
        <v>1067</v>
      </c>
      <c r="F596" t="s">
        <v>152</v>
      </c>
      <c r="G596" t="s">
        <v>75</v>
      </c>
      <c r="H596" t="s">
        <v>98</v>
      </c>
      <c r="I596" t="s">
        <v>99</v>
      </c>
      <c r="J596" t="s">
        <v>109</v>
      </c>
      <c r="K596" t="s">
        <v>147</v>
      </c>
      <c r="L596" t="s">
        <v>214</v>
      </c>
      <c r="M596" t="s">
        <v>215</v>
      </c>
      <c r="N596" t="s">
        <v>103</v>
      </c>
      <c r="O596" t="s">
        <v>171</v>
      </c>
      <c r="P596">
        <v>1</v>
      </c>
      <c r="Q596" s="4">
        <v>12.49</v>
      </c>
      <c r="R596" s="5">
        <v>0</v>
      </c>
      <c r="S596" s="4">
        <v>6.83</v>
      </c>
      <c r="T596" t="s">
        <v>134</v>
      </c>
      <c r="U596" t="s">
        <v>85</v>
      </c>
      <c r="V596">
        <v>3</v>
      </c>
    </row>
    <row r="597" spans="1:22">
      <c r="A597" t="s">
        <v>1086</v>
      </c>
      <c r="B597" s="3">
        <v>45906</v>
      </c>
      <c r="C597" s="3">
        <v>45915</v>
      </c>
      <c r="D597" t="s">
        <v>217</v>
      </c>
      <c r="E597" t="s">
        <v>218</v>
      </c>
      <c r="F597" t="s">
        <v>89</v>
      </c>
      <c r="G597" t="s">
        <v>75</v>
      </c>
      <c r="H597" t="s">
        <v>98</v>
      </c>
      <c r="I597" t="s">
        <v>99</v>
      </c>
      <c r="J597" t="s">
        <v>219</v>
      </c>
      <c r="K597" t="s">
        <v>130</v>
      </c>
      <c r="L597" t="s">
        <v>188</v>
      </c>
      <c r="M597" t="s">
        <v>189</v>
      </c>
      <c r="N597" t="s">
        <v>120</v>
      </c>
      <c r="O597" t="s">
        <v>190</v>
      </c>
      <c r="P597">
        <v>3</v>
      </c>
      <c r="Q597" s="4">
        <v>62.07</v>
      </c>
      <c r="R597" s="5">
        <v>0.01</v>
      </c>
      <c r="S597" s="4">
        <v>16.329999999999998</v>
      </c>
      <c r="T597" t="s">
        <v>84</v>
      </c>
      <c r="U597" t="s">
        <v>85</v>
      </c>
    </row>
    <row r="598" spans="1:22">
      <c r="A598" t="s">
        <v>1087</v>
      </c>
      <c r="B598" s="3">
        <v>45906</v>
      </c>
      <c r="C598" s="3">
        <v>45914</v>
      </c>
      <c r="D598" t="s">
        <v>419</v>
      </c>
      <c r="E598" t="s">
        <v>420</v>
      </c>
      <c r="F598" t="s">
        <v>74</v>
      </c>
      <c r="G598" t="s">
        <v>126</v>
      </c>
      <c r="H598" t="s">
        <v>160</v>
      </c>
      <c r="I598" t="s">
        <v>161</v>
      </c>
      <c r="J598" t="s">
        <v>219</v>
      </c>
      <c r="K598" t="s">
        <v>147</v>
      </c>
      <c r="L598" t="s">
        <v>155</v>
      </c>
      <c r="M598" t="s">
        <v>156</v>
      </c>
      <c r="N598" t="s">
        <v>82</v>
      </c>
      <c r="O598" t="s">
        <v>112</v>
      </c>
      <c r="P598">
        <v>9</v>
      </c>
      <c r="Q598" s="4">
        <v>173.46</v>
      </c>
      <c r="R598" s="5">
        <v>0.02</v>
      </c>
      <c r="S598" s="4">
        <v>7.16</v>
      </c>
      <c r="T598" t="s">
        <v>122</v>
      </c>
      <c r="U598" t="s">
        <v>85</v>
      </c>
      <c r="V598">
        <v>1</v>
      </c>
    </row>
    <row r="599" spans="1:22">
      <c r="A599" t="s">
        <v>1088</v>
      </c>
      <c r="B599" s="3">
        <v>45906</v>
      </c>
      <c r="C599" s="3">
        <v>45907</v>
      </c>
      <c r="D599" t="s">
        <v>529</v>
      </c>
      <c r="E599" t="s">
        <v>397</v>
      </c>
      <c r="F599" t="s">
        <v>89</v>
      </c>
      <c r="G599" t="s">
        <v>194</v>
      </c>
      <c r="H599" t="s">
        <v>240</v>
      </c>
      <c r="I599" t="s">
        <v>241</v>
      </c>
      <c r="J599" t="s">
        <v>78</v>
      </c>
      <c r="K599" t="s">
        <v>90</v>
      </c>
      <c r="L599" t="s">
        <v>284</v>
      </c>
      <c r="M599" t="s">
        <v>285</v>
      </c>
      <c r="N599" t="s">
        <v>103</v>
      </c>
      <c r="O599" t="s">
        <v>143</v>
      </c>
      <c r="P599">
        <v>10</v>
      </c>
      <c r="Q599" s="4">
        <v>29.66</v>
      </c>
      <c r="R599" s="5">
        <v>0.09</v>
      </c>
      <c r="S599" s="4">
        <v>13.72</v>
      </c>
      <c r="T599" t="s">
        <v>105</v>
      </c>
      <c r="U599" t="s">
        <v>85</v>
      </c>
      <c r="V599">
        <v>2</v>
      </c>
    </row>
    <row r="600" spans="1:22">
      <c r="A600" t="s">
        <v>1089</v>
      </c>
      <c r="B600" s="3">
        <v>45907</v>
      </c>
      <c r="C600" s="3">
        <v>45923</v>
      </c>
      <c r="D600" t="s">
        <v>616</v>
      </c>
      <c r="E600" t="s">
        <v>617</v>
      </c>
      <c r="F600" t="s">
        <v>152</v>
      </c>
      <c r="G600" t="s">
        <v>194</v>
      </c>
      <c r="H600" t="s">
        <v>230</v>
      </c>
      <c r="I600" t="s">
        <v>231</v>
      </c>
      <c r="J600" t="s">
        <v>129</v>
      </c>
      <c r="K600" t="s">
        <v>90</v>
      </c>
      <c r="L600" t="s">
        <v>80</v>
      </c>
      <c r="M600" t="s">
        <v>81</v>
      </c>
      <c r="N600" t="s">
        <v>82</v>
      </c>
      <c r="O600" t="s">
        <v>83</v>
      </c>
      <c r="P600">
        <v>5</v>
      </c>
      <c r="Q600" s="4">
        <v>247.02</v>
      </c>
      <c r="R600" s="5">
        <v>0.09</v>
      </c>
      <c r="S600" s="4">
        <v>8.4700000000000006</v>
      </c>
      <c r="T600" t="s">
        <v>122</v>
      </c>
      <c r="U600" t="s">
        <v>85</v>
      </c>
      <c r="V600">
        <v>5</v>
      </c>
    </row>
    <row r="601" spans="1:22">
      <c r="A601" t="s">
        <v>1090</v>
      </c>
      <c r="B601" s="3">
        <v>45907</v>
      </c>
      <c r="C601" s="3">
        <v>45911</v>
      </c>
      <c r="D601" t="s">
        <v>287</v>
      </c>
      <c r="E601" t="s">
        <v>146</v>
      </c>
      <c r="F601" t="s">
        <v>89</v>
      </c>
      <c r="G601" t="s">
        <v>194</v>
      </c>
      <c r="H601" t="s">
        <v>195</v>
      </c>
      <c r="I601" t="s">
        <v>196</v>
      </c>
      <c r="J601" t="s">
        <v>109</v>
      </c>
      <c r="K601" t="s">
        <v>90</v>
      </c>
      <c r="L601" t="s">
        <v>80</v>
      </c>
      <c r="M601" t="s">
        <v>81</v>
      </c>
      <c r="N601" t="s">
        <v>82</v>
      </c>
      <c r="O601" t="s">
        <v>83</v>
      </c>
      <c r="P601">
        <v>8</v>
      </c>
      <c r="Q601" s="4">
        <v>243.96</v>
      </c>
      <c r="R601" s="5">
        <v>0.08</v>
      </c>
      <c r="S601" s="4">
        <v>12.27</v>
      </c>
      <c r="T601" t="s">
        <v>122</v>
      </c>
      <c r="U601" t="s">
        <v>85</v>
      </c>
      <c r="V601">
        <v>1</v>
      </c>
    </row>
    <row r="602" spans="1:22">
      <c r="A602" t="s">
        <v>1091</v>
      </c>
      <c r="B602" s="3">
        <v>45907</v>
      </c>
      <c r="C602" s="3">
        <v>45912</v>
      </c>
      <c r="D602" t="s">
        <v>381</v>
      </c>
      <c r="E602" t="s">
        <v>382</v>
      </c>
      <c r="F602" t="s">
        <v>152</v>
      </c>
      <c r="G602" t="s">
        <v>194</v>
      </c>
      <c r="H602" t="s">
        <v>202</v>
      </c>
      <c r="I602" t="s">
        <v>203</v>
      </c>
      <c r="J602" t="s">
        <v>78</v>
      </c>
      <c r="K602" t="s">
        <v>90</v>
      </c>
      <c r="L602" t="s">
        <v>301</v>
      </c>
      <c r="M602" t="s">
        <v>302</v>
      </c>
      <c r="N602" t="s">
        <v>120</v>
      </c>
      <c r="O602" t="s">
        <v>190</v>
      </c>
      <c r="P602">
        <v>4</v>
      </c>
      <c r="Q602" s="4">
        <v>138.16999999999999</v>
      </c>
      <c r="R602" s="5">
        <v>0.1</v>
      </c>
      <c r="S602" s="4">
        <v>8.49</v>
      </c>
      <c r="T602" t="s">
        <v>84</v>
      </c>
      <c r="U602" t="s">
        <v>85</v>
      </c>
      <c r="V602">
        <v>2</v>
      </c>
    </row>
    <row r="603" spans="1:22">
      <c r="A603" t="s">
        <v>1092</v>
      </c>
      <c r="B603" s="3">
        <v>45909</v>
      </c>
      <c r="C603" s="3">
        <v>45915</v>
      </c>
      <c r="D603" t="s">
        <v>537</v>
      </c>
      <c r="E603" t="s">
        <v>538</v>
      </c>
      <c r="F603" t="s">
        <v>74</v>
      </c>
      <c r="G603" t="s">
        <v>138</v>
      </c>
      <c r="H603" t="s">
        <v>139</v>
      </c>
      <c r="I603" t="s">
        <v>140</v>
      </c>
      <c r="J603" t="s">
        <v>109</v>
      </c>
      <c r="K603" t="s">
        <v>100</v>
      </c>
      <c r="L603" t="s">
        <v>337</v>
      </c>
      <c r="M603" t="s">
        <v>338</v>
      </c>
      <c r="N603" t="s">
        <v>93</v>
      </c>
      <c r="O603" t="s">
        <v>236</v>
      </c>
      <c r="P603">
        <v>3</v>
      </c>
      <c r="Q603" s="4">
        <v>283.14</v>
      </c>
      <c r="R603" s="5">
        <v>0.02</v>
      </c>
      <c r="S603" s="4">
        <v>26.31</v>
      </c>
      <c r="T603" t="s">
        <v>122</v>
      </c>
      <c r="U603" t="s">
        <v>85</v>
      </c>
      <c r="V603">
        <v>4</v>
      </c>
    </row>
    <row r="604" spans="1:22">
      <c r="A604" t="s">
        <v>1093</v>
      </c>
      <c r="B604" s="3">
        <v>45910</v>
      </c>
      <c r="C604" s="3">
        <v>45924</v>
      </c>
      <c r="D604" t="s">
        <v>217</v>
      </c>
      <c r="E604" t="s">
        <v>218</v>
      </c>
      <c r="F604" t="s">
        <v>89</v>
      </c>
      <c r="G604" t="s">
        <v>75</v>
      </c>
      <c r="H604" t="s">
        <v>98</v>
      </c>
      <c r="I604" t="s">
        <v>99</v>
      </c>
      <c r="J604" t="s">
        <v>109</v>
      </c>
      <c r="K604" t="s">
        <v>90</v>
      </c>
      <c r="L604" t="s">
        <v>175</v>
      </c>
      <c r="M604" t="s">
        <v>176</v>
      </c>
      <c r="N604" t="s">
        <v>93</v>
      </c>
      <c r="O604" t="s">
        <v>177</v>
      </c>
      <c r="P604">
        <v>2</v>
      </c>
      <c r="Q604" s="4">
        <v>177.05</v>
      </c>
      <c r="R604" s="5">
        <v>0.11</v>
      </c>
      <c r="S604" s="4">
        <v>27.76</v>
      </c>
      <c r="T604" t="s">
        <v>105</v>
      </c>
      <c r="U604" t="s">
        <v>85</v>
      </c>
      <c r="V604">
        <v>5</v>
      </c>
    </row>
    <row r="605" spans="1:22">
      <c r="A605" t="s">
        <v>1094</v>
      </c>
      <c r="B605" s="3">
        <v>45910</v>
      </c>
      <c r="C605" s="3">
        <v>45911</v>
      </c>
      <c r="D605" t="s">
        <v>782</v>
      </c>
      <c r="E605" t="s">
        <v>783</v>
      </c>
      <c r="F605" t="s">
        <v>152</v>
      </c>
      <c r="G605" t="s">
        <v>126</v>
      </c>
      <c r="H605" t="s">
        <v>784</v>
      </c>
      <c r="I605" t="s">
        <v>785</v>
      </c>
      <c r="J605" t="s">
        <v>78</v>
      </c>
      <c r="K605" t="s">
        <v>168</v>
      </c>
      <c r="L605" t="s">
        <v>207</v>
      </c>
      <c r="M605" t="s">
        <v>208</v>
      </c>
      <c r="N605" t="s">
        <v>120</v>
      </c>
      <c r="O605" t="s">
        <v>164</v>
      </c>
      <c r="P605">
        <v>4</v>
      </c>
      <c r="Q605" s="4">
        <v>1415.81</v>
      </c>
      <c r="R605" s="5">
        <v>0.05</v>
      </c>
      <c r="S605" s="4">
        <v>5.34</v>
      </c>
      <c r="T605" t="s">
        <v>122</v>
      </c>
      <c r="U605" t="s">
        <v>85</v>
      </c>
      <c r="V605">
        <v>5</v>
      </c>
    </row>
    <row r="606" spans="1:22">
      <c r="A606" t="s">
        <v>1095</v>
      </c>
      <c r="B606" s="3">
        <v>45911</v>
      </c>
      <c r="C606" s="3">
        <v>45920</v>
      </c>
      <c r="D606" t="s">
        <v>451</v>
      </c>
      <c r="E606" t="s">
        <v>452</v>
      </c>
      <c r="F606" t="s">
        <v>89</v>
      </c>
      <c r="G606" t="s">
        <v>126</v>
      </c>
      <c r="H606" t="s">
        <v>160</v>
      </c>
      <c r="I606" t="s">
        <v>161</v>
      </c>
      <c r="J606" t="s">
        <v>109</v>
      </c>
      <c r="K606" t="s">
        <v>147</v>
      </c>
      <c r="L606" t="s">
        <v>155</v>
      </c>
      <c r="M606" t="s">
        <v>156</v>
      </c>
      <c r="N606" t="s">
        <v>82</v>
      </c>
      <c r="O606" t="s">
        <v>112</v>
      </c>
      <c r="P606">
        <v>2</v>
      </c>
      <c r="Q606" s="4">
        <v>161.32</v>
      </c>
      <c r="R606" s="5">
        <v>0.09</v>
      </c>
      <c r="S606" s="4">
        <v>15.33</v>
      </c>
      <c r="T606" t="s">
        <v>134</v>
      </c>
      <c r="U606" t="s">
        <v>85</v>
      </c>
      <c r="V606">
        <v>2</v>
      </c>
    </row>
    <row r="607" spans="1:22">
      <c r="A607" t="s">
        <v>1095</v>
      </c>
      <c r="B607" s="3">
        <v>45911</v>
      </c>
      <c r="C607" s="3">
        <v>45920</v>
      </c>
      <c r="D607" t="s">
        <v>451</v>
      </c>
      <c r="E607" t="s">
        <v>452</v>
      </c>
      <c r="F607" t="s">
        <v>89</v>
      </c>
      <c r="G607" t="s">
        <v>126</v>
      </c>
      <c r="H607" t="s">
        <v>160</v>
      </c>
      <c r="I607" t="s">
        <v>161</v>
      </c>
      <c r="J607" t="s">
        <v>109</v>
      </c>
      <c r="K607" t="s">
        <v>147</v>
      </c>
      <c r="L607" t="s">
        <v>155</v>
      </c>
      <c r="M607" t="s">
        <v>156</v>
      </c>
      <c r="N607" t="s">
        <v>82</v>
      </c>
      <c r="O607" t="s">
        <v>112</v>
      </c>
      <c r="P607">
        <v>2</v>
      </c>
      <c r="Q607" s="4">
        <v>161.32</v>
      </c>
      <c r="R607" s="5">
        <v>0.09</v>
      </c>
      <c r="S607" s="4">
        <v>15.33</v>
      </c>
      <c r="T607" t="s">
        <v>134</v>
      </c>
      <c r="U607" t="s">
        <v>85</v>
      </c>
      <c r="V607">
        <v>2</v>
      </c>
    </row>
    <row r="608" spans="1:22">
      <c r="A608" t="s">
        <v>1096</v>
      </c>
      <c r="B608" s="3">
        <v>45912</v>
      </c>
      <c r="C608" s="3">
        <v>45917</v>
      </c>
      <c r="D608" t="s">
        <v>332</v>
      </c>
      <c r="E608" t="s">
        <v>333</v>
      </c>
      <c r="F608" t="s">
        <v>74</v>
      </c>
      <c r="G608" t="s">
        <v>126</v>
      </c>
      <c r="H608" t="s">
        <v>127</v>
      </c>
      <c r="I608" t="s">
        <v>128</v>
      </c>
      <c r="J608" t="s">
        <v>129</v>
      </c>
      <c r="K608" t="s">
        <v>147</v>
      </c>
      <c r="L608" t="s">
        <v>337</v>
      </c>
      <c r="M608" t="s">
        <v>338</v>
      </c>
      <c r="N608" t="s">
        <v>93</v>
      </c>
      <c r="O608" t="s">
        <v>236</v>
      </c>
      <c r="P608">
        <v>1</v>
      </c>
      <c r="Q608" s="4">
        <v>268</v>
      </c>
      <c r="R608" s="5">
        <v>0.01</v>
      </c>
      <c r="S608" s="4">
        <v>25.2</v>
      </c>
      <c r="T608" t="s">
        <v>105</v>
      </c>
      <c r="U608" t="s">
        <v>85</v>
      </c>
    </row>
    <row r="609" spans="1:22">
      <c r="A609" t="s">
        <v>1097</v>
      </c>
      <c r="B609" s="3">
        <v>45912</v>
      </c>
      <c r="C609" s="3">
        <v>45916</v>
      </c>
      <c r="D609" t="s">
        <v>904</v>
      </c>
      <c r="E609" t="s">
        <v>449</v>
      </c>
      <c r="F609" t="s">
        <v>152</v>
      </c>
      <c r="G609" t="s">
        <v>75</v>
      </c>
      <c r="H609" t="s">
        <v>212</v>
      </c>
      <c r="I609" t="s">
        <v>213</v>
      </c>
      <c r="J609" t="s">
        <v>109</v>
      </c>
      <c r="K609" t="s">
        <v>147</v>
      </c>
      <c r="L609" t="s">
        <v>214</v>
      </c>
      <c r="M609" t="s">
        <v>215</v>
      </c>
      <c r="N609" t="s">
        <v>103</v>
      </c>
      <c r="O609" t="s">
        <v>171</v>
      </c>
      <c r="P609">
        <v>8</v>
      </c>
      <c r="Q609" s="4">
        <v>11.36</v>
      </c>
      <c r="R609" s="5">
        <v>0.02</v>
      </c>
      <c r="S609" s="4">
        <v>5.39</v>
      </c>
      <c r="T609" t="s">
        <v>84</v>
      </c>
      <c r="U609" t="s">
        <v>85</v>
      </c>
      <c r="V609">
        <v>3</v>
      </c>
    </row>
    <row r="610" spans="1:22">
      <c r="A610" t="s">
        <v>1098</v>
      </c>
      <c r="B610" s="3">
        <v>45913</v>
      </c>
      <c r="C610" s="3">
        <v>45927</v>
      </c>
      <c r="D610" t="s">
        <v>646</v>
      </c>
      <c r="E610" t="s">
        <v>647</v>
      </c>
      <c r="F610" t="s">
        <v>89</v>
      </c>
      <c r="G610" t="s">
        <v>126</v>
      </c>
      <c r="H610" t="s">
        <v>127</v>
      </c>
      <c r="I610" t="s">
        <v>128</v>
      </c>
      <c r="J610" t="s">
        <v>129</v>
      </c>
      <c r="K610" t="s">
        <v>130</v>
      </c>
      <c r="L610" t="s">
        <v>118</v>
      </c>
      <c r="M610" t="s">
        <v>119</v>
      </c>
      <c r="N610" t="s">
        <v>120</v>
      </c>
      <c r="O610" t="s">
        <v>121</v>
      </c>
      <c r="P610">
        <v>1</v>
      </c>
      <c r="Q610" s="4">
        <v>296.51</v>
      </c>
      <c r="R610" s="5">
        <v>0.3</v>
      </c>
      <c r="S610" s="4">
        <v>13.42</v>
      </c>
      <c r="T610" t="s">
        <v>122</v>
      </c>
      <c r="U610" t="s">
        <v>85</v>
      </c>
      <c r="V610">
        <v>2</v>
      </c>
    </row>
    <row r="611" spans="1:22">
      <c r="A611" t="s">
        <v>1099</v>
      </c>
      <c r="B611" s="3">
        <v>45914</v>
      </c>
      <c r="C611" s="3">
        <v>45923</v>
      </c>
      <c r="D611" t="s">
        <v>287</v>
      </c>
      <c r="E611" t="s">
        <v>146</v>
      </c>
      <c r="F611" t="s">
        <v>89</v>
      </c>
      <c r="G611" t="s">
        <v>194</v>
      </c>
      <c r="H611" t="s">
        <v>195</v>
      </c>
      <c r="I611" t="s">
        <v>196</v>
      </c>
      <c r="J611" t="s">
        <v>109</v>
      </c>
      <c r="K611" t="s">
        <v>168</v>
      </c>
      <c r="L611" t="s">
        <v>242</v>
      </c>
      <c r="M611" t="s">
        <v>243</v>
      </c>
      <c r="N611" t="s">
        <v>120</v>
      </c>
      <c r="O611" t="s">
        <v>133</v>
      </c>
      <c r="P611">
        <v>2</v>
      </c>
      <c r="Q611" s="4">
        <v>193.08</v>
      </c>
      <c r="R611" s="5">
        <v>0.02</v>
      </c>
      <c r="S611" s="4">
        <v>12.66</v>
      </c>
      <c r="T611" t="s">
        <v>84</v>
      </c>
      <c r="U611" t="s">
        <v>85</v>
      </c>
      <c r="V611">
        <v>1</v>
      </c>
    </row>
    <row r="612" spans="1:22">
      <c r="A612" t="s">
        <v>1100</v>
      </c>
      <c r="B612" s="3">
        <v>45915</v>
      </c>
      <c r="C612" s="3">
        <v>45916</v>
      </c>
      <c r="D612" t="s">
        <v>782</v>
      </c>
      <c r="E612" t="s">
        <v>783</v>
      </c>
      <c r="F612" t="s">
        <v>152</v>
      </c>
      <c r="G612" t="s">
        <v>126</v>
      </c>
      <c r="H612" t="s">
        <v>784</v>
      </c>
      <c r="I612" t="s">
        <v>785</v>
      </c>
      <c r="J612" t="s">
        <v>129</v>
      </c>
      <c r="K612" t="s">
        <v>130</v>
      </c>
      <c r="L612" t="s">
        <v>80</v>
      </c>
      <c r="M612" t="s">
        <v>81</v>
      </c>
      <c r="N612" t="s">
        <v>82</v>
      </c>
      <c r="O612" t="s">
        <v>83</v>
      </c>
      <c r="P612">
        <v>1</v>
      </c>
      <c r="Q612" s="4">
        <v>249.88</v>
      </c>
      <c r="R612" s="5">
        <v>0.09</v>
      </c>
      <c r="S612" s="4">
        <v>16.38</v>
      </c>
      <c r="T612" t="s">
        <v>84</v>
      </c>
      <c r="U612" t="s">
        <v>85</v>
      </c>
    </row>
    <row r="613" spans="1:22">
      <c r="A613" t="s">
        <v>1101</v>
      </c>
      <c r="B613" s="3">
        <v>45916</v>
      </c>
      <c r="C613" s="3">
        <v>45918</v>
      </c>
      <c r="D613" t="s">
        <v>315</v>
      </c>
      <c r="E613" t="s">
        <v>316</v>
      </c>
      <c r="F613" t="s">
        <v>89</v>
      </c>
      <c r="G613" t="s">
        <v>75</v>
      </c>
      <c r="H613" t="s">
        <v>273</v>
      </c>
      <c r="I613" t="s">
        <v>274</v>
      </c>
      <c r="J613" t="s">
        <v>129</v>
      </c>
      <c r="K613" t="s">
        <v>147</v>
      </c>
      <c r="L613" t="s">
        <v>101</v>
      </c>
      <c r="M613" t="s">
        <v>102</v>
      </c>
      <c r="N613" t="s">
        <v>103</v>
      </c>
      <c r="O613" t="s">
        <v>104</v>
      </c>
      <c r="P613">
        <v>7</v>
      </c>
      <c r="Q613" s="4">
        <v>78.37</v>
      </c>
      <c r="R613" s="5">
        <v>0.3</v>
      </c>
      <c r="S613" s="4">
        <v>16.32</v>
      </c>
      <c r="T613" t="s">
        <v>134</v>
      </c>
      <c r="U613" t="s">
        <v>85</v>
      </c>
      <c r="V613">
        <v>4</v>
      </c>
    </row>
    <row r="614" spans="1:22">
      <c r="A614" t="s">
        <v>1102</v>
      </c>
      <c r="B614" s="3">
        <v>45917</v>
      </c>
      <c r="C614" s="3">
        <v>45927</v>
      </c>
      <c r="D614" t="s">
        <v>378</v>
      </c>
      <c r="E614" t="s">
        <v>379</v>
      </c>
      <c r="F614" t="s">
        <v>152</v>
      </c>
      <c r="G614" t="s">
        <v>126</v>
      </c>
      <c r="H614" t="s">
        <v>160</v>
      </c>
      <c r="I614" t="s">
        <v>161</v>
      </c>
      <c r="J614" t="s">
        <v>78</v>
      </c>
      <c r="K614" t="s">
        <v>130</v>
      </c>
      <c r="L614" t="s">
        <v>431</v>
      </c>
      <c r="M614" t="s">
        <v>432</v>
      </c>
      <c r="N614" t="s">
        <v>103</v>
      </c>
      <c r="O614" t="s">
        <v>251</v>
      </c>
      <c r="P614">
        <v>2</v>
      </c>
      <c r="Q614" s="4">
        <v>39.72</v>
      </c>
      <c r="R614" s="5">
        <v>0.02</v>
      </c>
      <c r="S614" s="4">
        <v>13.59</v>
      </c>
      <c r="T614" t="s">
        <v>105</v>
      </c>
      <c r="U614" t="s">
        <v>85</v>
      </c>
      <c r="V614">
        <v>3</v>
      </c>
    </row>
    <row r="615" spans="1:22">
      <c r="A615" t="s">
        <v>1103</v>
      </c>
      <c r="B615" s="3">
        <v>45917</v>
      </c>
      <c r="C615" s="3">
        <v>45918</v>
      </c>
      <c r="D615" t="s">
        <v>353</v>
      </c>
      <c r="E615" t="s">
        <v>354</v>
      </c>
      <c r="F615" t="s">
        <v>74</v>
      </c>
      <c r="G615" t="s">
        <v>126</v>
      </c>
      <c r="H615" t="s">
        <v>160</v>
      </c>
      <c r="I615" t="s">
        <v>182</v>
      </c>
      <c r="J615" t="s">
        <v>109</v>
      </c>
      <c r="K615" t="s">
        <v>79</v>
      </c>
      <c r="L615" t="s">
        <v>249</v>
      </c>
      <c r="M615" t="s">
        <v>250</v>
      </c>
      <c r="N615" t="s">
        <v>103</v>
      </c>
      <c r="O615" t="s">
        <v>251</v>
      </c>
      <c r="P615">
        <v>8</v>
      </c>
      <c r="Q615" s="4">
        <v>21.41</v>
      </c>
      <c r="R615" s="5">
        <v>0.01</v>
      </c>
      <c r="S615" s="4">
        <v>5.29</v>
      </c>
      <c r="T615" t="s">
        <v>134</v>
      </c>
      <c r="U615" t="s">
        <v>85</v>
      </c>
      <c r="V615">
        <v>5</v>
      </c>
    </row>
    <row r="616" spans="1:22">
      <c r="A616" t="s">
        <v>1104</v>
      </c>
      <c r="B616" s="3">
        <v>45918</v>
      </c>
      <c r="C616" s="3">
        <v>45922</v>
      </c>
      <c r="D616" t="s">
        <v>392</v>
      </c>
      <c r="E616" t="s">
        <v>393</v>
      </c>
      <c r="F616" t="s">
        <v>74</v>
      </c>
      <c r="G616" t="s">
        <v>126</v>
      </c>
      <c r="H616" t="s">
        <v>160</v>
      </c>
      <c r="I616" t="s">
        <v>161</v>
      </c>
      <c r="J616" t="s">
        <v>109</v>
      </c>
      <c r="K616" t="s">
        <v>168</v>
      </c>
      <c r="L616" t="s">
        <v>254</v>
      </c>
      <c r="M616" t="s">
        <v>255</v>
      </c>
      <c r="N616" t="s">
        <v>82</v>
      </c>
      <c r="O616" t="s">
        <v>83</v>
      </c>
      <c r="P616">
        <v>3</v>
      </c>
      <c r="Q616" s="4">
        <v>94.57</v>
      </c>
      <c r="R616" s="5">
        <v>0.03</v>
      </c>
      <c r="S616" s="4">
        <v>5.73</v>
      </c>
      <c r="T616" t="s">
        <v>105</v>
      </c>
      <c r="U616" t="s">
        <v>85</v>
      </c>
      <c r="V616">
        <v>2</v>
      </c>
    </row>
    <row r="617" spans="1:22">
      <c r="A617" t="s">
        <v>1105</v>
      </c>
      <c r="B617" s="3">
        <v>45919</v>
      </c>
      <c r="C617" s="3">
        <v>45923</v>
      </c>
      <c r="D617" t="s">
        <v>184</v>
      </c>
      <c r="E617" t="s">
        <v>185</v>
      </c>
      <c r="F617" t="s">
        <v>74</v>
      </c>
      <c r="G617" t="s">
        <v>138</v>
      </c>
      <c r="H617" t="s">
        <v>186</v>
      </c>
      <c r="I617" t="s">
        <v>187</v>
      </c>
      <c r="J617" t="s">
        <v>129</v>
      </c>
      <c r="K617" t="s">
        <v>90</v>
      </c>
      <c r="L617" t="s">
        <v>207</v>
      </c>
      <c r="M617" t="s">
        <v>208</v>
      </c>
      <c r="N617" t="s">
        <v>120</v>
      </c>
      <c r="O617" t="s">
        <v>164</v>
      </c>
      <c r="P617">
        <v>2</v>
      </c>
      <c r="Q617" s="4">
        <v>1377.4</v>
      </c>
      <c r="R617" s="5">
        <v>0.1</v>
      </c>
      <c r="S617" s="4">
        <v>18.399999999999999</v>
      </c>
      <c r="T617" t="s">
        <v>105</v>
      </c>
      <c r="U617" t="s">
        <v>148</v>
      </c>
    </row>
    <row r="618" spans="1:22">
      <c r="A618" t="s">
        <v>1106</v>
      </c>
      <c r="B618" s="3">
        <v>45919</v>
      </c>
      <c r="C618" s="3">
        <v>45937</v>
      </c>
      <c r="D618" t="s">
        <v>456</v>
      </c>
      <c r="E618" t="s">
        <v>369</v>
      </c>
      <c r="F618" t="s">
        <v>89</v>
      </c>
      <c r="G618" t="s">
        <v>138</v>
      </c>
      <c r="H618" t="s">
        <v>457</v>
      </c>
      <c r="I618" t="s">
        <v>458</v>
      </c>
      <c r="J618" t="s">
        <v>219</v>
      </c>
      <c r="K618" t="s">
        <v>168</v>
      </c>
      <c r="L618" t="s">
        <v>242</v>
      </c>
      <c r="M618" t="s">
        <v>243</v>
      </c>
      <c r="N618" t="s">
        <v>120</v>
      </c>
      <c r="O618" t="s">
        <v>133</v>
      </c>
      <c r="P618">
        <v>3</v>
      </c>
      <c r="Q618" s="4">
        <v>197.95</v>
      </c>
      <c r="R618" s="5">
        <v>0.03</v>
      </c>
      <c r="S618" s="4">
        <v>21.75</v>
      </c>
      <c r="T618" t="s">
        <v>122</v>
      </c>
      <c r="U618" t="s">
        <v>85</v>
      </c>
      <c r="V618">
        <v>1</v>
      </c>
    </row>
    <row r="619" spans="1:22">
      <c r="A619" t="s">
        <v>1107</v>
      </c>
      <c r="B619" s="3">
        <v>45919</v>
      </c>
      <c r="C619" s="3">
        <v>45924</v>
      </c>
      <c r="D619" t="s">
        <v>728</v>
      </c>
      <c r="E619" t="s">
        <v>333</v>
      </c>
      <c r="F619" t="s">
        <v>89</v>
      </c>
      <c r="G619" t="s">
        <v>194</v>
      </c>
      <c r="H619" t="s">
        <v>195</v>
      </c>
      <c r="I619" t="s">
        <v>196</v>
      </c>
      <c r="J619" t="s">
        <v>219</v>
      </c>
      <c r="K619" t="s">
        <v>147</v>
      </c>
      <c r="L619" t="s">
        <v>91</v>
      </c>
      <c r="M619" t="s">
        <v>92</v>
      </c>
      <c r="N619" t="s">
        <v>93</v>
      </c>
      <c r="O619" t="s">
        <v>94</v>
      </c>
      <c r="P619">
        <v>3</v>
      </c>
      <c r="Q619" s="4">
        <v>341.61</v>
      </c>
      <c r="R619" s="5">
        <v>7.0000000000000007E-2</v>
      </c>
      <c r="S619" s="4">
        <v>24.27</v>
      </c>
      <c r="T619" t="s">
        <v>122</v>
      </c>
      <c r="U619" t="s">
        <v>85</v>
      </c>
    </row>
    <row r="620" spans="1:22">
      <c r="A620" t="s">
        <v>1108</v>
      </c>
      <c r="B620" s="3">
        <v>45920</v>
      </c>
      <c r="C620" s="3">
        <v>45929</v>
      </c>
      <c r="D620" t="s">
        <v>1109</v>
      </c>
      <c r="E620" t="s">
        <v>1110</v>
      </c>
      <c r="F620" t="s">
        <v>74</v>
      </c>
      <c r="G620" t="s">
        <v>75</v>
      </c>
      <c r="H620" t="s">
        <v>212</v>
      </c>
      <c r="I620" t="s">
        <v>213</v>
      </c>
      <c r="J620" t="s">
        <v>109</v>
      </c>
      <c r="K620" t="s">
        <v>147</v>
      </c>
      <c r="L620" t="s">
        <v>261</v>
      </c>
      <c r="M620" t="s">
        <v>262</v>
      </c>
      <c r="N620" t="s">
        <v>103</v>
      </c>
      <c r="O620" t="s">
        <v>104</v>
      </c>
      <c r="P620">
        <v>7</v>
      </c>
      <c r="Q620" s="4">
        <v>26.46</v>
      </c>
      <c r="R620" s="5">
        <v>0.25</v>
      </c>
      <c r="S620" s="4">
        <v>8.27</v>
      </c>
      <c r="T620" t="s">
        <v>122</v>
      </c>
      <c r="U620" t="s">
        <v>85</v>
      </c>
      <c r="V620">
        <v>1</v>
      </c>
    </row>
    <row r="621" spans="1:22">
      <c r="A621" t="s">
        <v>1111</v>
      </c>
      <c r="B621" s="3">
        <v>45921</v>
      </c>
      <c r="C621" s="3">
        <v>45931</v>
      </c>
      <c r="D621" t="s">
        <v>173</v>
      </c>
      <c r="E621" t="s">
        <v>174</v>
      </c>
      <c r="F621" t="s">
        <v>89</v>
      </c>
      <c r="G621" t="s">
        <v>126</v>
      </c>
      <c r="H621" t="s">
        <v>127</v>
      </c>
      <c r="I621" t="s">
        <v>128</v>
      </c>
      <c r="J621" t="s">
        <v>219</v>
      </c>
      <c r="K621" t="s">
        <v>130</v>
      </c>
      <c r="L621" t="s">
        <v>254</v>
      </c>
      <c r="M621" t="s">
        <v>255</v>
      </c>
      <c r="N621" t="s">
        <v>82</v>
      </c>
      <c r="O621" t="s">
        <v>83</v>
      </c>
      <c r="P621">
        <v>7</v>
      </c>
      <c r="Q621" s="4">
        <v>95.38</v>
      </c>
      <c r="R621" s="5">
        <v>0.11</v>
      </c>
      <c r="S621" s="4">
        <v>11.47</v>
      </c>
      <c r="T621" t="s">
        <v>105</v>
      </c>
      <c r="U621" t="s">
        <v>85</v>
      </c>
      <c r="V621">
        <v>2</v>
      </c>
    </row>
    <row r="622" spans="1:22">
      <c r="A622" t="s">
        <v>1112</v>
      </c>
      <c r="B622" s="3">
        <v>45921</v>
      </c>
      <c r="C622" s="3">
        <v>45923</v>
      </c>
      <c r="D622" t="s">
        <v>529</v>
      </c>
      <c r="E622" t="s">
        <v>397</v>
      </c>
      <c r="F622" t="s">
        <v>89</v>
      </c>
      <c r="G622" t="s">
        <v>194</v>
      </c>
      <c r="H622" t="s">
        <v>240</v>
      </c>
      <c r="I622" t="s">
        <v>241</v>
      </c>
      <c r="J622" t="s">
        <v>78</v>
      </c>
      <c r="K622" t="s">
        <v>168</v>
      </c>
      <c r="L622" t="s">
        <v>284</v>
      </c>
      <c r="M622" t="s">
        <v>285</v>
      </c>
      <c r="N622" t="s">
        <v>103</v>
      </c>
      <c r="O622" t="s">
        <v>143</v>
      </c>
      <c r="P622">
        <v>3</v>
      </c>
      <c r="Q622" s="4">
        <v>27.3</v>
      </c>
      <c r="R622" s="5">
        <v>0.1</v>
      </c>
      <c r="S622" s="4">
        <v>13.07</v>
      </c>
      <c r="T622" t="s">
        <v>84</v>
      </c>
      <c r="U622" t="s">
        <v>85</v>
      </c>
      <c r="V622">
        <v>3</v>
      </c>
    </row>
    <row r="623" spans="1:22">
      <c r="A623" t="s">
        <v>1113</v>
      </c>
      <c r="B623" s="3">
        <v>45922</v>
      </c>
      <c r="C623" s="3">
        <v>45927</v>
      </c>
      <c r="D623" t="s">
        <v>406</v>
      </c>
      <c r="E623" t="s">
        <v>407</v>
      </c>
      <c r="F623" t="s">
        <v>89</v>
      </c>
      <c r="G623" t="s">
        <v>75</v>
      </c>
      <c r="H623" t="s">
        <v>116</v>
      </c>
      <c r="I623" t="s">
        <v>117</v>
      </c>
      <c r="J623" t="s">
        <v>78</v>
      </c>
      <c r="K623" t="s">
        <v>130</v>
      </c>
      <c r="L623" t="s">
        <v>261</v>
      </c>
      <c r="M623" t="s">
        <v>262</v>
      </c>
      <c r="N623" t="s">
        <v>103</v>
      </c>
      <c r="O623" t="s">
        <v>104</v>
      </c>
      <c r="P623">
        <v>9</v>
      </c>
      <c r="Q623" s="4">
        <v>26.17</v>
      </c>
      <c r="R623" s="5">
        <v>0.08</v>
      </c>
      <c r="S623" s="4">
        <v>16.3</v>
      </c>
      <c r="T623" t="s">
        <v>122</v>
      </c>
      <c r="U623" t="s">
        <v>85</v>
      </c>
      <c r="V623">
        <v>5</v>
      </c>
    </row>
    <row r="624" spans="1:22">
      <c r="A624" t="s">
        <v>1114</v>
      </c>
      <c r="B624" s="3">
        <v>45923</v>
      </c>
      <c r="C624" s="3">
        <v>45924</v>
      </c>
      <c r="D624" t="s">
        <v>751</v>
      </c>
      <c r="E624" t="s">
        <v>752</v>
      </c>
      <c r="F624" t="s">
        <v>152</v>
      </c>
      <c r="G624" t="s">
        <v>138</v>
      </c>
      <c r="H624" t="s">
        <v>139</v>
      </c>
      <c r="I624" t="s">
        <v>140</v>
      </c>
      <c r="J624" t="s">
        <v>219</v>
      </c>
      <c r="K624" t="s">
        <v>100</v>
      </c>
      <c r="L624" t="s">
        <v>214</v>
      </c>
      <c r="M624" t="s">
        <v>215</v>
      </c>
      <c r="N624" t="s">
        <v>103</v>
      </c>
      <c r="O624" t="s">
        <v>171</v>
      </c>
      <c r="P624">
        <v>1</v>
      </c>
      <c r="Q624" s="4">
        <v>11.75</v>
      </c>
      <c r="R624" s="5">
        <v>0.04</v>
      </c>
      <c r="S624" s="4">
        <v>8.26</v>
      </c>
      <c r="T624" t="s">
        <v>134</v>
      </c>
      <c r="U624" t="s">
        <v>85</v>
      </c>
      <c r="V624">
        <v>1</v>
      </c>
    </row>
    <row r="625" spans="1:22">
      <c r="A625" t="s">
        <v>1115</v>
      </c>
      <c r="B625" s="3">
        <v>45923</v>
      </c>
      <c r="C625" s="3">
        <v>45924</v>
      </c>
      <c r="D625" t="s">
        <v>641</v>
      </c>
      <c r="E625" t="s">
        <v>642</v>
      </c>
      <c r="F625" t="s">
        <v>89</v>
      </c>
      <c r="G625" t="s">
        <v>194</v>
      </c>
      <c r="H625" t="s">
        <v>195</v>
      </c>
      <c r="I625" t="s">
        <v>196</v>
      </c>
      <c r="J625" t="s">
        <v>129</v>
      </c>
      <c r="K625" t="s">
        <v>100</v>
      </c>
      <c r="L625" t="s">
        <v>301</v>
      </c>
      <c r="M625" t="s">
        <v>302</v>
      </c>
      <c r="N625" t="s">
        <v>120</v>
      </c>
      <c r="O625" t="s">
        <v>190</v>
      </c>
      <c r="P625">
        <v>2</v>
      </c>
      <c r="Q625" s="4">
        <v>134.88999999999999</v>
      </c>
      <c r="R625" s="5">
        <v>0.1</v>
      </c>
      <c r="S625" s="4">
        <v>22.66</v>
      </c>
      <c r="T625" t="s">
        <v>105</v>
      </c>
      <c r="U625" t="s">
        <v>85</v>
      </c>
      <c r="V625">
        <v>3</v>
      </c>
    </row>
    <row r="626" spans="1:22">
      <c r="A626" t="s">
        <v>1116</v>
      </c>
      <c r="B626" s="3">
        <v>45924</v>
      </c>
      <c r="C626" s="3">
        <v>45928</v>
      </c>
      <c r="D626" t="s">
        <v>663</v>
      </c>
      <c r="E626" t="s">
        <v>664</v>
      </c>
      <c r="F626" t="s">
        <v>89</v>
      </c>
      <c r="G626" t="s">
        <v>194</v>
      </c>
      <c r="H626" t="s">
        <v>230</v>
      </c>
      <c r="I626" t="s">
        <v>231</v>
      </c>
      <c r="J626" t="s">
        <v>109</v>
      </c>
      <c r="K626" t="s">
        <v>100</v>
      </c>
      <c r="L626" t="s">
        <v>131</v>
      </c>
      <c r="M626" t="s">
        <v>132</v>
      </c>
      <c r="N626" t="s">
        <v>120</v>
      </c>
      <c r="O626" t="s">
        <v>133</v>
      </c>
      <c r="P626">
        <v>1</v>
      </c>
      <c r="Q626" s="4">
        <v>91.73</v>
      </c>
      <c r="R626" s="5">
        <v>0.03</v>
      </c>
      <c r="S626" s="4">
        <v>5.43</v>
      </c>
      <c r="T626" t="s">
        <v>84</v>
      </c>
      <c r="U626" t="s">
        <v>85</v>
      </c>
      <c r="V626">
        <v>1</v>
      </c>
    </row>
    <row r="627" spans="1:22">
      <c r="A627" t="s">
        <v>1117</v>
      </c>
      <c r="B627" s="3">
        <v>45926</v>
      </c>
      <c r="C627" s="3">
        <v>45930</v>
      </c>
      <c r="D627" t="s">
        <v>392</v>
      </c>
      <c r="E627" t="s">
        <v>393</v>
      </c>
      <c r="F627" t="s">
        <v>74</v>
      </c>
      <c r="G627" t="s">
        <v>126</v>
      </c>
      <c r="H627" t="s">
        <v>160</v>
      </c>
      <c r="I627" t="s">
        <v>161</v>
      </c>
      <c r="J627" t="s">
        <v>219</v>
      </c>
      <c r="K627" t="s">
        <v>130</v>
      </c>
      <c r="L627" t="s">
        <v>197</v>
      </c>
      <c r="M627" t="s">
        <v>198</v>
      </c>
      <c r="N627" t="s">
        <v>120</v>
      </c>
      <c r="O627" t="s">
        <v>121</v>
      </c>
      <c r="P627">
        <v>1</v>
      </c>
      <c r="Q627" s="4">
        <v>512.12</v>
      </c>
      <c r="R627" s="5">
        <v>0.04</v>
      </c>
      <c r="S627" s="4">
        <v>20.95</v>
      </c>
      <c r="T627" t="s">
        <v>134</v>
      </c>
      <c r="U627" t="s">
        <v>148</v>
      </c>
      <c r="V627">
        <v>4</v>
      </c>
    </row>
    <row r="628" spans="1:22">
      <c r="A628" t="s">
        <v>1118</v>
      </c>
      <c r="B628" s="3">
        <v>45927</v>
      </c>
      <c r="C628" s="3">
        <v>45936</v>
      </c>
      <c r="D628" t="s">
        <v>712</v>
      </c>
      <c r="E628" t="s">
        <v>515</v>
      </c>
      <c r="F628" t="s">
        <v>152</v>
      </c>
      <c r="G628" t="s">
        <v>138</v>
      </c>
      <c r="H628" t="s">
        <v>153</v>
      </c>
      <c r="I628" t="s">
        <v>154</v>
      </c>
      <c r="J628" t="s">
        <v>129</v>
      </c>
      <c r="K628" t="s">
        <v>130</v>
      </c>
      <c r="L628" t="s">
        <v>91</v>
      </c>
      <c r="M628" t="s">
        <v>92</v>
      </c>
      <c r="N628" t="s">
        <v>93</v>
      </c>
      <c r="O628" t="s">
        <v>94</v>
      </c>
      <c r="P628">
        <v>3</v>
      </c>
      <c r="Q628" s="4">
        <v>338.01</v>
      </c>
      <c r="R628" s="5">
        <v>0.06</v>
      </c>
      <c r="S628" s="4">
        <v>23.11</v>
      </c>
      <c r="T628" t="s">
        <v>122</v>
      </c>
      <c r="U628" t="s">
        <v>85</v>
      </c>
      <c r="V628">
        <v>1</v>
      </c>
    </row>
    <row r="629" spans="1:22">
      <c r="A629" t="s">
        <v>1119</v>
      </c>
      <c r="B629" s="3">
        <v>45927</v>
      </c>
      <c r="C629" s="3">
        <v>45931</v>
      </c>
      <c r="D629" t="s">
        <v>720</v>
      </c>
      <c r="E629" t="s">
        <v>721</v>
      </c>
      <c r="F629" t="s">
        <v>89</v>
      </c>
      <c r="G629" t="s">
        <v>75</v>
      </c>
      <c r="H629" t="s">
        <v>212</v>
      </c>
      <c r="I629" t="s">
        <v>213</v>
      </c>
      <c r="J629" t="s">
        <v>109</v>
      </c>
      <c r="K629" t="s">
        <v>90</v>
      </c>
      <c r="L629" t="s">
        <v>261</v>
      </c>
      <c r="M629" t="s">
        <v>262</v>
      </c>
      <c r="N629" t="s">
        <v>103</v>
      </c>
      <c r="O629" t="s">
        <v>104</v>
      </c>
      <c r="P629">
        <v>10</v>
      </c>
      <c r="Q629" s="4">
        <v>27.36</v>
      </c>
      <c r="R629" s="5">
        <v>7.0000000000000007E-2</v>
      </c>
      <c r="S629" s="4">
        <v>7.84</v>
      </c>
      <c r="T629" t="s">
        <v>122</v>
      </c>
      <c r="U629" t="s">
        <v>85</v>
      </c>
      <c r="V629">
        <v>2</v>
      </c>
    </row>
    <row r="630" spans="1:22">
      <c r="A630" t="s">
        <v>1120</v>
      </c>
      <c r="B630" s="3">
        <v>45928</v>
      </c>
      <c r="C630" s="3">
        <v>45936</v>
      </c>
      <c r="D630" t="s">
        <v>276</v>
      </c>
      <c r="E630" t="s">
        <v>277</v>
      </c>
      <c r="F630" t="s">
        <v>152</v>
      </c>
      <c r="G630" t="s">
        <v>75</v>
      </c>
      <c r="H630" t="s">
        <v>212</v>
      </c>
      <c r="I630" t="s">
        <v>213</v>
      </c>
      <c r="J630" t="s">
        <v>219</v>
      </c>
      <c r="K630" t="s">
        <v>130</v>
      </c>
      <c r="L630" t="s">
        <v>431</v>
      </c>
      <c r="M630" t="s">
        <v>432</v>
      </c>
      <c r="N630" t="s">
        <v>103</v>
      </c>
      <c r="O630" t="s">
        <v>251</v>
      </c>
      <c r="P630">
        <v>2</v>
      </c>
      <c r="Q630" s="4">
        <v>39.4</v>
      </c>
      <c r="R630" s="5">
        <v>0.11</v>
      </c>
      <c r="S630" s="4">
        <v>9.42</v>
      </c>
      <c r="T630" t="s">
        <v>122</v>
      </c>
      <c r="U630" t="s">
        <v>85</v>
      </c>
      <c r="V630">
        <v>3</v>
      </c>
    </row>
    <row r="631" spans="1:22">
      <c r="A631" t="s">
        <v>1121</v>
      </c>
      <c r="B631" s="3">
        <v>45928</v>
      </c>
      <c r="C631" s="3">
        <v>45934</v>
      </c>
      <c r="D631" t="s">
        <v>435</v>
      </c>
      <c r="E631" t="s">
        <v>436</v>
      </c>
      <c r="F631" t="s">
        <v>89</v>
      </c>
      <c r="G631" t="s">
        <v>138</v>
      </c>
      <c r="H631" t="s">
        <v>153</v>
      </c>
      <c r="I631" t="s">
        <v>154</v>
      </c>
      <c r="J631" t="s">
        <v>219</v>
      </c>
      <c r="K631" t="s">
        <v>130</v>
      </c>
      <c r="L631" t="s">
        <v>80</v>
      </c>
      <c r="M631" t="s">
        <v>81</v>
      </c>
      <c r="N631" t="s">
        <v>82</v>
      </c>
      <c r="O631" t="s">
        <v>83</v>
      </c>
      <c r="P631">
        <v>5</v>
      </c>
      <c r="Q631" s="4">
        <v>233</v>
      </c>
      <c r="R631" s="5">
        <v>0.06</v>
      </c>
      <c r="S631" s="4">
        <v>8.64</v>
      </c>
      <c r="T631" t="s">
        <v>105</v>
      </c>
      <c r="U631" t="s">
        <v>85</v>
      </c>
      <c r="V631">
        <v>5</v>
      </c>
    </row>
    <row r="632" spans="1:22">
      <c r="A632" t="s">
        <v>1122</v>
      </c>
      <c r="B632" s="3">
        <v>45929</v>
      </c>
      <c r="C632" s="3">
        <v>45938</v>
      </c>
      <c r="D632" t="s">
        <v>876</v>
      </c>
      <c r="E632" t="s">
        <v>877</v>
      </c>
      <c r="F632" t="s">
        <v>74</v>
      </c>
      <c r="G632" t="s">
        <v>138</v>
      </c>
      <c r="H632" t="s">
        <v>153</v>
      </c>
      <c r="I632" t="s">
        <v>154</v>
      </c>
      <c r="J632" t="s">
        <v>129</v>
      </c>
      <c r="K632" t="s">
        <v>90</v>
      </c>
      <c r="L632" t="s">
        <v>284</v>
      </c>
      <c r="M632" t="s">
        <v>285</v>
      </c>
      <c r="N632" t="s">
        <v>103</v>
      </c>
      <c r="O632" t="s">
        <v>143</v>
      </c>
      <c r="P632">
        <v>1</v>
      </c>
      <c r="Q632" s="4">
        <v>29.59</v>
      </c>
      <c r="R632" s="5">
        <v>0</v>
      </c>
      <c r="S632" s="4">
        <v>11.6</v>
      </c>
      <c r="T632" t="s">
        <v>105</v>
      </c>
      <c r="U632" t="s">
        <v>85</v>
      </c>
      <c r="V632">
        <v>5</v>
      </c>
    </row>
    <row r="633" spans="1:22">
      <c r="A633" t="s">
        <v>1123</v>
      </c>
      <c r="B633" s="3">
        <v>45930</v>
      </c>
      <c r="C633" s="3">
        <v>45936</v>
      </c>
      <c r="D633" t="s">
        <v>136</v>
      </c>
      <c r="E633" t="s">
        <v>137</v>
      </c>
      <c r="F633" t="s">
        <v>74</v>
      </c>
      <c r="G633" t="s">
        <v>138</v>
      </c>
      <c r="H633" t="s">
        <v>139</v>
      </c>
      <c r="I633" t="s">
        <v>140</v>
      </c>
      <c r="J633" t="s">
        <v>78</v>
      </c>
      <c r="K633" t="s">
        <v>90</v>
      </c>
      <c r="L633" t="s">
        <v>91</v>
      </c>
      <c r="M633" t="s">
        <v>92</v>
      </c>
      <c r="N633" t="s">
        <v>93</v>
      </c>
      <c r="O633" t="s">
        <v>94</v>
      </c>
      <c r="P633">
        <v>2</v>
      </c>
      <c r="Q633" s="4">
        <v>334.84</v>
      </c>
      <c r="R633" s="5">
        <v>0.1</v>
      </c>
      <c r="S633" s="4">
        <v>18.8</v>
      </c>
      <c r="T633" t="s">
        <v>105</v>
      </c>
      <c r="U633" t="s">
        <v>85</v>
      </c>
      <c r="V633">
        <v>2</v>
      </c>
    </row>
    <row r="634" spans="1:22">
      <c r="A634" t="s">
        <v>1124</v>
      </c>
      <c r="B634" s="3">
        <v>45931</v>
      </c>
      <c r="C634" s="3">
        <v>45934</v>
      </c>
      <c r="D634" t="s">
        <v>1109</v>
      </c>
      <c r="E634" t="s">
        <v>1110</v>
      </c>
      <c r="F634" t="s">
        <v>74</v>
      </c>
      <c r="G634" t="s">
        <v>75</v>
      </c>
      <c r="H634" t="s">
        <v>212</v>
      </c>
      <c r="I634" t="s">
        <v>213</v>
      </c>
      <c r="J634" t="s">
        <v>219</v>
      </c>
      <c r="K634" t="s">
        <v>130</v>
      </c>
      <c r="L634" t="s">
        <v>169</v>
      </c>
      <c r="M634" t="s">
        <v>170</v>
      </c>
      <c r="N634" t="s">
        <v>103</v>
      </c>
      <c r="O634" t="s">
        <v>171</v>
      </c>
      <c r="P634">
        <v>3</v>
      </c>
      <c r="Q634" s="4">
        <v>15.31</v>
      </c>
      <c r="R634" s="5">
        <v>0.1</v>
      </c>
      <c r="S634" s="4">
        <v>16.28</v>
      </c>
      <c r="T634" t="s">
        <v>122</v>
      </c>
      <c r="U634" t="s">
        <v>85</v>
      </c>
      <c r="V634">
        <v>4</v>
      </c>
    </row>
    <row r="635" spans="1:22">
      <c r="A635" t="s">
        <v>1125</v>
      </c>
      <c r="B635" s="3">
        <v>45932</v>
      </c>
      <c r="C635" s="3">
        <v>45939</v>
      </c>
      <c r="D635" t="s">
        <v>594</v>
      </c>
      <c r="E635" t="s">
        <v>595</v>
      </c>
      <c r="F635" t="s">
        <v>74</v>
      </c>
      <c r="G635" t="s">
        <v>75</v>
      </c>
      <c r="H635" t="s">
        <v>76</v>
      </c>
      <c r="I635" t="s">
        <v>77</v>
      </c>
      <c r="J635" t="s">
        <v>78</v>
      </c>
      <c r="K635" t="s">
        <v>100</v>
      </c>
      <c r="L635" t="s">
        <v>431</v>
      </c>
      <c r="M635" t="s">
        <v>432</v>
      </c>
      <c r="N635" t="s">
        <v>103</v>
      </c>
      <c r="O635" t="s">
        <v>251</v>
      </c>
      <c r="P635">
        <v>8</v>
      </c>
      <c r="Q635" s="4">
        <v>37.35</v>
      </c>
      <c r="R635" s="5">
        <v>0.87</v>
      </c>
      <c r="S635" s="4">
        <v>16.32</v>
      </c>
      <c r="T635" t="s">
        <v>134</v>
      </c>
      <c r="U635" t="s">
        <v>85</v>
      </c>
      <c r="V635">
        <v>2</v>
      </c>
    </row>
    <row r="636" spans="1:22">
      <c r="A636" t="s">
        <v>1126</v>
      </c>
      <c r="B636" s="3">
        <v>45933</v>
      </c>
      <c r="C636" s="3">
        <v>45935</v>
      </c>
      <c r="D636" t="s">
        <v>812</v>
      </c>
      <c r="E636" t="s">
        <v>813</v>
      </c>
      <c r="F636" t="s">
        <v>152</v>
      </c>
      <c r="G636" t="s">
        <v>75</v>
      </c>
      <c r="H636" t="s">
        <v>273</v>
      </c>
      <c r="I636" t="s">
        <v>274</v>
      </c>
      <c r="J636" t="s">
        <v>219</v>
      </c>
      <c r="K636" t="s">
        <v>168</v>
      </c>
      <c r="L636" t="s">
        <v>249</v>
      </c>
      <c r="M636" t="s">
        <v>250</v>
      </c>
      <c r="N636" t="s">
        <v>103</v>
      </c>
      <c r="O636" t="s">
        <v>251</v>
      </c>
      <c r="P636">
        <v>9</v>
      </c>
      <c r="Q636" s="4">
        <v>22.31</v>
      </c>
      <c r="R636" s="5">
        <v>0.01</v>
      </c>
      <c r="S636" s="4">
        <v>7.6</v>
      </c>
      <c r="T636" t="s">
        <v>105</v>
      </c>
      <c r="U636" t="s">
        <v>85</v>
      </c>
      <c r="V636">
        <v>5</v>
      </c>
    </row>
    <row r="637" spans="1:22">
      <c r="A637" t="s">
        <v>1127</v>
      </c>
      <c r="B637" s="3">
        <v>45933</v>
      </c>
      <c r="C637" s="3">
        <v>45939</v>
      </c>
      <c r="D637" t="s">
        <v>704</v>
      </c>
      <c r="E637" t="s">
        <v>705</v>
      </c>
      <c r="F637" t="s">
        <v>89</v>
      </c>
      <c r="G637" t="s">
        <v>138</v>
      </c>
      <c r="H637" t="s">
        <v>186</v>
      </c>
      <c r="I637" t="s">
        <v>187</v>
      </c>
      <c r="J637" t="s">
        <v>109</v>
      </c>
      <c r="K637" t="s">
        <v>100</v>
      </c>
      <c r="L637" t="s">
        <v>242</v>
      </c>
      <c r="M637" t="s">
        <v>243</v>
      </c>
      <c r="N637" t="s">
        <v>120</v>
      </c>
      <c r="O637" t="s">
        <v>133</v>
      </c>
      <c r="P637">
        <v>2</v>
      </c>
      <c r="Q637" s="4">
        <v>199.42</v>
      </c>
      <c r="R637" s="5">
        <v>0.09</v>
      </c>
      <c r="S637" s="4">
        <v>7.8</v>
      </c>
      <c r="T637" t="s">
        <v>84</v>
      </c>
      <c r="U637" t="s">
        <v>85</v>
      </c>
      <c r="V637">
        <v>5</v>
      </c>
    </row>
    <row r="638" spans="1:22">
      <c r="A638" t="s">
        <v>1128</v>
      </c>
      <c r="B638" s="3">
        <v>45933</v>
      </c>
      <c r="C638" s="3">
        <v>45942</v>
      </c>
      <c r="D638" t="s">
        <v>463</v>
      </c>
      <c r="E638" t="s">
        <v>464</v>
      </c>
      <c r="F638" t="s">
        <v>152</v>
      </c>
      <c r="G638" t="s">
        <v>194</v>
      </c>
      <c r="H638" t="s">
        <v>202</v>
      </c>
      <c r="I638" t="s">
        <v>203</v>
      </c>
      <c r="J638" t="s">
        <v>78</v>
      </c>
      <c r="K638" t="s">
        <v>79</v>
      </c>
      <c r="L638" t="s">
        <v>359</v>
      </c>
      <c r="M638" t="s">
        <v>360</v>
      </c>
      <c r="N638" t="s">
        <v>93</v>
      </c>
      <c r="O638" t="s">
        <v>94</v>
      </c>
      <c r="P638">
        <v>3</v>
      </c>
      <c r="Q638" s="4">
        <v>437.89</v>
      </c>
      <c r="R638" s="5">
        <v>0.09</v>
      </c>
      <c r="S638" s="4">
        <v>26.27</v>
      </c>
      <c r="T638" t="s">
        <v>105</v>
      </c>
      <c r="U638" t="s">
        <v>85</v>
      </c>
      <c r="V638">
        <v>1</v>
      </c>
    </row>
    <row r="639" spans="1:22">
      <c r="A639" t="s">
        <v>1129</v>
      </c>
      <c r="B639" s="3">
        <v>45935</v>
      </c>
      <c r="C639" s="3">
        <v>45945</v>
      </c>
      <c r="D639" t="s">
        <v>482</v>
      </c>
      <c r="E639" t="s">
        <v>483</v>
      </c>
      <c r="F639" t="s">
        <v>74</v>
      </c>
      <c r="G639" t="s">
        <v>194</v>
      </c>
      <c r="H639" t="s">
        <v>240</v>
      </c>
      <c r="I639" t="s">
        <v>241</v>
      </c>
      <c r="J639" t="s">
        <v>219</v>
      </c>
      <c r="K639" t="s">
        <v>147</v>
      </c>
      <c r="L639" t="s">
        <v>91</v>
      </c>
      <c r="M639" t="s">
        <v>92</v>
      </c>
      <c r="N639" t="s">
        <v>93</v>
      </c>
      <c r="O639" t="s">
        <v>94</v>
      </c>
      <c r="P639">
        <v>2</v>
      </c>
      <c r="Q639" s="4">
        <v>310</v>
      </c>
      <c r="R639" s="5">
        <v>0.04</v>
      </c>
      <c r="S639" s="4">
        <v>18.79</v>
      </c>
      <c r="T639" t="s">
        <v>105</v>
      </c>
      <c r="U639" t="s">
        <v>85</v>
      </c>
      <c r="V639">
        <v>2</v>
      </c>
    </row>
    <row r="640" spans="1:22">
      <c r="A640" t="s">
        <v>1130</v>
      </c>
      <c r="B640" s="3">
        <v>45935</v>
      </c>
      <c r="C640" s="3">
        <v>45951</v>
      </c>
      <c r="D640" t="s">
        <v>605</v>
      </c>
      <c r="E640" t="s">
        <v>606</v>
      </c>
      <c r="F640" t="s">
        <v>74</v>
      </c>
      <c r="G640" t="s">
        <v>138</v>
      </c>
      <c r="H640" t="s">
        <v>153</v>
      </c>
      <c r="I640" t="s">
        <v>154</v>
      </c>
      <c r="J640" t="s">
        <v>78</v>
      </c>
      <c r="K640" t="s">
        <v>130</v>
      </c>
      <c r="L640" t="s">
        <v>101</v>
      </c>
      <c r="M640" t="s">
        <v>102</v>
      </c>
      <c r="N640" t="s">
        <v>103</v>
      </c>
      <c r="O640" t="s">
        <v>104</v>
      </c>
      <c r="P640">
        <v>5</v>
      </c>
      <c r="Q640" s="4">
        <v>71.48</v>
      </c>
      <c r="R640" s="5">
        <v>0.03</v>
      </c>
      <c r="S640" s="4">
        <v>10.53</v>
      </c>
      <c r="T640" t="s">
        <v>134</v>
      </c>
      <c r="U640" t="s">
        <v>85</v>
      </c>
      <c r="V640">
        <v>5</v>
      </c>
    </row>
    <row r="641" spans="1:22">
      <c r="A641" t="s">
        <v>1131</v>
      </c>
      <c r="B641" s="3">
        <v>45936</v>
      </c>
      <c r="C641" s="3">
        <v>45940</v>
      </c>
      <c r="D641" t="s">
        <v>474</v>
      </c>
      <c r="E641" t="s">
        <v>475</v>
      </c>
      <c r="F641" t="s">
        <v>74</v>
      </c>
      <c r="G641" t="s">
        <v>138</v>
      </c>
      <c r="H641" t="s">
        <v>153</v>
      </c>
      <c r="I641" t="s">
        <v>154</v>
      </c>
      <c r="J641" t="s">
        <v>78</v>
      </c>
      <c r="K641" t="s">
        <v>147</v>
      </c>
      <c r="L641" t="s">
        <v>249</v>
      </c>
      <c r="M641" t="s">
        <v>250</v>
      </c>
      <c r="N641" t="s">
        <v>103</v>
      </c>
      <c r="O641" t="s">
        <v>251</v>
      </c>
      <c r="P641">
        <v>2</v>
      </c>
      <c r="Q641" s="4">
        <v>21.26</v>
      </c>
      <c r="R641" s="5">
        <v>0.06</v>
      </c>
      <c r="S641" s="4">
        <v>10.35</v>
      </c>
      <c r="T641" t="s">
        <v>122</v>
      </c>
      <c r="U641" t="s">
        <v>85</v>
      </c>
      <c r="V641">
        <v>1</v>
      </c>
    </row>
    <row r="642" spans="1:22">
      <c r="A642" t="s">
        <v>1132</v>
      </c>
      <c r="B642" s="3">
        <v>45937</v>
      </c>
      <c r="C642" s="3">
        <v>45947</v>
      </c>
      <c r="D642" t="s">
        <v>876</v>
      </c>
      <c r="E642" t="s">
        <v>877</v>
      </c>
      <c r="F642" t="s">
        <v>74</v>
      </c>
      <c r="G642" t="s">
        <v>138</v>
      </c>
      <c r="H642" t="s">
        <v>153</v>
      </c>
      <c r="I642" t="s">
        <v>154</v>
      </c>
      <c r="J642" t="s">
        <v>78</v>
      </c>
      <c r="K642" t="s">
        <v>130</v>
      </c>
      <c r="L642" t="s">
        <v>91</v>
      </c>
      <c r="M642" t="s">
        <v>92</v>
      </c>
      <c r="N642" t="s">
        <v>93</v>
      </c>
      <c r="O642" t="s">
        <v>94</v>
      </c>
      <c r="P642">
        <v>2</v>
      </c>
      <c r="Q642" s="4">
        <v>348.06</v>
      </c>
      <c r="R642" s="5">
        <v>0.34</v>
      </c>
      <c r="S642" s="4">
        <v>22.75</v>
      </c>
      <c r="T642" t="s">
        <v>105</v>
      </c>
      <c r="U642" t="s">
        <v>85</v>
      </c>
      <c r="V642">
        <v>2</v>
      </c>
    </row>
    <row r="643" spans="1:22">
      <c r="A643" t="s">
        <v>1133</v>
      </c>
      <c r="B643" s="3">
        <v>45938</v>
      </c>
      <c r="C643" s="3">
        <v>45947</v>
      </c>
      <c r="D643" t="s">
        <v>96</v>
      </c>
      <c r="E643" t="s">
        <v>97</v>
      </c>
      <c r="F643" t="s">
        <v>74</v>
      </c>
      <c r="G643" t="s">
        <v>75</v>
      </c>
      <c r="H643" t="s">
        <v>98</v>
      </c>
      <c r="I643" t="s">
        <v>99</v>
      </c>
      <c r="J643" t="s">
        <v>129</v>
      </c>
      <c r="K643" t="s">
        <v>147</v>
      </c>
      <c r="L643" t="s">
        <v>359</v>
      </c>
      <c r="M643" t="s">
        <v>360</v>
      </c>
      <c r="N643" t="s">
        <v>93</v>
      </c>
      <c r="O643" t="s">
        <v>94</v>
      </c>
      <c r="P643">
        <v>1</v>
      </c>
      <c r="Q643" s="4">
        <v>461.04</v>
      </c>
      <c r="R643" s="5">
        <v>0.06</v>
      </c>
      <c r="S643" s="4">
        <v>23.38</v>
      </c>
      <c r="T643" t="s">
        <v>105</v>
      </c>
      <c r="U643" t="s">
        <v>85</v>
      </c>
      <c r="V643">
        <v>3</v>
      </c>
    </row>
    <row r="644" spans="1:22">
      <c r="A644" t="s">
        <v>1134</v>
      </c>
      <c r="B644" s="3">
        <v>45938</v>
      </c>
      <c r="C644" s="3">
        <v>45947</v>
      </c>
      <c r="D644" t="s">
        <v>497</v>
      </c>
      <c r="E644" t="s">
        <v>498</v>
      </c>
      <c r="F644" t="s">
        <v>89</v>
      </c>
      <c r="G644" t="s">
        <v>126</v>
      </c>
      <c r="H644" t="s">
        <v>291</v>
      </c>
      <c r="I644" t="s">
        <v>292</v>
      </c>
      <c r="J644" t="s">
        <v>109</v>
      </c>
      <c r="K644" t="s">
        <v>90</v>
      </c>
      <c r="L644" t="s">
        <v>175</v>
      </c>
      <c r="M644" t="s">
        <v>176</v>
      </c>
      <c r="N644" t="s">
        <v>93</v>
      </c>
      <c r="O644" t="s">
        <v>177</v>
      </c>
      <c r="P644">
        <v>2</v>
      </c>
      <c r="Q644" s="4">
        <v>176.11</v>
      </c>
      <c r="R644" s="5">
        <v>0.01</v>
      </c>
      <c r="S644" s="4">
        <v>18.2</v>
      </c>
      <c r="T644" t="s">
        <v>84</v>
      </c>
      <c r="U644" t="s">
        <v>85</v>
      </c>
      <c r="V644">
        <v>4</v>
      </c>
    </row>
    <row r="645" spans="1:22">
      <c r="A645" t="s">
        <v>1135</v>
      </c>
      <c r="B645" s="3">
        <v>45938</v>
      </c>
      <c r="C645" s="3">
        <v>45944</v>
      </c>
      <c r="D645" t="s">
        <v>445</v>
      </c>
      <c r="E645" t="s">
        <v>446</v>
      </c>
      <c r="F645" t="s">
        <v>152</v>
      </c>
      <c r="G645" t="s">
        <v>126</v>
      </c>
      <c r="H645" t="s">
        <v>160</v>
      </c>
      <c r="I645" t="s">
        <v>182</v>
      </c>
      <c r="J645" t="s">
        <v>129</v>
      </c>
      <c r="K645" t="s">
        <v>90</v>
      </c>
      <c r="L645" t="s">
        <v>110</v>
      </c>
      <c r="M645" t="s">
        <v>111</v>
      </c>
      <c r="N645" t="s">
        <v>82</v>
      </c>
      <c r="O645" t="s">
        <v>112</v>
      </c>
      <c r="P645">
        <v>4</v>
      </c>
      <c r="Q645" s="4">
        <v>331.86</v>
      </c>
      <c r="R645" s="5">
        <v>0.09</v>
      </c>
      <c r="S645" s="4">
        <v>16.34</v>
      </c>
      <c r="T645" t="s">
        <v>84</v>
      </c>
      <c r="U645" t="s">
        <v>85</v>
      </c>
      <c r="V645">
        <v>4</v>
      </c>
    </row>
    <row r="646" spans="1:22">
      <c r="A646" t="s">
        <v>1136</v>
      </c>
      <c r="B646" s="3">
        <v>45939</v>
      </c>
      <c r="C646" s="3">
        <v>45943</v>
      </c>
      <c r="D646" t="s">
        <v>325</v>
      </c>
      <c r="E646" t="s">
        <v>326</v>
      </c>
      <c r="F646" t="s">
        <v>74</v>
      </c>
      <c r="G646" t="s">
        <v>75</v>
      </c>
      <c r="H646" t="s">
        <v>273</v>
      </c>
      <c r="I646" t="s">
        <v>274</v>
      </c>
      <c r="J646" t="s">
        <v>78</v>
      </c>
      <c r="K646" t="s">
        <v>130</v>
      </c>
      <c r="L646" t="s">
        <v>118</v>
      </c>
      <c r="M646" t="s">
        <v>119</v>
      </c>
      <c r="N646" t="s">
        <v>120</v>
      </c>
      <c r="O646" t="s">
        <v>121</v>
      </c>
      <c r="P646">
        <v>2</v>
      </c>
      <c r="Q646" s="4">
        <v>290.77999999999997</v>
      </c>
      <c r="R646" s="5">
        <v>0.05</v>
      </c>
      <c r="S646" s="4">
        <v>17.649999999999999</v>
      </c>
      <c r="T646" t="s">
        <v>122</v>
      </c>
      <c r="U646" t="s">
        <v>85</v>
      </c>
      <c r="V646">
        <v>2</v>
      </c>
    </row>
    <row r="647" spans="1:22">
      <c r="A647" t="s">
        <v>1137</v>
      </c>
      <c r="B647" s="3">
        <v>45940</v>
      </c>
      <c r="C647" s="3">
        <v>45950</v>
      </c>
      <c r="D647" t="s">
        <v>841</v>
      </c>
      <c r="E647" t="s">
        <v>842</v>
      </c>
      <c r="F647" t="s">
        <v>74</v>
      </c>
      <c r="G647" t="s">
        <v>126</v>
      </c>
      <c r="H647" t="s">
        <v>160</v>
      </c>
      <c r="I647" t="s">
        <v>182</v>
      </c>
      <c r="J647" t="s">
        <v>78</v>
      </c>
      <c r="K647" t="s">
        <v>90</v>
      </c>
      <c r="L647" t="s">
        <v>254</v>
      </c>
      <c r="M647" t="s">
        <v>255</v>
      </c>
      <c r="N647" t="s">
        <v>82</v>
      </c>
      <c r="O647" t="s">
        <v>83</v>
      </c>
      <c r="P647">
        <v>10</v>
      </c>
      <c r="Q647" s="4">
        <v>95.81</v>
      </c>
      <c r="R647" s="5">
        <v>0.1</v>
      </c>
      <c r="S647" s="4">
        <v>9.1999999999999993</v>
      </c>
      <c r="T647" t="s">
        <v>134</v>
      </c>
      <c r="U647" t="s">
        <v>85</v>
      </c>
      <c r="V647">
        <v>3</v>
      </c>
    </row>
    <row r="648" spans="1:22">
      <c r="A648" t="s">
        <v>1138</v>
      </c>
      <c r="B648" s="3">
        <v>45943</v>
      </c>
      <c r="C648" s="3">
        <v>45952</v>
      </c>
      <c r="D648" t="s">
        <v>630</v>
      </c>
      <c r="E648" t="s">
        <v>631</v>
      </c>
      <c r="F648" t="s">
        <v>152</v>
      </c>
      <c r="G648" t="s">
        <v>126</v>
      </c>
      <c r="H648" t="s">
        <v>160</v>
      </c>
      <c r="I648" t="s">
        <v>182</v>
      </c>
      <c r="J648" t="s">
        <v>109</v>
      </c>
      <c r="K648" t="s">
        <v>168</v>
      </c>
      <c r="L648" t="s">
        <v>431</v>
      </c>
      <c r="M648" t="s">
        <v>432</v>
      </c>
      <c r="N648" t="s">
        <v>103</v>
      </c>
      <c r="O648" t="s">
        <v>251</v>
      </c>
      <c r="P648">
        <v>9</v>
      </c>
      <c r="Q648" s="4">
        <v>39.450000000000003</v>
      </c>
      <c r="R648" s="5">
        <v>0.03</v>
      </c>
      <c r="S648" s="4">
        <v>6.14</v>
      </c>
      <c r="T648" t="s">
        <v>105</v>
      </c>
      <c r="U648" t="s">
        <v>85</v>
      </c>
      <c r="V648">
        <v>2</v>
      </c>
    </row>
    <row r="649" spans="1:22">
      <c r="A649" t="s">
        <v>1139</v>
      </c>
      <c r="B649" s="3">
        <v>45944</v>
      </c>
      <c r="C649" s="3">
        <v>45950</v>
      </c>
      <c r="D649" t="s">
        <v>760</v>
      </c>
      <c r="E649" t="s">
        <v>761</v>
      </c>
      <c r="F649" t="s">
        <v>89</v>
      </c>
      <c r="G649" t="s">
        <v>194</v>
      </c>
      <c r="H649" t="s">
        <v>230</v>
      </c>
      <c r="I649" t="s">
        <v>231</v>
      </c>
      <c r="J649" t="s">
        <v>129</v>
      </c>
      <c r="K649" t="s">
        <v>100</v>
      </c>
      <c r="L649" t="s">
        <v>110</v>
      </c>
      <c r="M649" t="s">
        <v>111</v>
      </c>
      <c r="N649" t="s">
        <v>82</v>
      </c>
      <c r="O649" t="s">
        <v>112</v>
      </c>
      <c r="P649">
        <v>4</v>
      </c>
      <c r="Q649" s="4">
        <v>313.93</v>
      </c>
      <c r="R649" s="5">
        <v>0.04</v>
      </c>
      <c r="S649" s="4">
        <v>9.4</v>
      </c>
      <c r="T649" t="s">
        <v>105</v>
      </c>
      <c r="U649" t="s">
        <v>85</v>
      </c>
      <c r="V649">
        <v>5</v>
      </c>
    </row>
    <row r="650" spans="1:22">
      <c r="A650" t="s">
        <v>1140</v>
      </c>
      <c r="B650" s="3">
        <v>45945</v>
      </c>
      <c r="C650" s="3">
        <v>45947</v>
      </c>
      <c r="D650" t="s">
        <v>474</v>
      </c>
      <c r="E650" t="s">
        <v>475</v>
      </c>
      <c r="F650" t="s">
        <v>74</v>
      </c>
      <c r="G650" t="s">
        <v>138</v>
      </c>
      <c r="H650" t="s">
        <v>153</v>
      </c>
      <c r="I650" t="s">
        <v>154</v>
      </c>
      <c r="J650" t="s">
        <v>219</v>
      </c>
      <c r="K650" t="s">
        <v>79</v>
      </c>
      <c r="L650" t="s">
        <v>254</v>
      </c>
      <c r="M650" t="s">
        <v>255</v>
      </c>
      <c r="N650" t="s">
        <v>82</v>
      </c>
      <c r="O650" t="s">
        <v>83</v>
      </c>
      <c r="P650">
        <v>6</v>
      </c>
      <c r="Q650" s="4">
        <v>93.25</v>
      </c>
      <c r="R650" s="5">
        <v>0.09</v>
      </c>
      <c r="S650" s="4">
        <v>8.57</v>
      </c>
      <c r="T650" t="s">
        <v>105</v>
      </c>
      <c r="U650" t="s">
        <v>85</v>
      </c>
      <c r="V650">
        <v>2</v>
      </c>
    </row>
    <row r="651" spans="1:22">
      <c r="A651" t="s">
        <v>1141</v>
      </c>
      <c r="B651" s="3">
        <v>45947</v>
      </c>
      <c r="C651" s="3">
        <v>45955</v>
      </c>
      <c r="D651" t="s">
        <v>258</v>
      </c>
      <c r="E651" t="s">
        <v>259</v>
      </c>
      <c r="F651" t="s">
        <v>152</v>
      </c>
      <c r="G651" t="s">
        <v>194</v>
      </c>
      <c r="H651" t="s">
        <v>225</v>
      </c>
      <c r="I651" t="s">
        <v>226</v>
      </c>
      <c r="J651" t="s">
        <v>109</v>
      </c>
      <c r="K651" t="s">
        <v>90</v>
      </c>
      <c r="L651" t="s">
        <v>249</v>
      </c>
      <c r="M651" t="s">
        <v>250</v>
      </c>
      <c r="N651" t="s">
        <v>103</v>
      </c>
      <c r="O651" t="s">
        <v>251</v>
      </c>
      <c r="P651">
        <v>1</v>
      </c>
      <c r="Q651" s="4">
        <v>22.43</v>
      </c>
      <c r="R651" s="5">
        <v>0.02</v>
      </c>
      <c r="S651" s="4">
        <v>7.55</v>
      </c>
      <c r="T651" t="s">
        <v>122</v>
      </c>
      <c r="U651" t="s">
        <v>85</v>
      </c>
      <c r="V651">
        <v>2</v>
      </c>
    </row>
    <row r="652" spans="1:22">
      <c r="A652" t="s">
        <v>1142</v>
      </c>
      <c r="B652" s="3">
        <v>45948</v>
      </c>
      <c r="C652" s="3">
        <v>45956</v>
      </c>
      <c r="D652" t="s">
        <v>72</v>
      </c>
      <c r="E652" t="s">
        <v>73</v>
      </c>
      <c r="F652" t="s">
        <v>74</v>
      </c>
      <c r="G652" t="s">
        <v>75</v>
      </c>
      <c r="H652" t="s">
        <v>76</v>
      </c>
      <c r="I652" t="s">
        <v>77</v>
      </c>
      <c r="J652" t="s">
        <v>219</v>
      </c>
      <c r="K652" t="s">
        <v>90</v>
      </c>
      <c r="L652" t="s">
        <v>175</v>
      </c>
      <c r="M652" t="s">
        <v>176</v>
      </c>
      <c r="N652" t="s">
        <v>93</v>
      </c>
      <c r="O652" t="s">
        <v>177</v>
      </c>
      <c r="P652">
        <v>4</v>
      </c>
      <c r="Q652" s="4">
        <v>161.22</v>
      </c>
      <c r="R652" s="5">
        <v>0.02</v>
      </c>
      <c r="S652" s="4">
        <v>21.58</v>
      </c>
      <c r="T652" t="s">
        <v>84</v>
      </c>
      <c r="U652" t="s">
        <v>148</v>
      </c>
      <c r="V652">
        <v>5</v>
      </c>
    </row>
    <row r="653" spans="1:22">
      <c r="A653" t="s">
        <v>1143</v>
      </c>
      <c r="B653" s="3">
        <v>45948</v>
      </c>
      <c r="C653" s="3">
        <v>45952</v>
      </c>
      <c r="D653" t="s">
        <v>692</v>
      </c>
      <c r="E653" t="s">
        <v>193</v>
      </c>
      <c r="F653" t="s">
        <v>74</v>
      </c>
      <c r="G653" t="s">
        <v>194</v>
      </c>
      <c r="H653" t="s">
        <v>202</v>
      </c>
      <c r="I653" t="s">
        <v>203</v>
      </c>
      <c r="J653" t="s">
        <v>219</v>
      </c>
      <c r="K653" t="s">
        <v>168</v>
      </c>
      <c r="L653" t="s">
        <v>254</v>
      </c>
      <c r="M653" t="s">
        <v>255</v>
      </c>
      <c r="N653" t="s">
        <v>82</v>
      </c>
      <c r="O653" t="s">
        <v>83</v>
      </c>
      <c r="P653">
        <v>10</v>
      </c>
      <c r="Q653" s="4">
        <v>92.98</v>
      </c>
      <c r="R653" s="5">
        <v>0.01</v>
      </c>
      <c r="S653" s="4">
        <v>10.42</v>
      </c>
      <c r="T653" t="s">
        <v>134</v>
      </c>
      <c r="U653" t="s">
        <v>85</v>
      </c>
      <c r="V653">
        <v>4</v>
      </c>
    </row>
    <row r="654" spans="1:22">
      <c r="A654" t="s">
        <v>1144</v>
      </c>
      <c r="B654" s="3">
        <v>45949</v>
      </c>
      <c r="C654" s="3">
        <v>45951</v>
      </c>
      <c r="D654" t="s">
        <v>576</v>
      </c>
      <c r="E654" t="s">
        <v>577</v>
      </c>
      <c r="F654" t="s">
        <v>89</v>
      </c>
      <c r="G654" t="s">
        <v>126</v>
      </c>
      <c r="H654" t="s">
        <v>291</v>
      </c>
      <c r="I654" t="s">
        <v>292</v>
      </c>
      <c r="J654" t="s">
        <v>129</v>
      </c>
      <c r="K654" t="s">
        <v>168</v>
      </c>
      <c r="L654" t="s">
        <v>249</v>
      </c>
      <c r="M654" t="s">
        <v>250</v>
      </c>
      <c r="N654" t="s">
        <v>103</v>
      </c>
      <c r="O654" t="s">
        <v>251</v>
      </c>
      <c r="P654">
        <v>1</v>
      </c>
      <c r="Q654" s="4">
        <v>20.86</v>
      </c>
      <c r="R654" s="5">
        <v>7.0000000000000007E-2</v>
      </c>
      <c r="S654" s="4">
        <v>16.22</v>
      </c>
      <c r="T654" t="s">
        <v>84</v>
      </c>
      <c r="U654" t="s">
        <v>85</v>
      </c>
      <c r="V654">
        <v>3</v>
      </c>
    </row>
    <row r="655" spans="1:22">
      <c r="A655" t="s">
        <v>1145</v>
      </c>
      <c r="B655" s="3">
        <v>45949</v>
      </c>
      <c r="C655" s="3">
        <v>45957</v>
      </c>
      <c r="D655" t="s">
        <v>136</v>
      </c>
      <c r="E655" t="s">
        <v>137</v>
      </c>
      <c r="F655" t="s">
        <v>74</v>
      </c>
      <c r="G655" t="s">
        <v>138</v>
      </c>
      <c r="H655" t="s">
        <v>139</v>
      </c>
      <c r="I655" t="s">
        <v>140</v>
      </c>
      <c r="J655" t="s">
        <v>109</v>
      </c>
      <c r="K655" t="s">
        <v>90</v>
      </c>
      <c r="L655" t="s">
        <v>431</v>
      </c>
      <c r="M655" t="s">
        <v>432</v>
      </c>
      <c r="N655" t="s">
        <v>103</v>
      </c>
      <c r="O655" t="s">
        <v>251</v>
      </c>
      <c r="P655">
        <v>5</v>
      </c>
      <c r="Q655" s="4">
        <v>41.17</v>
      </c>
      <c r="R655" s="5">
        <v>0.03</v>
      </c>
      <c r="S655" s="4">
        <v>6.83</v>
      </c>
      <c r="T655" t="s">
        <v>84</v>
      </c>
      <c r="U655" t="s">
        <v>85</v>
      </c>
      <c r="V655">
        <v>3</v>
      </c>
    </row>
    <row r="656" spans="1:22">
      <c r="A656" t="s">
        <v>1146</v>
      </c>
      <c r="B656" s="3">
        <v>45949</v>
      </c>
      <c r="C656" s="3">
        <v>45955</v>
      </c>
      <c r="D656" t="s">
        <v>438</v>
      </c>
      <c r="E656" t="s">
        <v>439</v>
      </c>
      <c r="F656" t="s">
        <v>152</v>
      </c>
      <c r="G656" t="s">
        <v>194</v>
      </c>
      <c r="H656" t="s">
        <v>240</v>
      </c>
      <c r="I656" t="s">
        <v>241</v>
      </c>
      <c r="J656" t="s">
        <v>219</v>
      </c>
      <c r="K656" t="s">
        <v>147</v>
      </c>
      <c r="L656" t="s">
        <v>214</v>
      </c>
      <c r="M656" t="s">
        <v>215</v>
      </c>
      <c r="N656" t="s">
        <v>103</v>
      </c>
      <c r="O656" t="s">
        <v>171</v>
      </c>
      <c r="P656">
        <v>2</v>
      </c>
      <c r="Q656" s="4">
        <v>11.63</v>
      </c>
      <c r="R656" s="5">
        <v>0.08</v>
      </c>
      <c r="S656" s="4">
        <v>5.73</v>
      </c>
      <c r="T656" t="s">
        <v>105</v>
      </c>
      <c r="U656" t="s">
        <v>85</v>
      </c>
      <c r="V656">
        <v>5</v>
      </c>
    </row>
    <row r="657" spans="1:22">
      <c r="A657" t="s">
        <v>1147</v>
      </c>
      <c r="B657" s="3">
        <v>45950</v>
      </c>
      <c r="C657" s="3">
        <v>45959</v>
      </c>
      <c r="D657" t="s">
        <v>641</v>
      </c>
      <c r="E657" t="s">
        <v>642</v>
      </c>
      <c r="F657" t="s">
        <v>89</v>
      </c>
      <c r="G657" t="s">
        <v>194</v>
      </c>
      <c r="H657" t="s">
        <v>195</v>
      </c>
      <c r="I657" t="s">
        <v>196</v>
      </c>
      <c r="J657" t="s">
        <v>78</v>
      </c>
      <c r="K657" t="s">
        <v>79</v>
      </c>
      <c r="L657" t="s">
        <v>301</v>
      </c>
      <c r="M657" t="s">
        <v>302</v>
      </c>
      <c r="N657" t="s">
        <v>716</v>
      </c>
      <c r="O657" t="s">
        <v>190</v>
      </c>
      <c r="P657">
        <v>2</v>
      </c>
      <c r="Q657" s="4">
        <v>133.97999999999999</v>
      </c>
      <c r="R657" s="5">
        <v>0.11</v>
      </c>
      <c r="S657" s="4">
        <v>17.21</v>
      </c>
      <c r="T657" t="s">
        <v>122</v>
      </c>
      <c r="U657" t="s">
        <v>85</v>
      </c>
      <c r="V657">
        <v>3</v>
      </c>
    </row>
    <row r="658" spans="1:22">
      <c r="A658" t="s">
        <v>1148</v>
      </c>
      <c r="B658" s="3">
        <v>45950</v>
      </c>
      <c r="C658" s="3">
        <v>45955</v>
      </c>
      <c r="D658" t="s">
        <v>771</v>
      </c>
      <c r="E658" t="s">
        <v>772</v>
      </c>
      <c r="F658" t="s">
        <v>74</v>
      </c>
      <c r="G658" t="s">
        <v>126</v>
      </c>
      <c r="H658" t="s">
        <v>127</v>
      </c>
      <c r="I658" t="s">
        <v>128</v>
      </c>
      <c r="J658" t="s">
        <v>219</v>
      </c>
      <c r="K658" t="s">
        <v>90</v>
      </c>
      <c r="L658" t="s">
        <v>131</v>
      </c>
      <c r="M658" t="s">
        <v>132</v>
      </c>
      <c r="N658" t="s">
        <v>120</v>
      </c>
      <c r="O658" t="s">
        <v>133</v>
      </c>
      <c r="P658">
        <v>3</v>
      </c>
      <c r="Q658" s="4">
        <v>92.58</v>
      </c>
      <c r="R658" s="5">
        <v>0.06</v>
      </c>
      <c r="S658" s="4">
        <v>20.47</v>
      </c>
      <c r="T658" t="s">
        <v>84</v>
      </c>
      <c r="U658" t="s">
        <v>85</v>
      </c>
    </row>
    <row r="659" spans="1:22">
      <c r="A659" t="s">
        <v>1149</v>
      </c>
      <c r="B659" s="3">
        <v>45950</v>
      </c>
      <c r="C659" s="3">
        <v>45959</v>
      </c>
      <c r="D659" t="s">
        <v>621</v>
      </c>
      <c r="E659" t="s">
        <v>622</v>
      </c>
      <c r="F659" t="s">
        <v>74</v>
      </c>
      <c r="G659" t="s">
        <v>194</v>
      </c>
      <c r="H659" t="s">
        <v>230</v>
      </c>
      <c r="I659" t="s">
        <v>231</v>
      </c>
      <c r="J659" t="s">
        <v>129</v>
      </c>
      <c r="K659" t="s">
        <v>130</v>
      </c>
      <c r="L659" t="s">
        <v>118</v>
      </c>
      <c r="M659" t="s">
        <v>119</v>
      </c>
      <c r="N659" t="s">
        <v>120</v>
      </c>
      <c r="O659" t="s">
        <v>121</v>
      </c>
      <c r="P659">
        <v>3</v>
      </c>
      <c r="Q659" s="4">
        <v>283.95999999999998</v>
      </c>
      <c r="R659" s="5">
        <v>0.11</v>
      </c>
      <c r="S659" s="4">
        <v>12.42</v>
      </c>
      <c r="T659" t="s">
        <v>84</v>
      </c>
      <c r="U659" t="s">
        <v>85</v>
      </c>
      <c r="V659">
        <v>1</v>
      </c>
    </row>
    <row r="660" spans="1:22">
      <c r="A660" t="s">
        <v>1150</v>
      </c>
      <c r="B660" s="3">
        <v>45951</v>
      </c>
      <c r="C660" s="3">
        <v>45961</v>
      </c>
      <c r="D660" t="s">
        <v>268</v>
      </c>
      <c r="E660" t="s">
        <v>269</v>
      </c>
      <c r="F660" t="s">
        <v>74</v>
      </c>
      <c r="G660" t="s">
        <v>75</v>
      </c>
      <c r="H660" t="s">
        <v>212</v>
      </c>
      <c r="I660" t="s">
        <v>213</v>
      </c>
      <c r="J660" t="s">
        <v>109</v>
      </c>
      <c r="K660" t="s">
        <v>130</v>
      </c>
      <c r="L660" t="s">
        <v>169</v>
      </c>
      <c r="M660" t="s">
        <v>170</v>
      </c>
      <c r="N660" t="s">
        <v>103</v>
      </c>
      <c r="O660" t="s">
        <v>171</v>
      </c>
      <c r="P660">
        <v>3</v>
      </c>
      <c r="Q660" s="4">
        <v>14.13</v>
      </c>
      <c r="R660" s="5">
        <v>0.08</v>
      </c>
      <c r="S660" s="4">
        <v>14.18</v>
      </c>
      <c r="T660" t="s">
        <v>105</v>
      </c>
      <c r="U660" t="s">
        <v>85</v>
      </c>
    </row>
    <row r="661" spans="1:22">
      <c r="A661" t="s">
        <v>1151</v>
      </c>
      <c r="B661" s="3">
        <v>45951</v>
      </c>
      <c r="C661" s="3">
        <v>45960</v>
      </c>
      <c r="D661" t="s">
        <v>621</v>
      </c>
      <c r="E661" t="s">
        <v>622</v>
      </c>
      <c r="F661" t="s">
        <v>74</v>
      </c>
      <c r="G661" t="s">
        <v>194</v>
      </c>
      <c r="H661" t="s">
        <v>230</v>
      </c>
      <c r="I661" t="s">
        <v>231</v>
      </c>
      <c r="J661" t="s">
        <v>109</v>
      </c>
      <c r="K661" t="s">
        <v>90</v>
      </c>
      <c r="L661" t="s">
        <v>207</v>
      </c>
      <c r="M661" t="s">
        <v>208</v>
      </c>
      <c r="N661" t="s">
        <v>120</v>
      </c>
      <c r="O661" t="s">
        <v>164</v>
      </c>
      <c r="P661">
        <v>4</v>
      </c>
      <c r="Q661" s="4">
        <v>1349.86</v>
      </c>
      <c r="R661" s="5">
        <v>0.11</v>
      </c>
      <c r="S661" s="4">
        <v>17.62</v>
      </c>
      <c r="T661" t="s">
        <v>105</v>
      </c>
      <c r="U661" t="s">
        <v>85</v>
      </c>
    </row>
    <row r="662" spans="1:22">
      <c r="A662" t="s">
        <v>1152</v>
      </c>
      <c r="B662" s="3">
        <v>45954</v>
      </c>
      <c r="C662" s="3">
        <v>45958</v>
      </c>
      <c r="D662" t="s">
        <v>856</v>
      </c>
      <c r="E662" t="s">
        <v>857</v>
      </c>
      <c r="F662" t="s">
        <v>74</v>
      </c>
      <c r="G662" t="s">
        <v>75</v>
      </c>
      <c r="H662" t="s">
        <v>273</v>
      </c>
      <c r="I662" t="s">
        <v>274</v>
      </c>
      <c r="J662" t="s">
        <v>129</v>
      </c>
      <c r="K662" t="s">
        <v>168</v>
      </c>
      <c r="L662" t="s">
        <v>110</v>
      </c>
      <c r="M662" t="s">
        <v>111</v>
      </c>
      <c r="N662" t="s">
        <v>82</v>
      </c>
      <c r="O662" t="s">
        <v>112</v>
      </c>
      <c r="P662">
        <v>3</v>
      </c>
      <c r="Q662" s="4">
        <v>302.47000000000003</v>
      </c>
      <c r="R662" s="5">
        <v>0.06</v>
      </c>
      <c r="S662" s="4">
        <v>10.41</v>
      </c>
      <c r="T662" t="s">
        <v>84</v>
      </c>
      <c r="U662" t="s">
        <v>85</v>
      </c>
    </row>
    <row r="663" spans="1:22">
      <c r="A663" t="s">
        <v>1153</v>
      </c>
      <c r="B663" s="3">
        <v>45955</v>
      </c>
      <c r="C663" s="3">
        <v>45956</v>
      </c>
      <c r="D663" t="s">
        <v>289</v>
      </c>
      <c r="E663" t="s">
        <v>290</v>
      </c>
      <c r="F663" t="s">
        <v>74</v>
      </c>
      <c r="G663" t="s">
        <v>126</v>
      </c>
      <c r="H663" t="s">
        <v>291</v>
      </c>
      <c r="I663" t="s">
        <v>292</v>
      </c>
      <c r="J663" t="s">
        <v>109</v>
      </c>
      <c r="K663" t="s">
        <v>90</v>
      </c>
      <c r="L663" t="s">
        <v>141</v>
      </c>
      <c r="M663" t="s">
        <v>142</v>
      </c>
      <c r="N663" t="s">
        <v>103</v>
      </c>
      <c r="O663" t="s">
        <v>143</v>
      </c>
      <c r="P663">
        <v>9</v>
      </c>
      <c r="Q663" s="4">
        <v>35.04</v>
      </c>
      <c r="R663" s="5">
        <v>0.33</v>
      </c>
      <c r="S663" s="4">
        <v>8.92</v>
      </c>
      <c r="T663" t="s">
        <v>105</v>
      </c>
      <c r="U663" t="s">
        <v>85</v>
      </c>
      <c r="V663">
        <v>1</v>
      </c>
    </row>
    <row r="664" spans="1:22">
      <c r="A664" t="s">
        <v>1154</v>
      </c>
      <c r="B664" s="3">
        <v>45955</v>
      </c>
      <c r="C664" s="3">
        <v>45959</v>
      </c>
      <c r="D664" t="s">
        <v>601</v>
      </c>
      <c r="E664" t="s">
        <v>351</v>
      </c>
      <c r="F664" t="s">
        <v>74</v>
      </c>
      <c r="G664" t="s">
        <v>194</v>
      </c>
      <c r="H664" t="s">
        <v>240</v>
      </c>
      <c r="I664" t="s">
        <v>241</v>
      </c>
      <c r="J664" t="s">
        <v>109</v>
      </c>
      <c r="K664" t="s">
        <v>90</v>
      </c>
      <c r="L664" t="s">
        <v>337</v>
      </c>
      <c r="M664" t="s">
        <v>338</v>
      </c>
      <c r="N664" t="s">
        <v>93</v>
      </c>
      <c r="O664" t="s">
        <v>236</v>
      </c>
      <c r="P664">
        <v>4</v>
      </c>
      <c r="Q664" s="4">
        <v>275.33999999999997</v>
      </c>
      <c r="R664" s="5">
        <v>0.03</v>
      </c>
      <c r="S664" s="4">
        <v>21.52</v>
      </c>
      <c r="T664" t="s">
        <v>122</v>
      </c>
      <c r="U664" t="s">
        <v>85</v>
      </c>
      <c r="V664">
        <v>5</v>
      </c>
    </row>
    <row r="665" spans="1:22">
      <c r="A665" t="s">
        <v>1155</v>
      </c>
      <c r="B665" s="3">
        <v>45958</v>
      </c>
      <c r="C665" s="3">
        <v>45959</v>
      </c>
      <c r="D665" t="s">
        <v>841</v>
      </c>
      <c r="E665" t="s">
        <v>842</v>
      </c>
      <c r="F665" t="s">
        <v>74</v>
      </c>
      <c r="G665" t="s">
        <v>126</v>
      </c>
      <c r="H665" t="s">
        <v>160</v>
      </c>
      <c r="I665" t="s">
        <v>182</v>
      </c>
      <c r="J665" t="s">
        <v>109</v>
      </c>
      <c r="K665" t="s">
        <v>130</v>
      </c>
      <c r="L665" t="s">
        <v>207</v>
      </c>
      <c r="M665" t="s">
        <v>208</v>
      </c>
      <c r="N665" t="s">
        <v>120</v>
      </c>
      <c r="O665" t="s">
        <v>164</v>
      </c>
      <c r="P665">
        <v>4</v>
      </c>
      <c r="Q665" s="4">
        <v>1416.93</v>
      </c>
      <c r="R665" s="5">
        <v>0.1</v>
      </c>
      <c r="S665" s="4">
        <v>21.82</v>
      </c>
      <c r="T665" t="s">
        <v>84</v>
      </c>
      <c r="U665" t="s">
        <v>85</v>
      </c>
      <c r="V665">
        <v>3</v>
      </c>
    </row>
    <row r="666" spans="1:22">
      <c r="A666" t="s">
        <v>1156</v>
      </c>
      <c r="B666" s="3">
        <v>45958</v>
      </c>
      <c r="C666" s="3">
        <v>45968</v>
      </c>
      <c r="D666" t="s">
        <v>533</v>
      </c>
      <c r="E666" t="s">
        <v>534</v>
      </c>
      <c r="F666" t="s">
        <v>152</v>
      </c>
      <c r="G666" t="s">
        <v>75</v>
      </c>
      <c r="H666" t="s">
        <v>76</v>
      </c>
      <c r="I666" t="s">
        <v>77</v>
      </c>
      <c r="J666" t="s">
        <v>78</v>
      </c>
      <c r="K666" t="s">
        <v>100</v>
      </c>
      <c r="L666" t="s">
        <v>234</v>
      </c>
      <c r="M666" t="s">
        <v>235</v>
      </c>
      <c r="N666" t="s">
        <v>93</v>
      </c>
      <c r="O666" t="s">
        <v>236</v>
      </c>
      <c r="P666">
        <v>2</v>
      </c>
      <c r="Q666" s="4">
        <v>143.68</v>
      </c>
      <c r="R666" s="5">
        <v>0.01</v>
      </c>
      <c r="S666" s="4">
        <v>18.27</v>
      </c>
      <c r="T666" t="s">
        <v>134</v>
      </c>
      <c r="U666" t="s">
        <v>85</v>
      </c>
      <c r="V666">
        <v>1</v>
      </c>
    </row>
    <row r="667" spans="1:22">
      <c r="A667" t="s">
        <v>1157</v>
      </c>
      <c r="B667" s="3">
        <v>45959</v>
      </c>
      <c r="C667" s="3">
        <v>45966</v>
      </c>
      <c r="D667" t="s">
        <v>258</v>
      </c>
      <c r="E667" t="s">
        <v>259</v>
      </c>
      <c r="F667" t="s">
        <v>152</v>
      </c>
      <c r="G667" t="s">
        <v>194</v>
      </c>
      <c r="H667" t="s">
        <v>225</v>
      </c>
      <c r="I667" t="s">
        <v>226</v>
      </c>
      <c r="J667" t="s">
        <v>109</v>
      </c>
      <c r="K667" t="s">
        <v>147</v>
      </c>
      <c r="L667" t="s">
        <v>359</v>
      </c>
      <c r="M667" t="s">
        <v>360</v>
      </c>
      <c r="N667" t="s">
        <v>93</v>
      </c>
      <c r="O667" t="s">
        <v>94</v>
      </c>
      <c r="P667">
        <v>4</v>
      </c>
      <c r="Q667" s="4">
        <v>463.5</v>
      </c>
      <c r="R667" s="5">
        <v>0.1</v>
      </c>
      <c r="S667" s="4">
        <v>27.24</v>
      </c>
      <c r="T667" t="s">
        <v>134</v>
      </c>
      <c r="U667" t="s">
        <v>85</v>
      </c>
      <c r="V667">
        <v>2</v>
      </c>
    </row>
    <row r="668" spans="1:22">
      <c r="A668" t="s">
        <v>1158</v>
      </c>
      <c r="B668" s="3">
        <v>45961</v>
      </c>
      <c r="C668" s="3">
        <v>45962</v>
      </c>
      <c r="D668" t="s">
        <v>856</v>
      </c>
      <c r="E668" t="s">
        <v>857</v>
      </c>
      <c r="F668" t="s">
        <v>74</v>
      </c>
      <c r="G668" t="s">
        <v>75</v>
      </c>
      <c r="H668" t="s">
        <v>273</v>
      </c>
      <c r="I668" t="s">
        <v>274</v>
      </c>
      <c r="J668" t="s">
        <v>219</v>
      </c>
      <c r="K668" t="s">
        <v>168</v>
      </c>
      <c r="L668" t="s">
        <v>359</v>
      </c>
      <c r="M668" t="s">
        <v>360</v>
      </c>
      <c r="N668" t="s">
        <v>93</v>
      </c>
      <c r="O668" t="s">
        <v>94</v>
      </c>
      <c r="P668">
        <v>1</v>
      </c>
      <c r="Q668" s="4">
        <v>465.14</v>
      </c>
      <c r="R668" s="5">
        <v>0.01</v>
      </c>
      <c r="S668" s="4">
        <v>27.89</v>
      </c>
      <c r="T668" t="s">
        <v>84</v>
      </c>
      <c r="U668" t="s">
        <v>85</v>
      </c>
    </row>
    <row r="669" spans="1:22">
      <c r="A669" t="s">
        <v>1159</v>
      </c>
      <c r="B669" s="3">
        <v>45963</v>
      </c>
      <c r="C669" s="3">
        <v>45965</v>
      </c>
      <c r="D669" t="s">
        <v>586</v>
      </c>
      <c r="E669" t="s">
        <v>587</v>
      </c>
      <c r="F669" t="s">
        <v>89</v>
      </c>
      <c r="G669" t="s">
        <v>138</v>
      </c>
      <c r="H669" t="s">
        <v>139</v>
      </c>
      <c r="I669" t="s">
        <v>140</v>
      </c>
      <c r="J669" t="s">
        <v>219</v>
      </c>
      <c r="K669" t="s">
        <v>147</v>
      </c>
      <c r="L669" t="s">
        <v>261</v>
      </c>
      <c r="M669" t="s">
        <v>262</v>
      </c>
      <c r="N669" t="s">
        <v>103</v>
      </c>
      <c r="O669" t="s">
        <v>104</v>
      </c>
      <c r="P669">
        <v>5</v>
      </c>
      <c r="Q669" s="4">
        <v>28.15</v>
      </c>
      <c r="R669" s="5">
        <v>0.06</v>
      </c>
      <c r="S669" s="4">
        <v>12.11</v>
      </c>
      <c r="T669" t="s">
        <v>105</v>
      </c>
      <c r="U669" t="s">
        <v>85</v>
      </c>
      <c r="V669">
        <v>4</v>
      </c>
    </row>
    <row r="670" spans="1:22">
      <c r="A670" t="s">
        <v>1160</v>
      </c>
      <c r="B670" s="3">
        <v>45963</v>
      </c>
      <c r="C670" s="3">
        <v>45973</v>
      </c>
      <c r="D670" t="s">
        <v>357</v>
      </c>
      <c r="E670" t="s">
        <v>358</v>
      </c>
      <c r="F670" t="s">
        <v>74</v>
      </c>
      <c r="G670" t="s">
        <v>75</v>
      </c>
      <c r="H670" t="s">
        <v>98</v>
      </c>
      <c r="I670" t="s">
        <v>99</v>
      </c>
      <c r="J670" t="s">
        <v>129</v>
      </c>
      <c r="K670" t="s">
        <v>130</v>
      </c>
      <c r="L670" t="s">
        <v>110</v>
      </c>
      <c r="M670" t="s">
        <v>111</v>
      </c>
      <c r="N670" t="s">
        <v>82</v>
      </c>
      <c r="O670" t="s">
        <v>112</v>
      </c>
      <c r="P670">
        <v>1</v>
      </c>
      <c r="Q670" s="4">
        <v>317.97000000000003</v>
      </c>
      <c r="R670" s="5">
        <v>0.08</v>
      </c>
      <c r="S670" s="4">
        <v>8.6999999999999993</v>
      </c>
      <c r="T670" t="s">
        <v>84</v>
      </c>
      <c r="U670" t="s">
        <v>85</v>
      </c>
      <c r="V670">
        <v>1</v>
      </c>
    </row>
    <row r="671" spans="1:22">
      <c r="A671" t="s">
        <v>1161</v>
      </c>
      <c r="B671" s="3">
        <v>45965</v>
      </c>
      <c r="C671" s="3">
        <v>45973</v>
      </c>
      <c r="D671" t="s">
        <v>605</v>
      </c>
      <c r="E671" t="s">
        <v>606</v>
      </c>
      <c r="F671" t="s">
        <v>74</v>
      </c>
      <c r="G671" t="s">
        <v>138</v>
      </c>
      <c r="H671" t="s">
        <v>153</v>
      </c>
      <c r="I671" t="s">
        <v>154</v>
      </c>
      <c r="J671" t="s">
        <v>78</v>
      </c>
      <c r="K671" t="s">
        <v>130</v>
      </c>
      <c r="L671" t="s">
        <v>214</v>
      </c>
      <c r="M671" t="s">
        <v>215</v>
      </c>
      <c r="N671" t="s">
        <v>103</v>
      </c>
      <c r="O671" t="s">
        <v>171</v>
      </c>
      <c r="P671">
        <v>9</v>
      </c>
      <c r="Q671" s="4">
        <v>11.9</v>
      </c>
      <c r="R671" s="5">
        <v>0.04</v>
      </c>
      <c r="S671" s="4">
        <v>5.9</v>
      </c>
      <c r="T671" t="s">
        <v>122</v>
      </c>
      <c r="U671" t="s">
        <v>85</v>
      </c>
      <c r="V671">
        <v>1</v>
      </c>
    </row>
    <row r="672" spans="1:22">
      <c r="A672" t="s">
        <v>1162</v>
      </c>
      <c r="B672" s="3">
        <v>45967</v>
      </c>
      <c r="C672" s="3">
        <v>45969</v>
      </c>
      <c r="D672" t="s">
        <v>487</v>
      </c>
      <c r="E672" t="s">
        <v>470</v>
      </c>
      <c r="F672" t="s">
        <v>152</v>
      </c>
      <c r="G672" t="s">
        <v>75</v>
      </c>
      <c r="H672" t="s">
        <v>98</v>
      </c>
      <c r="I672" t="s">
        <v>99</v>
      </c>
      <c r="J672" t="s">
        <v>219</v>
      </c>
      <c r="K672" t="s">
        <v>79</v>
      </c>
      <c r="L672" t="s">
        <v>234</v>
      </c>
      <c r="M672" t="s">
        <v>235</v>
      </c>
      <c r="N672" t="s">
        <v>93</v>
      </c>
      <c r="O672" t="s">
        <v>236</v>
      </c>
      <c r="P672">
        <v>2</v>
      </c>
      <c r="Q672" s="4">
        <v>144.93</v>
      </c>
      <c r="R672" s="5">
        <v>0.1</v>
      </c>
      <c r="S672" s="4">
        <v>19.579999999999998</v>
      </c>
      <c r="T672" t="s">
        <v>134</v>
      </c>
      <c r="U672" t="s">
        <v>85</v>
      </c>
      <c r="V672">
        <v>1</v>
      </c>
    </row>
    <row r="673" spans="1:22">
      <c r="A673" t="s">
        <v>1163</v>
      </c>
      <c r="B673" s="3">
        <v>45969</v>
      </c>
      <c r="C673" s="3">
        <v>45987</v>
      </c>
      <c r="D673" t="s">
        <v>353</v>
      </c>
      <c r="E673" t="s">
        <v>354</v>
      </c>
      <c r="F673" t="s">
        <v>74</v>
      </c>
      <c r="G673" t="s">
        <v>126</v>
      </c>
      <c r="H673" t="s">
        <v>160</v>
      </c>
      <c r="I673" t="s">
        <v>182</v>
      </c>
      <c r="J673" t="s">
        <v>129</v>
      </c>
      <c r="K673" t="s">
        <v>168</v>
      </c>
      <c r="L673" t="s">
        <v>431</v>
      </c>
      <c r="M673" t="s">
        <v>432</v>
      </c>
      <c r="N673" t="s">
        <v>103</v>
      </c>
      <c r="O673" t="s">
        <v>251</v>
      </c>
      <c r="P673">
        <v>8</v>
      </c>
      <c r="Q673" s="4">
        <v>37.36</v>
      </c>
      <c r="R673" s="5">
        <v>0.09</v>
      </c>
      <c r="S673" s="4">
        <v>15.14</v>
      </c>
      <c r="T673" t="s">
        <v>84</v>
      </c>
      <c r="U673" t="s">
        <v>85</v>
      </c>
      <c r="V673">
        <v>3</v>
      </c>
    </row>
    <row r="674" spans="1:22">
      <c r="A674" t="s">
        <v>1164</v>
      </c>
      <c r="B674" s="3">
        <v>45969</v>
      </c>
      <c r="C674" s="3">
        <v>45975</v>
      </c>
      <c r="D674" t="s">
        <v>297</v>
      </c>
      <c r="E674" t="s">
        <v>298</v>
      </c>
      <c r="F674" t="s">
        <v>74</v>
      </c>
      <c r="G674" t="s">
        <v>126</v>
      </c>
      <c r="H674" t="s">
        <v>291</v>
      </c>
      <c r="I674" t="s">
        <v>292</v>
      </c>
      <c r="J674" t="s">
        <v>219</v>
      </c>
      <c r="K674" t="s">
        <v>90</v>
      </c>
      <c r="L674" t="s">
        <v>91</v>
      </c>
      <c r="M674" t="s">
        <v>92</v>
      </c>
      <c r="N674" t="s">
        <v>93</v>
      </c>
      <c r="O674" t="s">
        <v>94</v>
      </c>
      <c r="P674">
        <v>2</v>
      </c>
      <c r="Q674" s="4">
        <v>318.92</v>
      </c>
      <c r="R674" s="5">
        <v>0.08</v>
      </c>
      <c r="S674" s="4">
        <v>24.32</v>
      </c>
      <c r="T674" t="s">
        <v>105</v>
      </c>
      <c r="U674" t="s">
        <v>85</v>
      </c>
      <c r="V674">
        <v>5</v>
      </c>
    </row>
    <row r="675" spans="1:22">
      <c r="A675" t="s">
        <v>1165</v>
      </c>
      <c r="B675" s="3">
        <v>45970</v>
      </c>
      <c r="C675" s="3">
        <v>45979</v>
      </c>
      <c r="D675" t="s">
        <v>767</v>
      </c>
      <c r="E675" t="s">
        <v>617</v>
      </c>
      <c r="F675" t="s">
        <v>74</v>
      </c>
      <c r="G675" t="s">
        <v>138</v>
      </c>
      <c r="H675" t="s">
        <v>457</v>
      </c>
      <c r="I675" t="s">
        <v>458</v>
      </c>
      <c r="J675" t="s">
        <v>78</v>
      </c>
      <c r="K675" t="s">
        <v>147</v>
      </c>
      <c r="L675" t="s">
        <v>261</v>
      </c>
      <c r="M675" t="s">
        <v>262</v>
      </c>
      <c r="N675" t="s">
        <v>103</v>
      </c>
      <c r="O675" t="s">
        <v>104</v>
      </c>
      <c r="P675">
        <v>4</v>
      </c>
      <c r="Q675" s="4">
        <v>26.63</v>
      </c>
      <c r="R675" s="5">
        <v>0.1</v>
      </c>
      <c r="S675" s="4">
        <v>15.35</v>
      </c>
      <c r="T675" t="s">
        <v>105</v>
      </c>
      <c r="U675" t="s">
        <v>85</v>
      </c>
      <c r="V675">
        <v>5</v>
      </c>
    </row>
    <row r="676" spans="1:22">
      <c r="A676" t="s">
        <v>1166</v>
      </c>
      <c r="B676" s="3">
        <v>45972</v>
      </c>
      <c r="C676" s="3">
        <v>45980</v>
      </c>
      <c r="D676" t="s">
        <v>556</v>
      </c>
      <c r="E676" t="s">
        <v>557</v>
      </c>
      <c r="F676" t="s">
        <v>152</v>
      </c>
      <c r="G676" t="s">
        <v>75</v>
      </c>
      <c r="H676" t="s">
        <v>212</v>
      </c>
      <c r="I676" t="s">
        <v>213</v>
      </c>
      <c r="J676" t="s">
        <v>109</v>
      </c>
      <c r="K676" t="s">
        <v>100</v>
      </c>
      <c r="L676" t="s">
        <v>175</v>
      </c>
      <c r="M676" t="s">
        <v>176</v>
      </c>
      <c r="N676" t="s">
        <v>93</v>
      </c>
      <c r="O676" t="s">
        <v>177</v>
      </c>
      <c r="P676">
        <v>3</v>
      </c>
      <c r="Q676" s="4">
        <v>171.91</v>
      </c>
      <c r="R676" s="5">
        <v>0.03</v>
      </c>
      <c r="S676" s="4">
        <v>29.14</v>
      </c>
      <c r="T676" t="s">
        <v>122</v>
      </c>
      <c r="U676" t="s">
        <v>85</v>
      </c>
      <c r="V676">
        <v>1</v>
      </c>
    </row>
    <row r="677" spans="1:22">
      <c r="A677" t="s">
        <v>1167</v>
      </c>
      <c r="B677" s="3">
        <v>45974</v>
      </c>
      <c r="C677" s="3">
        <v>45976</v>
      </c>
      <c r="D677" t="s">
        <v>424</v>
      </c>
      <c r="E677" t="s">
        <v>425</v>
      </c>
      <c r="F677" t="s">
        <v>152</v>
      </c>
      <c r="G677" t="s">
        <v>138</v>
      </c>
      <c r="H677" t="s">
        <v>347</v>
      </c>
      <c r="I677" t="s">
        <v>348</v>
      </c>
      <c r="J677" t="s">
        <v>109</v>
      </c>
      <c r="K677" t="s">
        <v>79</v>
      </c>
      <c r="L677" t="s">
        <v>359</v>
      </c>
      <c r="M677" t="s">
        <v>360</v>
      </c>
      <c r="N677" t="s">
        <v>93</v>
      </c>
      <c r="O677" t="s">
        <v>94</v>
      </c>
      <c r="P677">
        <v>1</v>
      </c>
      <c r="Q677" s="4">
        <v>430.75</v>
      </c>
      <c r="R677" s="5">
        <v>0.02</v>
      </c>
      <c r="S677" s="4">
        <v>21.28</v>
      </c>
      <c r="T677" t="s">
        <v>84</v>
      </c>
      <c r="U677" t="s">
        <v>85</v>
      </c>
      <c r="V677">
        <v>2</v>
      </c>
    </row>
    <row r="678" spans="1:22">
      <c r="A678" t="s">
        <v>1168</v>
      </c>
      <c r="B678" s="3">
        <v>45975</v>
      </c>
      <c r="C678" s="3">
        <v>45978</v>
      </c>
      <c r="D678" t="s">
        <v>500</v>
      </c>
      <c r="E678" t="s">
        <v>501</v>
      </c>
      <c r="F678" t="s">
        <v>152</v>
      </c>
      <c r="G678" t="s">
        <v>194</v>
      </c>
      <c r="H678" t="s">
        <v>202</v>
      </c>
      <c r="I678" t="s">
        <v>203</v>
      </c>
      <c r="J678" t="s">
        <v>78</v>
      </c>
      <c r="K678" t="s">
        <v>130</v>
      </c>
      <c r="L678" t="s">
        <v>188</v>
      </c>
      <c r="M678" t="s">
        <v>189</v>
      </c>
      <c r="N678" t="s">
        <v>120</v>
      </c>
      <c r="O678" t="s">
        <v>190</v>
      </c>
      <c r="P678">
        <v>4</v>
      </c>
      <c r="Q678" s="4">
        <v>60.26</v>
      </c>
      <c r="R678" s="5">
        <v>7.0000000000000007E-2</v>
      </c>
      <c r="S678" s="4">
        <v>12.29</v>
      </c>
      <c r="T678" t="s">
        <v>105</v>
      </c>
      <c r="U678" t="s">
        <v>85</v>
      </c>
      <c r="V678">
        <v>3</v>
      </c>
    </row>
    <row r="679" spans="1:22">
      <c r="A679" t="s">
        <v>1169</v>
      </c>
      <c r="B679" s="3">
        <v>45975</v>
      </c>
      <c r="C679" s="3">
        <v>45984</v>
      </c>
      <c r="D679" t="s">
        <v>469</v>
      </c>
      <c r="E679" t="s">
        <v>470</v>
      </c>
      <c r="F679" t="s">
        <v>89</v>
      </c>
      <c r="G679" t="s">
        <v>138</v>
      </c>
      <c r="H679" t="s">
        <v>186</v>
      </c>
      <c r="I679" t="s">
        <v>187</v>
      </c>
      <c r="J679" t="s">
        <v>219</v>
      </c>
      <c r="K679" t="s">
        <v>168</v>
      </c>
      <c r="L679" t="s">
        <v>110</v>
      </c>
      <c r="M679" t="s">
        <v>111</v>
      </c>
      <c r="N679" t="s">
        <v>82</v>
      </c>
      <c r="O679" t="s">
        <v>112</v>
      </c>
      <c r="P679">
        <v>7</v>
      </c>
      <c r="Q679" s="4">
        <v>333.53</v>
      </c>
      <c r="R679" s="5">
        <v>0.06</v>
      </c>
      <c r="S679" s="4">
        <v>13.17</v>
      </c>
      <c r="T679" t="s">
        <v>122</v>
      </c>
      <c r="U679" t="s">
        <v>85</v>
      </c>
      <c r="V679">
        <v>5</v>
      </c>
    </row>
    <row r="680" spans="1:22">
      <c r="A680" t="s">
        <v>1170</v>
      </c>
      <c r="B680" s="3">
        <v>45975</v>
      </c>
      <c r="C680" s="3">
        <v>45978</v>
      </c>
      <c r="D680" t="s">
        <v>158</v>
      </c>
      <c r="E680" t="s">
        <v>159</v>
      </c>
      <c r="F680" t="s">
        <v>89</v>
      </c>
      <c r="G680" t="s">
        <v>126</v>
      </c>
      <c r="H680" t="s">
        <v>160</v>
      </c>
      <c r="I680" t="s">
        <v>161</v>
      </c>
      <c r="J680" t="s">
        <v>129</v>
      </c>
      <c r="K680" t="s">
        <v>130</v>
      </c>
      <c r="L680" t="s">
        <v>197</v>
      </c>
      <c r="M680" t="s">
        <v>198</v>
      </c>
      <c r="N680" t="s">
        <v>120</v>
      </c>
      <c r="O680" t="s">
        <v>121</v>
      </c>
      <c r="P680">
        <v>3</v>
      </c>
      <c r="Q680" s="4">
        <v>548.69000000000005</v>
      </c>
      <c r="R680" s="5">
        <v>0.12</v>
      </c>
      <c r="S680" s="4">
        <v>16.38</v>
      </c>
      <c r="T680" t="s">
        <v>122</v>
      </c>
      <c r="U680" t="s">
        <v>85</v>
      </c>
    </row>
    <row r="681" spans="1:22">
      <c r="A681" t="s">
        <v>1171</v>
      </c>
      <c r="B681" s="3">
        <v>45978</v>
      </c>
      <c r="C681" s="3">
        <v>45993</v>
      </c>
      <c r="D681" t="s">
        <v>586</v>
      </c>
      <c r="E681" t="s">
        <v>587</v>
      </c>
      <c r="F681" t="s">
        <v>89</v>
      </c>
      <c r="G681" t="s">
        <v>138</v>
      </c>
      <c r="H681" t="s">
        <v>139</v>
      </c>
      <c r="I681" t="s">
        <v>140</v>
      </c>
      <c r="J681" t="s">
        <v>78</v>
      </c>
      <c r="K681" t="s">
        <v>147</v>
      </c>
      <c r="L681" t="s">
        <v>220</v>
      </c>
      <c r="M681" t="s">
        <v>221</v>
      </c>
      <c r="N681" t="s">
        <v>93</v>
      </c>
      <c r="O681" t="s">
        <v>177</v>
      </c>
      <c r="P681">
        <v>3</v>
      </c>
      <c r="Q681" s="4">
        <v>223.44</v>
      </c>
      <c r="R681" s="5">
        <v>0.11</v>
      </c>
      <c r="S681" s="4">
        <v>20.89</v>
      </c>
      <c r="T681" t="s">
        <v>122</v>
      </c>
      <c r="U681" t="s">
        <v>85</v>
      </c>
      <c r="V681">
        <v>4</v>
      </c>
    </row>
    <row r="682" spans="1:22">
      <c r="A682" t="s">
        <v>1172</v>
      </c>
      <c r="B682" s="3">
        <v>45978</v>
      </c>
      <c r="C682" s="3">
        <v>45985</v>
      </c>
      <c r="D682" t="s">
        <v>844</v>
      </c>
      <c r="E682" t="s">
        <v>845</v>
      </c>
      <c r="F682" t="s">
        <v>74</v>
      </c>
      <c r="G682" t="s">
        <v>138</v>
      </c>
      <c r="H682" t="s">
        <v>186</v>
      </c>
      <c r="I682" t="s">
        <v>187</v>
      </c>
      <c r="J682" t="s">
        <v>219</v>
      </c>
      <c r="K682" t="s">
        <v>100</v>
      </c>
      <c r="L682" t="s">
        <v>131</v>
      </c>
      <c r="M682" t="s">
        <v>132</v>
      </c>
      <c r="N682" t="s">
        <v>120</v>
      </c>
      <c r="O682" t="s">
        <v>133</v>
      </c>
      <c r="P682">
        <v>2</v>
      </c>
      <c r="Q682" s="4">
        <v>88.29</v>
      </c>
      <c r="R682" s="5">
        <v>0.01</v>
      </c>
      <c r="S682" s="4">
        <v>21.44</v>
      </c>
      <c r="T682" t="s">
        <v>122</v>
      </c>
      <c r="U682" t="s">
        <v>85</v>
      </c>
      <c r="V682">
        <v>2</v>
      </c>
    </row>
    <row r="683" spans="1:22">
      <c r="A683" t="s">
        <v>1173</v>
      </c>
      <c r="B683" s="3">
        <v>45979</v>
      </c>
      <c r="C683" s="3">
        <v>45987</v>
      </c>
      <c r="D683" t="s">
        <v>456</v>
      </c>
      <c r="E683" t="s">
        <v>369</v>
      </c>
      <c r="F683" t="s">
        <v>89</v>
      </c>
      <c r="G683" t="s">
        <v>138</v>
      </c>
      <c r="H683" t="s">
        <v>457</v>
      </c>
      <c r="I683" t="s">
        <v>458</v>
      </c>
      <c r="J683" t="s">
        <v>78</v>
      </c>
      <c r="K683" t="s">
        <v>168</v>
      </c>
      <c r="L683" t="s">
        <v>220</v>
      </c>
      <c r="M683" t="s">
        <v>221</v>
      </c>
      <c r="N683" t="s">
        <v>93</v>
      </c>
      <c r="O683" t="s">
        <v>177</v>
      </c>
      <c r="P683">
        <v>3</v>
      </c>
      <c r="Q683" s="4">
        <v>215.54</v>
      </c>
      <c r="R683" s="5">
        <v>0.1</v>
      </c>
      <c r="S683" s="4">
        <v>21.45</v>
      </c>
      <c r="T683" t="s">
        <v>122</v>
      </c>
      <c r="U683" t="s">
        <v>85</v>
      </c>
      <c r="V683">
        <v>2</v>
      </c>
    </row>
    <row r="684" spans="1:22">
      <c r="A684" t="s">
        <v>1174</v>
      </c>
      <c r="B684" s="3">
        <v>45979</v>
      </c>
      <c r="C684" s="3">
        <v>45983</v>
      </c>
      <c r="D684" t="s">
        <v>508</v>
      </c>
      <c r="E684" t="s">
        <v>509</v>
      </c>
      <c r="F684" t="s">
        <v>74</v>
      </c>
      <c r="G684" t="s">
        <v>75</v>
      </c>
      <c r="H684" t="s">
        <v>76</v>
      </c>
      <c r="I684" t="s">
        <v>77</v>
      </c>
      <c r="J684" t="s">
        <v>219</v>
      </c>
      <c r="K684" t="s">
        <v>90</v>
      </c>
      <c r="L684" t="s">
        <v>261</v>
      </c>
      <c r="M684" t="s">
        <v>262</v>
      </c>
      <c r="N684" t="s">
        <v>103</v>
      </c>
      <c r="O684" t="s">
        <v>104</v>
      </c>
      <c r="P684">
        <v>4</v>
      </c>
      <c r="Q684" s="4">
        <v>25.51</v>
      </c>
      <c r="R684" s="5">
        <v>0.05</v>
      </c>
      <c r="S684" s="4">
        <v>12.18</v>
      </c>
      <c r="T684" t="s">
        <v>122</v>
      </c>
      <c r="U684" t="s">
        <v>85</v>
      </c>
      <c r="V684">
        <v>3</v>
      </c>
    </row>
    <row r="685" spans="1:22">
      <c r="A685" t="s">
        <v>1175</v>
      </c>
      <c r="B685" s="3">
        <v>45979</v>
      </c>
      <c r="C685" s="3">
        <v>45984</v>
      </c>
      <c r="D685" t="s">
        <v>289</v>
      </c>
      <c r="E685" t="s">
        <v>290</v>
      </c>
      <c r="F685" t="s">
        <v>74</v>
      </c>
      <c r="G685" t="s">
        <v>126</v>
      </c>
      <c r="H685" t="s">
        <v>291</v>
      </c>
      <c r="I685" t="s">
        <v>292</v>
      </c>
      <c r="J685" t="s">
        <v>109</v>
      </c>
      <c r="K685" t="s">
        <v>90</v>
      </c>
      <c r="L685" t="s">
        <v>101</v>
      </c>
      <c r="M685" t="s">
        <v>102</v>
      </c>
      <c r="N685" t="s">
        <v>103</v>
      </c>
      <c r="O685" t="s">
        <v>104</v>
      </c>
      <c r="P685">
        <v>6</v>
      </c>
      <c r="Q685" s="4">
        <v>78.459999999999994</v>
      </c>
      <c r="R685" s="5">
        <v>0.06</v>
      </c>
      <c r="S685" s="4">
        <v>16.43</v>
      </c>
      <c r="T685" t="s">
        <v>122</v>
      </c>
      <c r="U685" t="s">
        <v>85</v>
      </c>
      <c r="V685">
        <v>4</v>
      </c>
    </row>
    <row r="686" spans="1:22">
      <c r="A686" t="s">
        <v>1176</v>
      </c>
      <c r="B686" s="3">
        <v>45980</v>
      </c>
      <c r="C686" s="3">
        <v>45983</v>
      </c>
      <c r="D686" t="s">
        <v>158</v>
      </c>
      <c r="E686" t="s">
        <v>159</v>
      </c>
      <c r="F686" t="s">
        <v>89</v>
      </c>
      <c r="G686" t="s">
        <v>126</v>
      </c>
      <c r="H686" t="s">
        <v>160</v>
      </c>
      <c r="I686" t="s">
        <v>161</v>
      </c>
      <c r="J686" t="s">
        <v>129</v>
      </c>
      <c r="K686" t="s">
        <v>168</v>
      </c>
      <c r="L686" t="s">
        <v>141</v>
      </c>
      <c r="M686" t="s">
        <v>142</v>
      </c>
      <c r="N686" t="s">
        <v>103</v>
      </c>
      <c r="O686" t="s">
        <v>143</v>
      </c>
      <c r="P686">
        <v>6</v>
      </c>
      <c r="Q686" s="4">
        <v>37.46</v>
      </c>
      <c r="R686" s="5">
        <v>0.06</v>
      </c>
      <c r="S686" s="4">
        <v>9.8699999999999992</v>
      </c>
      <c r="T686" t="s">
        <v>122</v>
      </c>
      <c r="U686" t="s">
        <v>85</v>
      </c>
      <c r="V686">
        <v>1</v>
      </c>
    </row>
    <row r="687" spans="1:22">
      <c r="A687" t="s">
        <v>1177</v>
      </c>
      <c r="B687" s="3">
        <v>45981</v>
      </c>
      <c r="C687" s="3">
        <v>45990</v>
      </c>
      <c r="D687" t="s">
        <v>601</v>
      </c>
      <c r="E687" t="s">
        <v>351</v>
      </c>
      <c r="F687" t="s">
        <v>74</v>
      </c>
      <c r="G687" t="s">
        <v>194</v>
      </c>
      <c r="H687" t="s">
        <v>240</v>
      </c>
      <c r="I687" t="s">
        <v>241</v>
      </c>
      <c r="J687" t="s">
        <v>78</v>
      </c>
      <c r="K687" t="s">
        <v>130</v>
      </c>
      <c r="L687" t="s">
        <v>175</v>
      </c>
      <c r="M687" t="s">
        <v>176</v>
      </c>
      <c r="N687" t="s">
        <v>93</v>
      </c>
      <c r="O687" t="s">
        <v>177</v>
      </c>
      <c r="P687">
        <v>2</v>
      </c>
      <c r="Q687" s="4">
        <v>163.94</v>
      </c>
      <c r="R687" s="5">
        <v>0.04</v>
      </c>
      <c r="S687" s="4">
        <v>23.41</v>
      </c>
      <c r="T687" t="s">
        <v>84</v>
      </c>
      <c r="U687" t="s">
        <v>85</v>
      </c>
    </row>
    <row r="688" spans="1:22">
      <c r="A688" t="s">
        <v>1178</v>
      </c>
      <c r="B688" s="3">
        <v>45982</v>
      </c>
      <c r="C688" s="3">
        <v>45990</v>
      </c>
      <c r="D688" t="s">
        <v>400</v>
      </c>
      <c r="E688" t="s">
        <v>316</v>
      </c>
      <c r="F688" t="s">
        <v>152</v>
      </c>
      <c r="G688" t="s">
        <v>75</v>
      </c>
      <c r="H688" t="s">
        <v>273</v>
      </c>
      <c r="I688" t="s">
        <v>274</v>
      </c>
      <c r="J688" t="s">
        <v>129</v>
      </c>
      <c r="K688" t="s">
        <v>90</v>
      </c>
      <c r="L688" t="s">
        <v>301</v>
      </c>
      <c r="M688" t="s">
        <v>302</v>
      </c>
      <c r="N688" t="s">
        <v>120</v>
      </c>
      <c r="O688" t="s">
        <v>190</v>
      </c>
      <c r="P688">
        <v>2</v>
      </c>
      <c r="Q688" s="4">
        <v>137.79</v>
      </c>
      <c r="R688" s="5">
        <v>0.11</v>
      </c>
      <c r="S688" s="4">
        <v>15.14</v>
      </c>
      <c r="T688" t="s">
        <v>105</v>
      </c>
      <c r="U688" t="s">
        <v>85</v>
      </c>
      <c r="V688">
        <v>3</v>
      </c>
    </row>
    <row r="689" spans="1:22">
      <c r="A689" t="s">
        <v>1179</v>
      </c>
      <c r="B689" s="3">
        <v>45983</v>
      </c>
      <c r="C689" s="3">
        <v>45987</v>
      </c>
      <c r="D689" t="s">
        <v>315</v>
      </c>
      <c r="E689" t="s">
        <v>316</v>
      </c>
      <c r="F689" t="s">
        <v>89</v>
      </c>
      <c r="G689" t="s">
        <v>75</v>
      </c>
      <c r="H689" t="s">
        <v>273</v>
      </c>
      <c r="I689" t="s">
        <v>274</v>
      </c>
      <c r="J689" t="s">
        <v>219</v>
      </c>
      <c r="K689" t="s">
        <v>168</v>
      </c>
      <c r="L689" t="s">
        <v>118</v>
      </c>
      <c r="M689" t="s">
        <v>119</v>
      </c>
      <c r="N689" t="s">
        <v>120</v>
      </c>
      <c r="O689" t="s">
        <v>121</v>
      </c>
      <c r="P689">
        <v>2</v>
      </c>
      <c r="Q689" s="4">
        <v>282.87</v>
      </c>
      <c r="R689" s="5">
        <v>0.08</v>
      </c>
      <c r="S689" s="4">
        <v>19.47</v>
      </c>
      <c r="T689" t="s">
        <v>134</v>
      </c>
      <c r="U689" t="s">
        <v>85</v>
      </c>
      <c r="V689">
        <v>1</v>
      </c>
    </row>
    <row r="690" spans="1:22">
      <c r="A690" t="s">
        <v>1180</v>
      </c>
      <c r="B690" s="3">
        <v>45985</v>
      </c>
      <c r="C690" s="3">
        <v>45990</v>
      </c>
      <c r="D690" t="s">
        <v>533</v>
      </c>
      <c r="E690" t="s">
        <v>534</v>
      </c>
      <c r="F690" t="s">
        <v>152</v>
      </c>
      <c r="G690" t="s">
        <v>75</v>
      </c>
      <c r="H690" t="s">
        <v>76</v>
      </c>
      <c r="I690" t="s">
        <v>77</v>
      </c>
      <c r="J690" t="s">
        <v>109</v>
      </c>
      <c r="K690" t="s">
        <v>130</v>
      </c>
      <c r="L690" t="s">
        <v>431</v>
      </c>
      <c r="M690" t="s">
        <v>432</v>
      </c>
      <c r="N690" t="s">
        <v>103</v>
      </c>
      <c r="O690" t="s">
        <v>251</v>
      </c>
      <c r="P690">
        <v>7</v>
      </c>
      <c r="Q690" s="4">
        <v>37.54</v>
      </c>
      <c r="R690" s="5">
        <v>0.09</v>
      </c>
      <c r="S690" s="4">
        <v>13.12</v>
      </c>
      <c r="T690" t="s">
        <v>84</v>
      </c>
      <c r="U690" t="s">
        <v>85</v>
      </c>
      <c r="V690">
        <v>5</v>
      </c>
    </row>
    <row r="691" spans="1:22">
      <c r="A691" t="s">
        <v>1181</v>
      </c>
      <c r="B691" s="3">
        <v>45985</v>
      </c>
      <c r="C691" s="3">
        <v>45990</v>
      </c>
      <c r="D691" t="s">
        <v>576</v>
      </c>
      <c r="E691" t="s">
        <v>577</v>
      </c>
      <c r="F691" t="s">
        <v>89</v>
      </c>
      <c r="G691" t="s">
        <v>126</v>
      </c>
      <c r="H691" t="s">
        <v>291</v>
      </c>
      <c r="I691" t="s">
        <v>292</v>
      </c>
      <c r="J691" t="s">
        <v>78</v>
      </c>
      <c r="K691" t="s">
        <v>79</v>
      </c>
      <c r="L691" t="s">
        <v>207</v>
      </c>
      <c r="M691" t="s">
        <v>208</v>
      </c>
      <c r="N691" t="s">
        <v>120</v>
      </c>
      <c r="O691" t="s">
        <v>164</v>
      </c>
      <c r="P691">
        <v>2</v>
      </c>
      <c r="Q691" s="4">
        <v>1331.43</v>
      </c>
      <c r="R691" s="5">
        <v>0.05</v>
      </c>
      <c r="S691" s="4">
        <v>9.51</v>
      </c>
      <c r="T691" t="s">
        <v>134</v>
      </c>
      <c r="U691" t="s">
        <v>85</v>
      </c>
      <c r="V691">
        <v>5</v>
      </c>
    </row>
    <row r="692" spans="1:22">
      <c r="A692" t="s">
        <v>1182</v>
      </c>
      <c r="B692" s="3">
        <v>45988</v>
      </c>
      <c r="C692" s="3">
        <v>45993</v>
      </c>
      <c r="D692" t="s">
        <v>289</v>
      </c>
      <c r="E692" t="s">
        <v>290</v>
      </c>
      <c r="F692" t="s">
        <v>74</v>
      </c>
      <c r="G692" t="s">
        <v>126</v>
      </c>
      <c r="H692" t="s">
        <v>291</v>
      </c>
      <c r="I692" t="s">
        <v>292</v>
      </c>
      <c r="J692" t="s">
        <v>129</v>
      </c>
      <c r="K692" t="s">
        <v>100</v>
      </c>
      <c r="L692" t="s">
        <v>131</v>
      </c>
      <c r="M692" t="s">
        <v>132</v>
      </c>
      <c r="N692" t="s">
        <v>120</v>
      </c>
      <c r="O692" t="s">
        <v>133</v>
      </c>
      <c r="P692">
        <v>2</v>
      </c>
      <c r="Q692" s="4">
        <v>88.91</v>
      </c>
      <c r="R692" s="5">
        <v>0.01</v>
      </c>
      <c r="S692" s="4">
        <v>7.93</v>
      </c>
      <c r="T692" t="s">
        <v>84</v>
      </c>
      <c r="U692" t="s">
        <v>85</v>
      </c>
    </row>
    <row r="693" spans="1:22">
      <c r="A693" t="s">
        <v>1183</v>
      </c>
      <c r="B693" s="3">
        <v>45988</v>
      </c>
      <c r="C693" s="3">
        <v>45990</v>
      </c>
      <c r="D693" t="s">
        <v>396</v>
      </c>
      <c r="E693" t="s">
        <v>397</v>
      </c>
      <c r="F693" t="s">
        <v>152</v>
      </c>
      <c r="G693" t="s">
        <v>138</v>
      </c>
      <c r="H693" t="s">
        <v>186</v>
      </c>
      <c r="I693" t="s">
        <v>187</v>
      </c>
      <c r="J693" t="s">
        <v>129</v>
      </c>
      <c r="K693" t="s">
        <v>168</v>
      </c>
      <c r="L693" t="s">
        <v>431</v>
      </c>
      <c r="M693" t="s">
        <v>432</v>
      </c>
      <c r="N693" t="s">
        <v>103</v>
      </c>
      <c r="O693" t="s">
        <v>251</v>
      </c>
      <c r="P693">
        <v>9</v>
      </c>
      <c r="Q693" s="4">
        <v>39.39</v>
      </c>
      <c r="R693" s="5">
        <v>0.01</v>
      </c>
      <c r="S693" s="4">
        <v>9.19</v>
      </c>
      <c r="T693" t="s">
        <v>122</v>
      </c>
      <c r="U693" t="s">
        <v>85</v>
      </c>
      <c r="V693">
        <v>5</v>
      </c>
    </row>
    <row r="694" spans="1:22">
      <c r="A694" t="s">
        <v>1184</v>
      </c>
      <c r="B694" s="3">
        <v>45990</v>
      </c>
      <c r="C694" s="3">
        <v>45999</v>
      </c>
      <c r="D694" t="s">
        <v>478</v>
      </c>
      <c r="E694" t="s">
        <v>479</v>
      </c>
      <c r="F694" t="s">
        <v>74</v>
      </c>
      <c r="G694" t="s">
        <v>194</v>
      </c>
      <c r="H694" t="s">
        <v>240</v>
      </c>
      <c r="I694" t="s">
        <v>241</v>
      </c>
      <c r="J694" t="s">
        <v>129</v>
      </c>
      <c r="K694" t="s">
        <v>79</v>
      </c>
      <c r="L694" t="s">
        <v>242</v>
      </c>
      <c r="M694" t="s">
        <v>243</v>
      </c>
      <c r="N694" t="s">
        <v>120</v>
      </c>
      <c r="O694" t="s">
        <v>133</v>
      </c>
      <c r="P694">
        <v>4</v>
      </c>
      <c r="Q694" s="4">
        <v>185.55</v>
      </c>
      <c r="R694" s="5">
        <v>0.05</v>
      </c>
      <c r="S694" s="4">
        <v>11.72</v>
      </c>
      <c r="T694" t="s">
        <v>134</v>
      </c>
      <c r="U694" t="s">
        <v>85</v>
      </c>
    </row>
    <row r="695" spans="1:22">
      <c r="A695" t="s">
        <v>1185</v>
      </c>
      <c r="B695" s="3">
        <v>45992</v>
      </c>
      <c r="C695" s="3">
        <v>45999</v>
      </c>
      <c r="D695" t="s">
        <v>812</v>
      </c>
      <c r="E695" t="s">
        <v>813</v>
      </c>
      <c r="F695" t="s">
        <v>152</v>
      </c>
      <c r="G695" t="s">
        <v>75</v>
      </c>
      <c r="H695" t="s">
        <v>273</v>
      </c>
      <c r="I695" t="s">
        <v>274</v>
      </c>
      <c r="J695" t="s">
        <v>78</v>
      </c>
      <c r="K695" t="s">
        <v>168</v>
      </c>
      <c r="L695" t="s">
        <v>141</v>
      </c>
      <c r="M695" t="s">
        <v>142</v>
      </c>
      <c r="N695" t="s">
        <v>103</v>
      </c>
      <c r="O695" t="s">
        <v>143</v>
      </c>
      <c r="P695">
        <v>1</v>
      </c>
      <c r="Q695" s="4">
        <v>34.340000000000003</v>
      </c>
      <c r="R695" s="5">
        <v>0.1</v>
      </c>
      <c r="S695" s="4">
        <v>16.809999999999999</v>
      </c>
      <c r="T695" t="s">
        <v>134</v>
      </c>
      <c r="U695" t="s">
        <v>85</v>
      </c>
      <c r="V695">
        <v>5</v>
      </c>
    </row>
    <row r="696" spans="1:22">
      <c r="A696" t="s">
        <v>1186</v>
      </c>
      <c r="B696" s="3">
        <v>45992</v>
      </c>
      <c r="C696" s="3">
        <v>46002</v>
      </c>
      <c r="D696" t="s">
        <v>474</v>
      </c>
      <c r="E696" t="s">
        <v>475</v>
      </c>
      <c r="F696" t="s">
        <v>74</v>
      </c>
      <c r="G696" t="s">
        <v>138</v>
      </c>
      <c r="H696" t="s">
        <v>153</v>
      </c>
      <c r="I696" t="s">
        <v>154</v>
      </c>
      <c r="J696" t="s">
        <v>78</v>
      </c>
      <c r="K696" t="s">
        <v>168</v>
      </c>
      <c r="L696" t="s">
        <v>197</v>
      </c>
      <c r="M696" t="s">
        <v>198</v>
      </c>
      <c r="N696" t="s">
        <v>120</v>
      </c>
      <c r="O696" t="s">
        <v>121</v>
      </c>
      <c r="P696">
        <v>4</v>
      </c>
      <c r="Q696" s="4">
        <v>555.20000000000005</v>
      </c>
      <c r="R696" s="5">
        <v>7.0000000000000007E-2</v>
      </c>
      <c r="S696" s="4">
        <v>15.22</v>
      </c>
      <c r="T696" t="s">
        <v>84</v>
      </c>
      <c r="U696" t="s">
        <v>85</v>
      </c>
    </row>
    <row r="697" spans="1:22">
      <c r="A697" t="s">
        <v>1187</v>
      </c>
      <c r="B697" s="3">
        <v>45992</v>
      </c>
      <c r="C697" s="3">
        <v>46000</v>
      </c>
      <c r="D697" t="s">
        <v>332</v>
      </c>
      <c r="E697" t="s">
        <v>333</v>
      </c>
      <c r="F697" t="s">
        <v>74</v>
      </c>
      <c r="G697" t="s">
        <v>126</v>
      </c>
      <c r="H697" t="s">
        <v>127</v>
      </c>
      <c r="I697" t="s">
        <v>128</v>
      </c>
      <c r="J697" t="s">
        <v>109</v>
      </c>
      <c r="K697" t="s">
        <v>147</v>
      </c>
      <c r="L697" t="s">
        <v>242</v>
      </c>
      <c r="M697" t="s">
        <v>243</v>
      </c>
      <c r="N697" t="s">
        <v>120</v>
      </c>
      <c r="O697" t="s">
        <v>133</v>
      </c>
      <c r="P697">
        <v>2</v>
      </c>
      <c r="Q697" s="4">
        <v>191.94</v>
      </c>
      <c r="R697" s="5">
        <v>0.11</v>
      </c>
      <c r="S697" s="4">
        <v>10.63</v>
      </c>
      <c r="T697" t="s">
        <v>84</v>
      </c>
      <c r="U697" t="s">
        <v>85</v>
      </c>
      <c r="V697">
        <v>3</v>
      </c>
    </row>
    <row r="698" spans="1:22">
      <c r="A698" t="s">
        <v>1188</v>
      </c>
      <c r="B698" s="3">
        <v>45993</v>
      </c>
      <c r="C698" s="3">
        <v>46004</v>
      </c>
      <c r="D698" t="s">
        <v>297</v>
      </c>
      <c r="E698" t="s">
        <v>298</v>
      </c>
      <c r="F698" t="s">
        <v>74</v>
      </c>
      <c r="G698" t="s">
        <v>126</v>
      </c>
      <c r="H698" t="s">
        <v>291</v>
      </c>
      <c r="I698" t="s">
        <v>292</v>
      </c>
      <c r="J698" t="s">
        <v>129</v>
      </c>
      <c r="K698" t="s">
        <v>168</v>
      </c>
      <c r="L698" t="s">
        <v>175</v>
      </c>
      <c r="M698" t="s">
        <v>176</v>
      </c>
      <c r="N698" t="s">
        <v>93</v>
      </c>
      <c r="O698" t="s">
        <v>177</v>
      </c>
      <c r="P698">
        <v>2</v>
      </c>
      <c r="Q698" s="4">
        <v>164.36</v>
      </c>
      <c r="R698" s="5">
        <v>0.26</v>
      </c>
      <c r="S698" s="4">
        <v>19.43</v>
      </c>
      <c r="T698" t="s">
        <v>134</v>
      </c>
      <c r="U698" t="s">
        <v>85</v>
      </c>
    </row>
    <row r="699" spans="1:22">
      <c r="A699" t="s">
        <v>1189</v>
      </c>
      <c r="B699" s="3">
        <v>45993</v>
      </c>
      <c r="C699" s="3">
        <v>46001</v>
      </c>
      <c r="D699" t="s">
        <v>72</v>
      </c>
      <c r="E699" t="s">
        <v>73</v>
      </c>
      <c r="F699" t="s">
        <v>74</v>
      </c>
      <c r="G699" t="s">
        <v>75</v>
      </c>
      <c r="H699" t="s">
        <v>76</v>
      </c>
      <c r="I699" t="s">
        <v>77</v>
      </c>
      <c r="J699" t="s">
        <v>129</v>
      </c>
      <c r="K699" t="s">
        <v>79</v>
      </c>
      <c r="L699" t="s">
        <v>91</v>
      </c>
      <c r="M699" t="s">
        <v>92</v>
      </c>
      <c r="N699" t="s">
        <v>93</v>
      </c>
      <c r="O699" t="s">
        <v>94</v>
      </c>
      <c r="P699">
        <v>2</v>
      </c>
      <c r="Q699" s="4">
        <v>332.09</v>
      </c>
      <c r="R699" s="5">
        <v>0.19</v>
      </c>
      <c r="S699" s="4">
        <v>22.27</v>
      </c>
      <c r="T699" t="s">
        <v>84</v>
      </c>
      <c r="U699" t="s">
        <v>148</v>
      </c>
      <c r="V699">
        <v>1</v>
      </c>
    </row>
    <row r="700" spans="1:22">
      <c r="A700" t="s">
        <v>1190</v>
      </c>
      <c r="B700" s="3">
        <v>45997</v>
      </c>
      <c r="C700" s="3">
        <v>46002</v>
      </c>
      <c r="D700" t="s">
        <v>550</v>
      </c>
      <c r="E700" t="s">
        <v>218</v>
      </c>
      <c r="F700" t="s">
        <v>152</v>
      </c>
      <c r="G700" t="s">
        <v>126</v>
      </c>
      <c r="H700" t="s">
        <v>127</v>
      </c>
      <c r="I700" t="s">
        <v>128</v>
      </c>
      <c r="J700" t="s">
        <v>109</v>
      </c>
      <c r="K700" t="s">
        <v>90</v>
      </c>
      <c r="L700" t="s">
        <v>188</v>
      </c>
      <c r="M700" t="s">
        <v>189</v>
      </c>
      <c r="N700" t="s">
        <v>120</v>
      </c>
      <c r="O700" t="s">
        <v>190</v>
      </c>
      <c r="P700">
        <v>1</v>
      </c>
      <c r="Q700" s="4">
        <v>59.76</v>
      </c>
      <c r="R700" s="5">
        <v>7.0000000000000007E-2</v>
      </c>
      <c r="S700" s="4">
        <v>9.6300000000000008</v>
      </c>
      <c r="T700" t="s">
        <v>134</v>
      </c>
      <c r="U700" t="s">
        <v>85</v>
      </c>
      <c r="V700">
        <v>2</v>
      </c>
    </row>
    <row r="701" spans="1:22">
      <c r="A701" t="s">
        <v>1191</v>
      </c>
      <c r="B701" s="3">
        <v>45998</v>
      </c>
      <c r="C701" s="3">
        <v>45999</v>
      </c>
      <c r="E701" t="s">
        <v>146</v>
      </c>
      <c r="F701" t="s">
        <v>89</v>
      </c>
      <c r="G701" t="s">
        <v>194</v>
      </c>
      <c r="H701" t="s">
        <v>195</v>
      </c>
      <c r="I701" t="s">
        <v>196</v>
      </c>
      <c r="J701" t="s">
        <v>219</v>
      </c>
      <c r="K701" t="s">
        <v>168</v>
      </c>
      <c r="L701" t="s">
        <v>249</v>
      </c>
      <c r="M701" t="s">
        <v>250</v>
      </c>
      <c r="N701" t="s">
        <v>103</v>
      </c>
      <c r="O701" t="s">
        <v>251</v>
      </c>
      <c r="P701">
        <v>8</v>
      </c>
      <c r="Q701" s="4">
        <v>21.55</v>
      </c>
      <c r="R701" s="5">
        <v>0.11</v>
      </c>
      <c r="S701" s="4">
        <v>5.87</v>
      </c>
      <c r="T701" t="s">
        <v>134</v>
      </c>
      <c r="U701" t="s">
        <v>85</v>
      </c>
      <c r="V701">
        <v>3</v>
      </c>
    </row>
    <row r="702" spans="1:22">
      <c r="A702" t="s">
        <v>1192</v>
      </c>
      <c r="B702" s="3">
        <v>45998</v>
      </c>
      <c r="C702" s="3">
        <v>46001</v>
      </c>
      <c r="D702" t="s">
        <v>253</v>
      </c>
      <c r="E702" t="s">
        <v>167</v>
      </c>
      <c r="F702" t="s">
        <v>152</v>
      </c>
      <c r="G702" t="s">
        <v>75</v>
      </c>
      <c r="H702" t="s">
        <v>212</v>
      </c>
      <c r="I702" t="s">
        <v>213</v>
      </c>
      <c r="J702" t="s">
        <v>109</v>
      </c>
      <c r="K702" t="s">
        <v>79</v>
      </c>
      <c r="L702" t="s">
        <v>91</v>
      </c>
      <c r="M702" t="s">
        <v>92</v>
      </c>
      <c r="N702" t="s">
        <v>93</v>
      </c>
      <c r="O702" t="s">
        <v>94</v>
      </c>
      <c r="P702">
        <v>4</v>
      </c>
      <c r="Q702" s="4">
        <v>342.11</v>
      </c>
      <c r="R702" s="5">
        <v>0.09</v>
      </c>
      <c r="S702" s="4">
        <v>25.83</v>
      </c>
      <c r="T702" t="s">
        <v>134</v>
      </c>
      <c r="U702" t="s">
        <v>85</v>
      </c>
      <c r="V702">
        <v>5</v>
      </c>
    </row>
    <row r="703" spans="1:22">
      <c r="A703" t="s">
        <v>1193</v>
      </c>
      <c r="B703" s="3">
        <v>46000</v>
      </c>
      <c r="C703" s="3">
        <v>46003</v>
      </c>
      <c r="D703" t="s">
        <v>210</v>
      </c>
      <c r="E703" t="s">
        <v>211</v>
      </c>
      <c r="F703" t="s">
        <v>89</v>
      </c>
      <c r="G703" t="s">
        <v>75</v>
      </c>
      <c r="H703" t="s">
        <v>212</v>
      </c>
      <c r="I703" t="s">
        <v>213</v>
      </c>
      <c r="J703" t="s">
        <v>109</v>
      </c>
      <c r="K703" t="s">
        <v>168</v>
      </c>
      <c r="L703" t="s">
        <v>249</v>
      </c>
      <c r="M703" t="s">
        <v>250</v>
      </c>
      <c r="N703" t="s">
        <v>103</v>
      </c>
      <c r="O703" t="s">
        <v>251</v>
      </c>
      <c r="P703">
        <v>8</v>
      </c>
      <c r="Q703" s="4">
        <v>22.56</v>
      </c>
      <c r="R703" s="5">
        <v>0.11</v>
      </c>
      <c r="S703" s="4">
        <v>10.72</v>
      </c>
      <c r="T703" t="s">
        <v>134</v>
      </c>
      <c r="U703" t="s">
        <v>85</v>
      </c>
      <c r="V703">
        <v>2</v>
      </c>
    </row>
    <row r="704" spans="1:22">
      <c r="A704" t="s">
        <v>1194</v>
      </c>
      <c r="B704" s="3">
        <v>46000</v>
      </c>
      <c r="C704" s="3">
        <v>46003</v>
      </c>
      <c r="D704" t="s">
        <v>1195</v>
      </c>
      <c r="E704" t="s">
        <v>1196</v>
      </c>
      <c r="F704" t="s">
        <v>89</v>
      </c>
      <c r="G704" t="s">
        <v>126</v>
      </c>
      <c r="H704" t="s">
        <v>784</v>
      </c>
      <c r="I704" t="s">
        <v>785</v>
      </c>
      <c r="J704" t="s">
        <v>78</v>
      </c>
      <c r="K704" t="s">
        <v>168</v>
      </c>
      <c r="L704" t="s">
        <v>359</v>
      </c>
      <c r="M704" t="s">
        <v>360</v>
      </c>
      <c r="N704" t="s">
        <v>93</v>
      </c>
      <c r="O704" t="s">
        <v>94</v>
      </c>
      <c r="P704">
        <v>2</v>
      </c>
      <c r="Q704" s="4">
        <v>468.2</v>
      </c>
      <c r="R704" s="5">
        <v>0.06</v>
      </c>
      <c r="S704" s="4">
        <v>29.5</v>
      </c>
      <c r="T704" t="s">
        <v>84</v>
      </c>
      <c r="U704" t="s">
        <v>85</v>
      </c>
      <c r="V704">
        <v>5</v>
      </c>
    </row>
    <row r="705" spans="1:22">
      <c r="A705" t="s">
        <v>1197</v>
      </c>
      <c r="B705" s="3">
        <v>46002</v>
      </c>
      <c r="C705" s="3">
        <v>46010</v>
      </c>
      <c r="D705" t="s">
        <v>456</v>
      </c>
      <c r="E705" t="s">
        <v>369</v>
      </c>
      <c r="F705" t="s">
        <v>89</v>
      </c>
      <c r="G705" t="s">
        <v>138</v>
      </c>
      <c r="H705" t="s">
        <v>457</v>
      </c>
      <c r="I705" t="s">
        <v>458</v>
      </c>
      <c r="J705" t="s">
        <v>219</v>
      </c>
      <c r="K705" t="s">
        <v>168</v>
      </c>
      <c r="L705" t="s">
        <v>242</v>
      </c>
      <c r="M705" t="s">
        <v>243</v>
      </c>
      <c r="N705" t="s">
        <v>120</v>
      </c>
      <c r="O705" t="s">
        <v>133</v>
      </c>
      <c r="P705">
        <v>4</v>
      </c>
      <c r="Q705" s="4">
        <v>185.28</v>
      </c>
      <c r="R705" s="5">
        <v>0.01</v>
      </c>
      <c r="S705" s="4">
        <v>19.27</v>
      </c>
      <c r="T705" t="s">
        <v>134</v>
      </c>
      <c r="U705" t="s">
        <v>85</v>
      </c>
      <c r="V705">
        <v>4</v>
      </c>
    </row>
    <row r="706" spans="1:22">
      <c r="A706" t="s">
        <v>1198</v>
      </c>
      <c r="B706" s="3">
        <v>46004</v>
      </c>
      <c r="C706" s="3">
        <v>46010</v>
      </c>
      <c r="D706" t="s">
        <v>594</v>
      </c>
      <c r="E706" t="s">
        <v>595</v>
      </c>
      <c r="F706" t="s">
        <v>74</v>
      </c>
      <c r="G706" t="s">
        <v>75</v>
      </c>
      <c r="H706" t="s">
        <v>76</v>
      </c>
      <c r="I706" t="s">
        <v>77</v>
      </c>
      <c r="J706" t="s">
        <v>219</v>
      </c>
      <c r="K706" t="s">
        <v>100</v>
      </c>
      <c r="L706" t="s">
        <v>207</v>
      </c>
      <c r="M706" t="s">
        <v>208</v>
      </c>
      <c r="N706" t="s">
        <v>120</v>
      </c>
      <c r="O706" t="s">
        <v>164</v>
      </c>
      <c r="P706">
        <v>4</v>
      </c>
      <c r="Q706" s="4">
        <v>1346.88</v>
      </c>
      <c r="R706" s="5">
        <v>0.1</v>
      </c>
      <c r="S706" s="4">
        <v>12.09</v>
      </c>
      <c r="T706" t="s">
        <v>105</v>
      </c>
      <c r="U706" t="s">
        <v>85</v>
      </c>
      <c r="V706">
        <v>1</v>
      </c>
    </row>
    <row r="707" spans="1:22">
      <c r="A707" t="s">
        <v>1199</v>
      </c>
      <c r="B707" s="3">
        <v>46005</v>
      </c>
      <c r="C707" s="3">
        <v>46018</v>
      </c>
      <c r="D707" t="s">
        <v>309</v>
      </c>
      <c r="E707" t="s">
        <v>310</v>
      </c>
      <c r="F707" t="s">
        <v>89</v>
      </c>
      <c r="G707" t="s">
        <v>75</v>
      </c>
      <c r="H707" t="s">
        <v>76</v>
      </c>
      <c r="I707" t="s">
        <v>77</v>
      </c>
      <c r="J707" t="s">
        <v>78</v>
      </c>
      <c r="K707" t="s">
        <v>79</v>
      </c>
      <c r="L707" t="s">
        <v>284</v>
      </c>
      <c r="M707" t="s">
        <v>285</v>
      </c>
      <c r="N707" t="s">
        <v>103</v>
      </c>
      <c r="O707" t="s">
        <v>143</v>
      </c>
      <c r="P707">
        <v>8</v>
      </c>
      <c r="Q707" s="4">
        <v>28.22</v>
      </c>
      <c r="R707" s="5">
        <v>0.08</v>
      </c>
      <c r="S707" s="4">
        <v>6.68</v>
      </c>
      <c r="T707" t="s">
        <v>84</v>
      </c>
      <c r="U707" t="s">
        <v>85</v>
      </c>
      <c r="V707">
        <v>3</v>
      </c>
    </row>
    <row r="708" spans="1:22">
      <c r="A708" t="s">
        <v>1200</v>
      </c>
      <c r="B708" s="3">
        <v>46006</v>
      </c>
      <c r="C708" s="3">
        <v>46015</v>
      </c>
      <c r="D708" t="s">
        <v>451</v>
      </c>
      <c r="E708" t="s">
        <v>452</v>
      </c>
      <c r="F708" t="s">
        <v>89</v>
      </c>
      <c r="G708" t="s">
        <v>126</v>
      </c>
      <c r="H708" t="s">
        <v>160</v>
      </c>
      <c r="I708" t="s">
        <v>161</v>
      </c>
      <c r="J708" t="s">
        <v>109</v>
      </c>
      <c r="K708" t="s">
        <v>168</v>
      </c>
      <c r="L708" t="s">
        <v>301</v>
      </c>
      <c r="M708" t="s">
        <v>302</v>
      </c>
      <c r="N708" t="s">
        <v>120</v>
      </c>
      <c r="O708" t="s">
        <v>190</v>
      </c>
      <c r="P708">
        <v>1</v>
      </c>
      <c r="Q708" s="4">
        <v>146.9</v>
      </c>
      <c r="R708" s="5">
        <v>0.09</v>
      </c>
      <c r="S708" s="4">
        <v>7.17</v>
      </c>
      <c r="T708" t="s">
        <v>105</v>
      </c>
      <c r="U708" t="s">
        <v>148</v>
      </c>
      <c r="V708">
        <v>1</v>
      </c>
    </row>
    <row r="709" spans="1:22">
      <c r="A709" t="s">
        <v>1201</v>
      </c>
      <c r="B709" s="3">
        <v>46006</v>
      </c>
      <c r="C709" s="3">
        <v>46010</v>
      </c>
      <c r="D709" t="s">
        <v>570</v>
      </c>
      <c r="E709" t="s">
        <v>571</v>
      </c>
      <c r="F709" t="s">
        <v>152</v>
      </c>
      <c r="G709" t="s">
        <v>126</v>
      </c>
      <c r="H709" t="s">
        <v>160</v>
      </c>
      <c r="I709" t="s">
        <v>182</v>
      </c>
      <c r="J709" t="s">
        <v>78</v>
      </c>
      <c r="K709" t="s">
        <v>100</v>
      </c>
      <c r="L709" t="s">
        <v>175</v>
      </c>
      <c r="M709" t="s">
        <v>176</v>
      </c>
      <c r="N709" t="s">
        <v>93</v>
      </c>
      <c r="O709" t="s">
        <v>177</v>
      </c>
      <c r="P709">
        <v>4</v>
      </c>
      <c r="Q709" s="4">
        <v>165.93</v>
      </c>
      <c r="R709" s="5">
        <v>0.06</v>
      </c>
      <c r="S709" s="4">
        <v>25.27</v>
      </c>
      <c r="T709" t="s">
        <v>84</v>
      </c>
      <c r="U709" t="s">
        <v>85</v>
      </c>
      <c r="V709">
        <v>5</v>
      </c>
    </row>
    <row r="710" spans="1:22">
      <c r="A710" t="s">
        <v>1202</v>
      </c>
      <c r="B710" s="3">
        <v>46008</v>
      </c>
      <c r="C710" s="3">
        <v>46014</v>
      </c>
      <c r="D710" t="s">
        <v>586</v>
      </c>
      <c r="E710" t="s">
        <v>587</v>
      </c>
      <c r="F710" t="s">
        <v>89</v>
      </c>
      <c r="G710" t="s">
        <v>138</v>
      </c>
      <c r="H710" t="s">
        <v>139</v>
      </c>
      <c r="I710" t="s">
        <v>140</v>
      </c>
      <c r="J710" t="s">
        <v>109</v>
      </c>
      <c r="K710" t="s">
        <v>90</v>
      </c>
      <c r="L710" t="s">
        <v>249</v>
      </c>
      <c r="M710" t="s">
        <v>250</v>
      </c>
      <c r="N710" t="s">
        <v>103</v>
      </c>
      <c r="O710" t="s">
        <v>251</v>
      </c>
      <c r="P710">
        <v>6</v>
      </c>
      <c r="Q710" s="4">
        <v>22.53</v>
      </c>
      <c r="R710" s="5">
        <v>0.05</v>
      </c>
      <c r="S710" s="4">
        <v>14.17</v>
      </c>
      <c r="T710" t="s">
        <v>84</v>
      </c>
      <c r="U710" t="s">
        <v>85</v>
      </c>
      <c r="V710">
        <v>1</v>
      </c>
    </row>
    <row r="711" spans="1:22">
      <c r="A711" t="s">
        <v>1203</v>
      </c>
      <c r="B711" s="3">
        <v>46011</v>
      </c>
      <c r="C711" s="3">
        <v>46020</v>
      </c>
      <c r="D711" t="s">
        <v>514</v>
      </c>
      <c r="E711" t="s">
        <v>515</v>
      </c>
      <c r="F711" t="s">
        <v>74</v>
      </c>
      <c r="G711" t="s">
        <v>75</v>
      </c>
      <c r="H711" t="s">
        <v>212</v>
      </c>
      <c r="I711" t="s">
        <v>213</v>
      </c>
      <c r="J711" t="s">
        <v>109</v>
      </c>
      <c r="K711" t="s">
        <v>90</v>
      </c>
      <c r="L711" t="s">
        <v>188</v>
      </c>
      <c r="M711" t="s">
        <v>189</v>
      </c>
      <c r="N711" t="s">
        <v>120</v>
      </c>
      <c r="O711" t="s">
        <v>190</v>
      </c>
      <c r="P711">
        <v>1</v>
      </c>
      <c r="Q711" s="4">
        <v>57.46</v>
      </c>
      <c r="R711" s="5">
        <v>0.12</v>
      </c>
      <c r="S711" s="4">
        <v>6.67</v>
      </c>
      <c r="T711" t="s">
        <v>134</v>
      </c>
      <c r="U711" t="s">
        <v>85</v>
      </c>
    </row>
    <row r="712" spans="1:22">
      <c r="A712" t="s">
        <v>1204</v>
      </c>
      <c r="B712" s="3">
        <v>46011</v>
      </c>
      <c r="C712" s="3">
        <v>46017</v>
      </c>
      <c r="D712" t="s">
        <v>72</v>
      </c>
      <c r="E712" t="s">
        <v>73</v>
      </c>
      <c r="F712" t="s">
        <v>74</v>
      </c>
      <c r="G712" t="s">
        <v>75</v>
      </c>
      <c r="H712" t="s">
        <v>76</v>
      </c>
      <c r="I712" t="s">
        <v>77</v>
      </c>
      <c r="J712" t="s">
        <v>219</v>
      </c>
      <c r="K712" t="s">
        <v>90</v>
      </c>
      <c r="L712" t="s">
        <v>188</v>
      </c>
      <c r="M712" t="s">
        <v>189</v>
      </c>
      <c r="N712" t="s">
        <v>120</v>
      </c>
      <c r="O712" t="s">
        <v>190</v>
      </c>
      <c r="P712">
        <v>2</v>
      </c>
      <c r="Q712" s="4">
        <v>59.66</v>
      </c>
      <c r="R712" s="5">
        <v>0.03</v>
      </c>
      <c r="S712" s="4">
        <v>16.07</v>
      </c>
      <c r="T712" t="s">
        <v>134</v>
      </c>
      <c r="U712" t="s">
        <v>85</v>
      </c>
    </row>
    <row r="713" spans="1:22">
      <c r="A713" t="s">
        <v>1205</v>
      </c>
      <c r="B713" s="3">
        <v>46012</v>
      </c>
      <c r="C713" s="3">
        <v>46020</v>
      </c>
      <c r="D713" t="s">
        <v>613</v>
      </c>
      <c r="E713" t="s">
        <v>614</v>
      </c>
      <c r="F713" t="s">
        <v>74</v>
      </c>
      <c r="G713" t="s">
        <v>194</v>
      </c>
      <c r="H713" t="s">
        <v>195</v>
      </c>
      <c r="I713" t="s">
        <v>196</v>
      </c>
      <c r="J713" t="s">
        <v>109</v>
      </c>
      <c r="K713" t="s">
        <v>79</v>
      </c>
      <c r="L713" t="s">
        <v>118</v>
      </c>
      <c r="M713" t="s">
        <v>119</v>
      </c>
      <c r="N713" t="s">
        <v>120</v>
      </c>
      <c r="O713" t="s">
        <v>121</v>
      </c>
      <c r="P713">
        <v>3</v>
      </c>
      <c r="Q713" s="4">
        <v>276.61</v>
      </c>
      <c r="R713" s="5">
        <v>0.09</v>
      </c>
      <c r="S713" s="4">
        <v>11.38</v>
      </c>
      <c r="T713" t="s">
        <v>122</v>
      </c>
      <c r="U713" t="s">
        <v>85</v>
      </c>
      <c r="V713">
        <v>4</v>
      </c>
    </row>
    <row r="714" spans="1:22">
      <c r="A714" t="s">
        <v>1206</v>
      </c>
      <c r="B714" s="3">
        <v>46012</v>
      </c>
      <c r="C714" s="3">
        <v>46016</v>
      </c>
      <c r="D714" t="s">
        <v>258</v>
      </c>
      <c r="E714" t="s">
        <v>259</v>
      </c>
      <c r="F714" t="s">
        <v>152</v>
      </c>
      <c r="G714" t="s">
        <v>194</v>
      </c>
      <c r="H714" t="s">
        <v>225</v>
      </c>
      <c r="I714" t="s">
        <v>226</v>
      </c>
      <c r="J714" t="s">
        <v>78</v>
      </c>
      <c r="K714" t="s">
        <v>79</v>
      </c>
      <c r="L714" t="s">
        <v>284</v>
      </c>
      <c r="M714" t="s">
        <v>285</v>
      </c>
      <c r="N714" t="s">
        <v>103</v>
      </c>
      <c r="O714" t="s">
        <v>143</v>
      </c>
      <c r="P714">
        <v>8</v>
      </c>
      <c r="Q714" s="4">
        <v>28.28</v>
      </c>
      <c r="R714" s="5">
        <v>7.0000000000000007E-2</v>
      </c>
      <c r="S714" s="4">
        <v>6.98</v>
      </c>
      <c r="T714" t="s">
        <v>134</v>
      </c>
      <c r="U714" t="s">
        <v>85</v>
      </c>
      <c r="V714">
        <v>3</v>
      </c>
    </row>
    <row r="715" spans="1:22">
      <c r="A715" t="s">
        <v>1207</v>
      </c>
      <c r="B715" s="3">
        <v>46013</v>
      </c>
      <c r="C715" s="3">
        <v>46021</v>
      </c>
      <c r="D715" t="s">
        <v>378</v>
      </c>
      <c r="E715" t="s">
        <v>379</v>
      </c>
      <c r="F715" t="s">
        <v>152</v>
      </c>
      <c r="G715" t="s">
        <v>126</v>
      </c>
      <c r="H715" t="s">
        <v>160</v>
      </c>
      <c r="I715" t="s">
        <v>161</v>
      </c>
      <c r="J715" t="s">
        <v>129</v>
      </c>
      <c r="K715" t="s">
        <v>90</v>
      </c>
      <c r="L715" t="s">
        <v>162</v>
      </c>
      <c r="M715" t="s">
        <v>163</v>
      </c>
      <c r="N715" t="s">
        <v>93</v>
      </c>
      <c r="O715" t="s">
        <v>164</v>
      </c>
      <c r="P715">
        <v>1</v>
      </c>
      <c r="Q715" s="4">
        <v>895.64</v>
      </c>
      <c r="R715" s="5">
        <v>7.0000000000000007E-2</v>
      </c>
      <c r="S715" s="4">
        <v>7.8</v>
      </c>
      <c r="T715" t="s">
        <v>105</v>
      </c>
      <c r="U715" t="s">
        <v>85</v>
      </c>
      <c r="V715">
        <v>3</v>
      </c>
    </row>
    <row r="716" spans="1:22">
      <c r="A716" t="s">
        <v>1208</v>
      </c>
      <c r="B716" s="3">
        <v>46013</v>
      </c>
      <c r="C716" s="3">
        <v>46023</v>
      </c>
      <c r="D716" t="s">
        <v>904</v>
      </c>
      <c r="E716" t="s">
        <v>449</v>
      </c>
      <c r="F716" t="s">
        <v>152</v>
      </c>
      <c r="G716" t="s">
        <v>75</v>
      </c>
      <c r="H716" t="s">
        <v>212</v>
      </c>
      <c r="I716" t="s">
        <v>213</v>
      </c>
      <c r="J716" t="s">
        <v>129</v>
      </c>
      <c r="K716" t="s">
        <v>147</v>
      </c>
      <c r="L716" t="s">
        <v>188</v>
      </c>
      <c r="M716" t="s">
        <v>189</v>
      </c>
      <c r="N716" t="s">
        <v>120</v>
      </c>
      <c r="O716" t="s">
        <v>190</v>
      </c>
      <c r="P716">
        <v>4</v>
      </c>
      <c r="Q716" s="4">
        <v>61.8</v>
      </c>
      <c r="R716" s="5">
        <v>0.12</v>
      </c>
      <c r="S716" s="4">
        <v>5.91</v>
      </c>
      <c r="T716" t="s">
        <v>134</v>
      </c>
      <c r="U716" t="s">
        <v>85</v>
      </c>
      <c r="V716">
        <v>5</v>
      </c>
    </row>
    <row r="717" spans="1:22">
      <c r="A717" t="s">
        <v>1209</v>
      </c>
      <c r="B717" s="3">
        <v>46014</v>
      </c>
      <c r="C717" s="3">
        <v>46018</v>
      </c>
      <c r="D717" t="s">
        <v>547</v>
      </c>
      <c r="E717" t="s">
        <v>548</v>
      </c>
      <c r="F717" t="s">
        <v>152</v>
      </c>
      <c r="G717" t="s">
        <v>75</v>
      </c>
      <c r="H717" t="s">
        <v>116</v>
      </c>
      <c r="I717" t="s">
        <v>117</v>
      </c>
      <c r="J717" t="s">
        <v>109</v>
      </c>
      <c r="K717" t="s">
        <v>100</v>
      </c>
      <c r="L717" t="s">
        <v>175</v>
      </c>
      <c r="M717" t="s">
        <v>176</v>
      </c>
      <c r="N717" t="s">
        <v>93</v>
      </c>
      <c r="O717" t="s">
        <v>177</v>
      </c>
      <c r="P717">
        <v>2</v>
      </c>
      <c r="Q717" s="4">
        <v>177.53</v>
      </c>
      <c r="R717" s="5">
        <v>0.12</v>
      </c>
      <c r="S717" s="4">
        <v>28.72</v>
      </c>
      <c r="T717" t="s">
        <v>122</v>
      </c>
      <c r="U717" t="s">
        <v>85</v>
      </c>
      <c r="V717">
        <v>2</v>
      </c>
    </row>
    <row r="718" spans="1:22">
      <c r="A718" t="s">
        <v>1210</v>
      </c>
      <c r="B718" s="3">
        <v>46014</v>
      </c>
      <c r="C718" s="3">
        <v>46017</v>
      </c>
      <c r="D718" t="s">
        <v>264</v>
      </c>
      <c r="E718" t="s">
        <v>265</v>
      </c>
      <c r="F718" t="s">
        <v>74</v>
      </c>
      <c r="G718" t="s">
        <v>194</v>
      </c>
      <c r="H718" t="s">
        <v>230</v>
      </c>
      <c r="I718" t="s">
        <v>231</v>
      </c>
      <c r="J718" t="s">
        <v>129</v>
      </c>
      <c r="K718" t="s">
        <v>79</v>
      </c>
      <c r="L718" t="s">
        <v>131</v>
      </c>
      <c r="M718" t="s">
        <v>132</v>
      </c>
      <c r="N718" t="s">
        <v>120</v>
      </c>
      <c r="O718" t="s">
        <v>133</v>
      </c>
      <c r="P718">
        <v>1</v>
      </c>
      <c r="Q718" s="4">
        <v>84.44</v>
      </c>
      <c r="R718" s="5">
        <v>0.09</v>
      </c>
      <c r="S718" s="4">
        <v>5.88</v>
      </c>
      <c r="T718" t="s">
        <v>105</v>
      </c>
      <c r="U718" t="s">
        <v>85</v>
      </c>
      <c r="V718">
        <v>4</v>
      </c>
    </row>
    <row r="719" spans="1:22">
      <c r="A719" t="s">
        <v>1211</v>
      </c>
      <c r="B719" s="3">
        <v>46018</v>
      </c>
      <c r="C719" s="3">
        <v>46019</v>
      </c>
      <c r="D719" t="s">
        <v>529</v>
      </c>
      <c r="E719" t="s">
        <v>397</v>
      </c>
      <c r="F719" t="s">
        <v>89</v>
      </c>
      <c r="G719" t="s">
        <v>194</v>
      </c>
      <c r="H719" t="s">
        <v>240</v>
      </c>
      <c r="I719" t="s">
        <v>241</v>
      </c>
      <c r="J719" t="s">
        <v>78</v>
      </c>
      <c r="K719" t="s">
        <v>147</v>
      </c>
      <c r="L719" t="s">
        <v>118</v>
      </c>
      <c r="M719" t="s">
        <v>119</v>
      </c>
      <c r="N719" t="s">
        <v>120</v>
      </c>
      <c r="O719" t="s">
        <v>121</v>
      </c>
      <c r="P719">
        <v>2</v>
      </c>
      <c r="Q719" s="4">
        <v>281</v>
      </c>
      <c r="R719" s="5">
        <v>0.11</v>
      </c>
      <c r="S719" s="4">
        <v>18.899999999999999</v>
      </c>
      <c r="T719" t="s">
        <v>105</v>
      </c>
      <c r="U719" t="s">
        <v>85</v>
      </c>
      <c r="V719">
        <v>5</v>
      </c>
    </row>
    <row r="720" spans="1:22">
      <c r="A720" t="s">
        <v>1212</v>
      </c>
      <c r="B720" s="3">
        <v>46018</v>
      </c>
      <c r="C720" s="3">
        <v>46023</v>
      </c>
      <c r="D720" t="s">
        <v>720</v>
      </c>
      <c r="E720" t="s">
        <v>721</v>
      </c>
      <c r="F720" t="s">
        <v>89</v>
      </c>
      <c r="G720" t="s">
        <v>75</v>
      </c>
      <c r="H720" t="s">
        <v>212</v>
      </c>
      <c r="I720" t="s">
        <v>213</v>
      </c>
      <c r="J720" t="s">
        <v>129</v>
      </c>
      <c r="K720" t="s">
        <v>168</v>
      </c>
      <c r="L720" t="s">
        <v>155</v>
      </c>
      <c r="M720" t="s">
        <v>156</v>
      </c>
      <c r="N720" t="s">
        <v>82</v>
      </c>
      <c r="O720" t="s">
        <v>112</v>
      </c>
      <c r="P720">
        <v>6</v>
      </c>
      <c r="Q720" s="4">
        <v>177.8</v>
      </c>
      <c r="R720" s="5">
        <v>0.05</v>
      </c>
      <c r="S720" s="4">
        <v>13.18</v>
      </c>
      <c r="T720" t="s">
        <v>84</v>
      </c>
      <c r="U720" t="s">
        <v>85</v>
      </c>
      <c r="V720">
        <v>1</v>
      </c>
    </row>
    <row r="721" spans="1:22">
      <c r="A721" t="s">
        <v>1213</v>
      </c>
      <c r="B721" s="3">
        <v>46018</v>
      </c>
      <c r="C721" s="3">
        <v>46022</v>
      </c>
      <c r="D721" t="s">
        <v>454</v>
      </c>
      <c r="E721" t="s">
        <v>329</v>
      </c>
      <c r="F721" t="s">
        <v>89</v>
      </c>
      <c r="G721" t="s">
        <v>75</v>
      </c>
      <c r="H721" t="s">
        <v>212</v>
      </c>
      <c r="I721" t="s">
        <v>213</v>
      </c>
      <c r="J721" t="s">
        <v>78</v>
      </c>
      <c r="K721" t="s">
        <v>90</v>
      </c>
      <c r="L721" t="s">
        <v>249</v>
      </c>
      <c r="M721" t="s">
        <v>250</v>
      </c>
      <c r="N721" t="s">
        <v>103</v>
      </c>
      <c r="O721" t="s">
        <v>251</v>
      </c>
      <c r="P721">
        <v>10</v>
      </c>
      <c r="Q721" s="4">
        <v>23.17</v>
      </c>
      <c r="R721" s="5">
        <v>0.1</v>
      </c>
      <c r="S721" s="4">
        <v>14.85</v>
      </c>
      <c r="T721" t="s">
        <v>84</v>
      </c>
      <c r="U721" t="s">
        <v>85</v>
      </c>
      <c r="V721">
        <v>5</v>
      </c>
    </row>
    <row r="722" spans="1:22">
      <c r="A722" t="s">
        <v>1214</v>
      </c>
      <c r="B722" s="3">
        <v>46020</v>
      </c>
      <c r="C722" s="3">
        <v>46030</v>
      </c>
      <c r="D722" t="s">
        <v>305</v>
      </c>
      <c r="E722" t="s">
        <v>306</v>
      </c>
      <c r="F722" t="s">
        <v>152</v>
      </c>
      <c r="G722" t="s">
        <v>138</v>
      </c>
      <c r="H722" t="s">
        <v>186</v>
      </c>
      <c r="I722" t="s">
        <v>187</v>
      </c>
      <c r="J722" t="s">
        <v>109</v>
      </c>
      <c r="K722" t="s">
        <v>168</v>
      </c>
      <c r="L722" t="s">
        <v>214</v>
      </c>
      <c r="M722" t="s">
        <v>215</v>
      </c>
      <c r="N722" t="s">
        <v>103</v>
      </c>
      <c r="O722" t="s">
        <v>171</v>
      </c>
      <c r="P722">
        <v>9</v>
      </c>
      <c r="Q722" s="4">
        <v>11.47</v>
      </c>
      <c r="R722" s="5">
        <v>0.11</v>
      </c>
      <c r="S722" s="4">
        <v>8.4499999999999993</v>
      </c>
      <c r="T722" t="s">
        <v>84</v>
      </c>
      <c r="U722" t="s">
        <v>85</v>
      </c>
    </row>
    <row r="723" spans="1:22">
      <c r="A723" t="s">
        <v>1215</v>
      </c>
      <c r="B723" s="3">
        <v>46020</v>
      </c>
      <c r="C723" s="3">
        <v>46021</v>
      </c>
      <c r="D723" t="s">
        <v>158</v>
      </c>
      <c r="E723" t="s">
        <v>159</v>
      </c>
      <c r="F723" t="s">
        <v>89</v>
      </c>
      <c r="G723" t="s">
        <v>126</v>
      </c>
      <c r="H723" t="s">
        <v>160</v>
      </c>
      <c r="I723" t="s">
        <v>161</v>
      </c>
      <c r="J723" t="s">
        <v>129</v>
      </c>
      <c r="K723" t="s">
        <v>130</v>
      </c>
      <c r="L723" t="s">
        <v>175</v>
      </c>
      <c r="M723" t="s">
        <v>176</v>
      </c>
      <c r="N723" t="s">
        <v>93</v>
      </c>
      <c r="O723" t="s">
        <v>177</v>
      </c>
      <c r="P723">
        <v>1</v>
      </c>
      <c r="Q723" s="4">
        <v>159.16999999999999</v>
      </c>
      <c r="R723" s="5">
        <v>0.01</v>
      </c>
      <c r="S723" s="4">
        <v>23.54</v>
      </c>
      <c r="T723" t="s">
        <v>122</v>
      </c>
      <c r="U723" t="s">
        <v>85</v>
      </c>
      <c r="V723">
        <v>2</v>
      </c>
    </row>
    <row r="724" spans="1:22">
      <c r="A724" t="s">
        <v>1216</v>
      </c>
      <c r="B724" s="3">
        <v>46021</v>
      </c>
      <c r="C724" s="3">
        <v>46024</v>
      </c>
      <c r="D724" t="s">
        <v>787</v>
      </c>
      <c r="E724" t="s">
        <v>660</v>
      </c>
      <c r="F724" t="s">
        <v>152</v>
      </c>
      <c r="G724" t="s">
        <v>194</v>
      </c>
      <c r="H724" t="s">
        <v>202</v>
      </c>
      <c r="I724" t="s">
        <v>203</v>
      </c>
      <c r="J724" t="s">
        <v>129</v>
      </c>
      <c r="K724" t="s">
        <v>130</v>
      </c>
      <c r="L724" t="s">
        <v>175</v>
      </c>
      <c r="M724" t="s">
        <v>176</v>
      </c>
      <c r="N724" t="s">
        <v>93</v>
      </c>
      <c r="O724" t="s">
        <v>177</v>
      </c>
      <c r="P724">
        <v>3</v>
      </c>
      <c r="Q724" s="4">
        <v>175.18</v>
      </c>
      <c r="R724" s="5">
        <v>0.08</v>
      </c>
      <c r="S724" s="4">
        <v>20.34</v>
      </c>
      <c r="T724" t="s">
        <v>122</v>
      </c>
      <c r="U724" t="s">
        <v>791</v>
      </c>
    </row>
    <row r="725" spans="1:22">
      <c r="A725" t="s">
        <v>1217</v>
      </c>
      <c r="B725" s="3">
        <v>46021</v>
      </c>
      <c r="C725" s="3">
        <v>46025</v>
      </c>
      <c r="D725" t="s">
        <v>627</v>
      </c>
      <c r="E725" t="s">
        <v>542</v>
      </c>
      <c r="F725" t="s">
        <v>152</v>
      </c>
      <c r="G725" t="s">
        <v>194</v>
      </c>
      <c r="H725" t="s">
        <v>240</v>
      </c>
      <c r="I725" t="s">
        <v>241</v>
      </c>
      <c r="J725" t="s">
        <v>129</v>
      </c>
      <c r="K725" t="s">
        <v>130</v>
      </c>
      <c r="L725" t="s">
        <v>261</v>
      </c>
      <c r="M725" t="s">
        <v>262</v>
      </c>
      <c r="N725" t="s">
        <v>103</v>
      </c>
      <c r="O725" t="s">
        <v>104</v>
      </c>
      <c r="P725">
        <v>5</v>
      </c>
      <c r="Q725" s="4">
        <v>27.64</v>
      </c>
      <c r="R725" s="5">
        <v>7.0000000000000007E-2</v>
      </c>
      <c r="S725" s="4">
        <v>7.56</v>
      </c>
      <c r="T725" t="s">
        <v>134</v>
      </c>
      <c r="U725" t="s">
        <v>85</v>
      </c>
      <c r="V725">
        <v>2</v>
      </c>
    </row>
    <row r="726" spans="1:22">
      <c r="A726" t="s">
        <v>1218</v>
      </c>
      <c r="B726" s="3">
        <v>46021</v>
      </c>
      <c r="C726" s="3">
        <v>46022</v>
      </c>
      <c r="D726" t="s">
        <v>173</v>
      </c>
      <c r="E726" t="s">
        <v>174</v>
      </c>
      <c r="F726" t="s">
        <v>89</v>
      </c>
      <c r="G726" t="s">
        <v>126</v>
      </c>
      <c r="H726" t="s">
        <v>127</v>
      </c>
      <c r="I726" t="s">
        <v>128</v>
      </c>
      <c r="J726" t="s">
        <v>129</v>
      </c>
      <c r="K726" t="s">
        <v>79</v>
      </c>
      <c r="L726" t="s">
        <v>242</v>
      </c>
      <c r="M726" t="s">
        <v>243</v>
      </c>
      <c r="N726" t="s">
        <v>120</v>
      </c>
      <c r="O726" t="s">
        <v>133</v>
      </c>
      <c r="P726">
        <v>2</v>
      </c>
      <c r="Q726" s="4">
        <v>193.89</v>
      </c>
      <c r="R726" s="5">
        <v>0.05</v>
      </c>
      <c r="S726" s="4">
        <v>22.07</v>
      </c>
      <c r="T726" t="s">
        <v>84</v>
      </c>
      <c r="U726" t="s">
        <v>85</v>
      </c>
      <c r="V726">
        <v>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6"/>
  <sheetViews>
    <sheetView showGridLines="0" tabSelected="1" topLeftCell="A43" workbookViewId="0"/>
  </sheetViews>
  <sheetFormatPr defaultRowHeight="13.8"/>
  <cols>
    <col min="1" max="1" width="13.09765625" customWidth="1"/>
    <col min="2" max="2" width="18.69921875" customWidth="1"/>
    <col min="3" max="3" width="14.69921875" customWidth="1"/>
    <col min="4" max="4" width="11.19921875" customWidth="1"/>
    <col min="5" max="5" width="8.69921875" customWidth="1"/>
    <col min="6" max="6" width="16.19921875" customWidth="1"/>
    <col min="7" max="7" width="13.09765625" customWidth="1"/>
    <col min="8" max="8" width="12.5" customWidth="1"/>
  </cols>
  <sheetData>
    <row r="1" spans="1:8">
      <c r="A1" s="1" t="s">
        <v>1282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1219</v>
      </c>
      <c r="H1" s="1" t="s">
        <v>1220</v>
      </c>
    </row>
    <row r="2" spans="1:8">
      <c r="A2" t="s">
        <v>613</v>
      </c>
      <c r="B2" t="s">
        <v>614</v>
      </c>
      <c r="C2" t="s">
        <v>74</v>
      </c>
      <c r="D2" t="s">
        <v>194</v>
      </c>
      <c r="E2" t="s">
        <v>195</v>
      </c>
      <c r="F2" t="s">
        <v>196</v>
      </c>
      <c r="G2" s="3">
        <v>44454</v>
      </c>
      <c r="H2" t="s">
        <v>1221</v>
      </c>
    </row>
    <row r="3" spans="1:8">
      <c r="A3" t="s">
        <v>728</v>
      </c>
      <c r="B3" t="s">
        <v>333</v>
      </c>
      <c r="C3" t="s">
        <v>89</v>
      </c>
      <c r="D3" t="s">
        <v>194</v>
      </c>
      <c r="E3" t="s">
        <v>195</v>
      </c>
      <c r="F3" t="s">
        <v>196</v>
      </c>
      <c r="G3" s="3">
        <v>45616</v>
      </c>
      <c r="H3" t="s">
        <v>1221</v>
      </c>
    </row>
    <row r="4" spans="1:8">
      <c r="A4" t="s">
        <v>1222</v>
      </c>
      <c r="B4" t="s">
        <v>695</v>
      </c>
      <c r="C4" t="s">
        <v>152</v>
      </c>
      <c r="D4" t="s">
        <v>194</v>
      </c>
      <c r="E4" t="s">
        <v>202</v>
      </c>
      <c r="F4" t="s">
        <v>203</v>
      </c>
      <c r="G4" s="3">
        <v>45271</v>
      </c>
      <c r="H4" t="s">
        <v>1223</v>
      </c>
    </row>
    <row r="5" spans="1:8">
      <c r="A5" t="s">
        <v>87</v>
      </c>
      <c r="B5" t="s">
        <v>88</v>
      </c>
      <c r="C5" t="s">
        <v>89</v>
      </c>
      <c r="D5" t="s">
        <v>75</v>
      </c>
      <c r="E5" t="s">
        <v>76</v>
      </c>
      <c r="F5" t="s">
        <v>77</v>
      </c>
      <c r="G5" s="3">
        <v>44736</v>
      </c>
      <c r="H5" t="s">
        <v>1223</v>
      </c>
    </row>
    <row r="6" spans="1:8">
      <c r="A6" t="s">
        <v>328</v>
      </c>
      <c r="B6" t="s">
        <v>329</v>
      </c>
      <c r="C6" t="s">
        <v>89</v>
      </c>
      <c r="D6" t="s">
        <v>75</v>
      </c>
      <c r="E6" t="s">
        <v>116</v>
      </c>
      <c r="F6" t="s">
        <v>117</v>
      </c>
      <c r="G6" s="3">
        <v>45451</v>
      </c>
      <c r="H6" t="s">
        <v>1223</v>
      </c>
    </row>
    <row r="7" spans="1:8">
      <c r="A7" t="s">
        <v>184</v>
      </c>
      <c r="B7" t="s">
        <v>185</v>
      </c>
      <c r="C7" t="s">
        <v>74</v>
      </c>
      <c r="D7" t="s">
        <v>138</v>
      </c>
      <c r="E7" t="s">
        <v>186</v>
      </c>
      <c r="F7" t="s">
        <v>187</v>
      </c>
      <c r="G7" s="3">
        <v>46013</v>
      </c>
      <c r="H7" t="s">
        <v>1221</v>
      </c>
    </row>
    <row r="8" spans="1:8">
      <c r="A8" t="s">
        <v>621</v>
      </c>
      <c r="B8" t="s">
        <v>622</v>
      </c>
      <c r="C8" t="s">
        <v>74</v>
      </c>
      <c r="D8" t="s">
        <v>194</v>
      </c>
      <c r="E8" t="s">
        <v>230</v>
      </c>
      <c r="F8" t="s">
        <v>231</v>
      </c>
      <c r="G8" s="3">
        <v>44796</v>
      </c>
      <c r="H8" t="s">
        <v>1224</v>
      </c>
    </row>
    <row r="9" spans="1:8">
      <c r="A9" t="s">
        <v>413</v>
      </c>
      <c r="B9" t="s">
        <v>414</v>
      </c>
      <c r="C9" t="s">
        <v>89</v>
      </c>
      <c r="D9" t="s">
        <v>138</v>
      </c>
      <c r="E9" t="s">
        <v>139</v>
      </c>
      <c r="F9" t="s">
        <v>140</v>
      </c>
      <c r="G9" s="3">
        <v>44959</v>
      </c>
      <c r="H9" t="s">
        <v>1221</v>
      </c>
    </row>
    <row r="10" spans="1:8">
      <c r="A10" t="s">
        <v>844</v>
      </c>
      <c r="B10" t="s">
        <v>845</v>
      </c>
      <c r="C10" t="s">
        <v>74</v>
      </c>
      <c r="D10" t="s">
        <v>138</v>
      </c>
      <c r="E10" t="s">
        <v>186</v>
      </c>
      <c r="F10" t="s">
        <v>187</v>
      </c>
      <c r="G10" s="3">
        <v>45706</v>
      </c>
      <c r="H10" t="s">
        <v>1223</v>
      </c>
    </row>
    <row r="11" spans="1:8">
      <c r="A11" t="s">
        <v>419</v>
      </c>
      <c r="B11" t="s">
        <v>420</v>
      </c>
      <c r="C11" t="s">
        <v>74</v>
      </c>
      <c r="D11" t="s">
        <v>126</v>
      </c>
      <c r="E11" t="s">
        <v>160</v>
      </c>
      <c r="F11" t="s">
        <v>161</v>
      </c>
      <c r="G11" s="3">
        <v>44752</v>
      </c>
      <c r="H11" t="s">
        <v>1223</v>
      </c>
    </row>
    <row r="12" spans="1:8">
      <c r="A12" t="s">
        <v>319</v>
      </c>
      <c r="B12" t="s">
        <v>320</v>
      </c>
      <c r="C12" t="s">
        <v>152</v>
      </c>
      <c r="D12" t="s">
        <v>75</v>
      </c>
      <c r="E12" t="s">
        <v>212</v>
      </c>
      <c r="F12" t="s">
        <v>213</v>
      </c>
      <c r="G12" s="3">
        <v>44545</v>
      </c>
      <c r="H12" t="s">
        <v>1221</v>
      </c>
    </row>
    <row r="13" spans="1:8">
      <c r="A13" t="s">
        <v>424</v>
      </c>
      <c r="B13" t="s">
        <v>425</v>
      </c>
      <c r="C13" t="s">
        <v>152</v>
      </c>
      <c r="D13" t="s">
        <v>138</v>
      </c>
      <c r="E13" t="s">
        <v>347</v>
      </c>
      <c r="F13" t="s">
        <v>348</v>
      </c>
      <c r="G13" s="3">
        <v>45859</v>
      </c>
      <c r="H13" t="s">
        <v>1225</v>
      </c>
    </row>
    <row r="14" spans="1:8">
      <c r="A14" t="s">
        <v>427</v>
      </c>
      <c r="B14" t="s">
        <v>428</v>
      </c>
      <c r="C14" t="s">
        <v>152</v>
      </c>
      <c r="D14" t="s">
        <v>194</v>
      </c>
      <c r="E14" t="s">
        <v>240</v>
      </c>
      <c r="F14" t="s">
        <v>241</v>
      </c>
      <c r="G14" s="3">
        <v>45885</v>
      </c>
      <c r="H14" t="s">
        <v>1224</v>
      </c>
    </row>
    <row r="15" spans="1:8">
      <c r="A15" t="s">
        <v>454</v>
      </c>
      <c r="B15" t="s">
        <v>329</v>
      </c>
      <c r="C15" t="s">
        <v>89</v>
      </c>
      <c r="D15" t="s">
        <v>75</v>
      </c>
      <c r="E15" t="s">
        <v>212</v>
      </c>
      <c r="F15" t="s">
        <v>213</v>
      </c>
      <c r="G15" s="3">
        <v>45538</v>
      </c>
      <c r="H15" t="s">
        <v>1224</v>
      </c>
    </row>
    <row r="16" spans="1:8">
      <c r="A16" t="s">
        <v>107</v>
      </c>
      <c r="B16" t="s">
        <v>108</v>
      </c>
      <c r="C16" t="s">
        <v>74</v>
      </c>
      <c r="D16" t="s">
        <v>75</v>
      </c>
      <c r="E16" t="s">
        <v>98</v>
      </c>
      <c r="F16" t="s">
        <v>99</v>
      </c>
      <c r="G16" s="3">
        <v>45435</v>
      </c>
      <c r="H16" t="s">
        <v>1223</v>
      </c>
    </row>
    <row r="17" spans="1:8">
      <c r="A17" t="s">
        <v>294</v>
      </c>
      <c r="B17" t="s">
        <v>146</v>
      </c>
      <c r="C17" t="s">
        <v>152</v>
      </c>
      <c r="D17" t="s">
        <v>194</v>
      </c>
      <c r="E17" t="s">
        <v>225</v>
      </c>
      <c r="F17" t="s">
        <v>226</v>
      </c>
      <c r="G17" s="3">
        <v>45149</v>
      </c>
      <c r="H17" t="s">
        <v>1225</v>
      </c>
    </row>
    <row r="18" spans="1:8">
      <c r="A18" t="s">
        <v>522</v>
      </c>
      <c r="B18" t="s">
        <v>512</v>
      </c>
      <c r="C18" t="s">
        <v>74</v>
      </c>
      <c r="D18" t="s">
        <v>194</v>
      </c>
      <c r="E18" t="s">
        <v>230</v>
      </c>
      <c r="F18" t="s">
        <v>231</v>
      </c>
      <c r="G18" s="3">
        <v>44653</v>
      </c>
      <c r="H18" t="s">
        <v>1223</v>
      </c>
    </row>
    <row r="19" spans="1:8">
      <c r="A19" t="s">
        <v>463</v>
      </c>
      <c r="B19" t="s">
        <v>464</v>
      </c>
      <c r="C19" t="s">
        <v>152</v>
      </c>
      <c r="D19" t="s">
        <v>194</v>
      </c>
      <c r="E19" t="s">
        <v>202</v>
      </c>
      <c r="F19" t="s">
        <v>203</v>
      </c>
      <c r="G19" s="3">
        <v>45862</v>
      </c>
      <c r="H19" t="s">
        <v>1223</v>
      </c>
    </row>
    <row r="20" spans="1:8">
      <c r="A20" t="s">
        <v>1226</v>
      </c>
      <c r="B20" t="s">
        <v>1227</v>
      </c>
      <c r="C20" t="s">
        <v>152</v>
      </c>
      <c r="D20" t="s">
        <v>194</v>
      </c>
      <c r="E20" t="s">
        <v>202</v>
      </c>
      <c r="F20" t="s">
        <v>203</v>
      </c>
      <c r="G20" s="3">
        <v>45682</v>
      </c>
      <c r="H20" t="s">
        <v>1225</v>
      </c>
    </row>
    <row r="21" spans="1:8">
      <c r="A21" t="s">
        <v>787</v>
      </c>
      <c r="B21" t="s">
        <v>660</v>
      </c>
      <c r="C21" t="s">
        <v>152</v>
      </c>
      <c r="D21" t="s">
        <v>194</v>
      </c>
      <c r="E21" t="s">
        <v>202</v>
      </c>
      <c r="F21" t="s">
        <v>203</v>
      </c>
      <c r="G21" s="3">
        <v>44524</v>
      </c>
      <c r="H21" t="s">
        <v>1224</v>
      </c>
    </row>
    <row r="22" spans="1:8">
      <c r="A22" t="s">
        <v>1228</v>
      </c>
      <c r="B22" t="s">
        <v>1229</v>
      </c>
      <c r="C22" t="s">
        <v>89</v>
      </c>
      <c r="D22" t="s">
        <v>138</v>
      </c>
      <c r="E22" t="s">
        <v>347</v>
      </c>
      <c r="F22" t="s">
        <v>348</v>
      </c>
      <c r="G22" s="3">
        <v>44601</v>
      </c>
      <c r="H22" t="s">
        <v>1223</v>
      </c>
    </row>
    <row r="23" spans="1:8">
      <c r="A23" t="s">
        <v>667</v>
      </c>
      <c r="B23" t="s">
        <v>336</v>
      </c>
      <c r="C23" t="s">
        <v>152</v>
      </c>
      <c r="D23" t="s">
        <v>138</v>
      </c>
      <c r="E23" t="s">
        <v>457</v>
      </c>
      <c r="F23" t="s">
        <v>458</v>
      </c>
      <c r="G23" s="3">
        <v>45372</v>
      </c>
      <c r="H23" t="s">
        <v>1224</v>
      </c>
    </row>
    <row r="24" spans="1:8">
      <c r="A24" t="s">
        <v>210</v>
      </c>
      <c r="B24" t="s">
        <v>211</v>
      </c>
      <c r="C24" t="s">
        <v>89</v>
      </c>
      <c r="D24" t="s">
        <v>75</v>
      </c>
      <c r="E24" t="s">
        <v>212</v>
      </c>
      <c r="F24" t="s">
        <v>213</v>
      </c>
      <c r="G24" s="3">
        <v>45059</v>
      </c>
      <c r="H24" t="s">
        <v>1221</v>
      </c>
    </row>
    <row r="25" spans="1:8">
      <c r="A25" t="s">
        <v>704</v>
      </c>
      <c r="B25" t="s">
        <v>705</v>
      </c>
      <c r="C25" t="s">
        <v>89</v>
      </c>
      <c r="D25" t="s">
        <v>138</v>
      </c>
      <c r="E25" t="s">
        <v>186</v>
      </c>
      <c r="F25" t="s">
        <v>187</v>
      </c>
      <c r="G25" s="3">
        <v>45403</v>
      </c>
      <c r="H25" t="s">
        <v>1223</v>
      </c>
    </row>
    <row r="26" spans="1:8">
      <c r="A26" t="s">
        <v>904</v>
      </c>
      <c r="B26" t="s">
        <v>449</v>
      </c>
      <c r="C26" t="s">
        <v>152</v>
      </c>
      <c r="D26" t="s">
        <v>75</v>
      </c>
      <c r="E26" t="s">
        <v>212</v>
      </c>
      <c r="F26" t="s">
        <v>213</v>
      </c>
      <c r="G26" s="3">
        <v>44735</v>
      </c>
      <c r="H26" t="s">
        <v>1223</v>
      </c>
    </row>
    <row r="27" spans="1:8">
      <c r="A27" t="s">
        <v>519</v>
      </c>
      <c r="B27" t="s">
        <v>520</v>
      </c>
      <c r="C27" t="s">
        <v>74</v>
      </c>
      <c r="D27" t="s">
        <v>126</v>
      </c>
      <c r="E27" t="s">
        <v>127</v>
      </c>
      <c r="F27" t="s">
        <v>128</v>
      </c>
      <c r="G27" s="3">
        <v>44755</v>
      </c>
      <c r="H27" t="s">
        <v>1224</v>
      </c>
    </row>
    <row r="28" spans="1:8">
      <c r="A28" t="s">
        <v>378</v>
      </c>
      <c r="B28" t="s">
        <v>379</v>
      </c>
      <c r="C28" t="s">
        <v>152</v>
      </c>
      <c r="D28" t="s">
        <v>126</v>
      </c>
      <c r="E28" t="s">
        <v>160</v>
      </c>
      <c r="F28" t="s">
        <v>161</v>
      </c>
      <c r="G28" s="3">
        <v>45713</v>
      </c>
      <c r="H28" t="s">
        <v>1224</v>
      </c>
    </row>
    <row r="29" spans="1:8">
      <c r="A29" t="s">
        <v>362</v>
      </c>
      <c r="B29" t="s">
        <v>363</v>
      </c>
      <c r="C29" t="s">
        <v>89</v>
      </c>
      <c r="D29" t="s">
        <v>194</v>
      </c>
      <c r="E29" t="s">
        <v>240</v>
      </c>
      <c r="F29" t="s">
        <v>241</v>
      </c>
      <c r="G29" s="3">
        <v>45026</v>
      </c>
      <c r="H29" t="s">
        <v>1223</v>
      </c>
    </row>
    <row r="30" spans="1:8">
      <c r="A30" t="s">
        <v>166</v>
      </c>
      <c r="B30" t="s">
        <v>167</v>
      </c>
      <c r="C30" t="s">
        <v>74</v>
      </c>
      <c r="D30" t="s">
        <v>75</v>
      </c>
      <c r="E30" t="s">
        <v>116</v>
      </c>
      <c r="F30" t="s">
        <v>117</v>
      </c>
      <c r="G30" s="3">
        <v>46013</v>
      </c>
      <c r="H30" t="s">
        <v>1221</v>
      </c>
    </row>
    <row r="31" spans="1:8">
      <c r="A31" t="s">
        <v>332</v>
      </c>
      <c r="B31" t="s">
        <v>333</v>
      </c>
      <c r="C31" t="s">
        <v>74</v>
      </c>
      <c r="D31" t="s">
        <v>126</v>
      </c>
      <c r="E31" t="s">
        <v>127</v>
      </c>
      <c r="F31" t="s">
        <v>128</v>
      </c>
      <c r="G31" s="3">
        <v>45373</v>
      </c>
      <c r="H31" t="s">
        <v>1223</v>
      </c>
    </row>
    <row r="32" spans="1:8">
      <c r="A32" t="s">
        <v>200</v>
      </c>
      <c r="B32" t="s">
        <v>201</v>
      </c>
      <c r="C32" t="s">
        <v>74</v>
      </c>
      <c r="D32" t="s">
        <v>194</v>
      </c>
      <c r="E32" t="s">
        <v>202</v>
      </c>
      <c r="F32" t="s">
        <v>203</v>
      </c>
      <c r="G32" s="3">
        <v>45847</v>
      </c>
      <c r="H32" t="s">
        <v>1223</v>
      </c>
    </row>
    <row r="33" spans="1:8">
      <c r="A33" t="s">
        <v>472</v>
      </c>
      <c r="B33" t="s">
        <v>272</v>
      </c>
      <c r="C33" t="s">
        <v>89</v>
      </c>
      <c r="D33" t="s">
        <v>194</v>
      </c>
      <c r="E33" t="s">
        <v>240</v>
      </c>
      <c r="F33" t="s">
        <v>241</v>
      </c>
      <c r="G33" s="3">
        <v>44494</v>
      </c>
      <c r="H33" t="s">
        <v>1225</v>
      </c>
    </row>
    <row r="34" spans="1:8">
      <c r="A34" t="s">
        <v>309</v>
      </c>
      <c r="B34" t="s">
        <v>310</v>
      </c>
      <c r="C34" t="s">
        <v>89</v>
      </c>
      <c r="D34" t="s">
        <v>75</v>
      </c>
      <c r="E34" t="s">
        <v>76</v>
      </c>
      <c r="F34" t="s">
        <v>77</v>
      </c>
      <c r="G34" s="3">
        <v>44518</v>
      </c>
      <c r="H34" t="s">
        <v>1221</v>
      </c>
    </row>
    <row r="35" spans="1:8">
      <c r="A35" t="s">
        <v>751</v>
      </c>
      <c r="B35" t="s">
        <v>752</v>
      </c>
      <c r="C35" t="s">
        <v>152</v>
      </c>
      <c r="D35" t="s">
        <v>138</v>
      </c>
      <c r="E35" t="s">
        <v>139</v>
      </c>
      <c r="F35" t="s">
        <v>140</v>
      </c>
      <c r="G35" s="3">
        <v>44640</v>
      </c>
      <c r="H35" t="s">
        <v>1223</v>
      </c>
    </row>
    <row r="36" spans="1:8">
      <c r="A36" t="s">
        <v>264</v>
      </c>
      <c r="B36" t="s">
        <v>265</v>
      </c>
      <c r="C36" t="s">
        <v>74</v>
      </c>
      <c r="D36" t="s">
        <v>194</v>
      </c>
      <c r="E36" t="s">
        <v>230</v>
      </c>
      <c r="F36" t="s">
        <v>231</v>
      </c>
      <c r="G36" s="3">
        <v>45913</v>
      </c>
      <c r="H36" t="s">
        <v>1223</v>
      </c>
    </row>
    <row r="37" spans="1:8">
      <c r="A37" t="s">
        <v>114</v>
      </c>
      <c r="B37" t="s">
        <v>115</v>
      </c>
      <c r="C37" t="s">
        <v>89</v>
      </c>
      <c r="D37" t="s">
        <v>75</v>
      </c>
      <c r="E37" t="s">
        <v>116</v>
      </c>
      <c r="F37" t="s">
        <v>117</v>
      </c>
      <c r="G37" s="3">
        <v>44594</v>
      </c>
      <c r="H37" t="s">
        <v>1225</v>
      </c>
    </row>
    <row r="38" spans="1:8">
      <c r="A38" t="s">
        <v>601</v>
      </c>
      <c r="B38" t="s">
        <v>351</v>
      </c>
      <c r="C38" t="s">
        <v>74</v>
      </c>
      <c r="D38" t="s">
        <v>194</v>
      </c>
      <c r="E38" t="s">
        <v>240</v>
      </c>
      <c r="F38" t="s">
        <v>241</v>
      </c>
      <c r="G38" s="3">
        <v>45567</v>
      </c>
      <c r="H38" t="s">
        <v>1221</v>
      </c>
    </row>
    <row r="39" spans="1:8">
      <c r="A39" t="s">
        <v>96</v>
      </c>
      <c r="B39" t="s">
        <v>97</v>
      </c>
      <c r="C39" t="s">
        <v>74</v>
      </c>
      <c r="D39" t="s">
        <v>75</v>
      </c>
      <c r="E39" t="s">
        <v>98</v>
      </c>
      <c r="F39" t="s">
        <v>99</v>
      </c>
      <c r="G39" s="3">
        <v>44461</v>
      </c>
      <c r="H39" t="s">
        <v>1221</v>
      </c>
    </row>
    <row r="40" spans="1:8">
      <c r="A40" t="s">
        <v>396</v>
      </c>
      <c r="B40" t="s">
        <v>397</v>
      </c>
      <c r="C40" t="s">
        <v>152</v>
      </c>
      <c r="D40" t="s">
        <v>138</v>
      </c>
      <c r="E40" t="s">
        <v>186</v>
      </c>
      <c r="F40" t="s">
        <v>187</v>
      </c>
      <c r="G40" s="3">
        <v>44818</v>
      </c>
      <c r="H40" t="s">
        <v>1224</v>
      </c>
    </row>
    <row r="41" spans="1:8">
      <c r="A41" t="s">
        <v>556</v>
      </c>
      <c r="B41" t="s">
        <v>557</v>
      </c>
      <c r="C41" t="s">
        <v>152</v>
      </c>
      <c r="D41" t="s">
        <v>75</v>
      </c>
      <c r="E41" t="s">
        <v>212</v>
      </c>
      <c r="F41" t="s">
        <v>213</v>
      </c>
      <c r="G41" s="3">
        <v>44341</v>
      </c>
      <c r="H41" t="s">
        <v>1221</v>
      </c>
    </row>
    <row r="42" spans="1:8">
      <c r="A42" t="s">
        <v>410</v>
      </c>
      <c r="B42" t="s">
        <v>411</v>
      </c>
      <c r="C42" t="s">
        <v>74</v>
      </c>
      <c r="D42" t="s">
        <v>126</v>
      </c>
      <c r="E42" t="s">
        <v>291</v>
      </c>
      <c r="F42" t="s">
        <v>292</v>
      </c>
      <c r="G42" s="3">
        <v>44421</v>
      </c>
      <c r="H42" t="s">
        <v>1221</v>
      </c>
    </row>
    <row r="43" spans="1:8">
      <c r="A43" t="s">
        <v>605</v>
      </c>
      <c r="B43" t="s">
        <v>606</v>
      </c>
      <c r="C43" t="s">
        <v>74</v>
      </c>
      <c r="D43" t="s">
        <v>138</v>
      </c>
      <c r="E43" t="s">
        <v>153</v>
      </c>
      <c r="F43" t="s">
        <v>154</v>
      </c>
      <c r="G43" s="3">
        <v>44450</v>
      </c>
      <c r="H43" t="s">
        <v>1221</v>
      </c>
    </row>
    <row r="44" spans="1:8">
      <c r="A44" t="s">
        <v>971</v>
      </c>
      <c r="B44" t="s">
        <v>631</v>
      </c>
      <c r="C44" t="s">
        <v>152</v>
      </c>
      <c r="D44" t="s">
        <v>194</v>
      </c>
      <c r="E44" t="s">
        <v>240</v>
      </c>
      <c r="F44" t="s">
        <v>241</v>
      </c>
      <c r="G44" s="3">
        <v>45385</v>
      </c>
      <c r="H44" t="s">
        <v>1225</v>
      </c>
    </row>
    <row r="45" spans="1:8">
      <c r="A45" t="s">
        <v>630</v>
      </c>
      <c r="B45" t="s">
        <v>631</v>
      </c>
      <c r="C45" t="s">
        <v>152</v>
      </c>
      <c r="D45" t="s">
        <v>126</v>
      </c>
      <c r="E45" t="s">
        <v>160</v>
      </c>
      <c r="F45" t="s">
        <v>182</v>
      </c>
      <c r="G45" s="3">
        <v>44481</v>
      </c>
      <c r="H45" t="s">
        <v>1223</v>
      </c>
    </row>
    <row r="46" spans="1:8">
      <c r="A46" t="s">
        <v>282</v>
      </c>
      <c r="B46" t="s">
        <v>283</v>
      </c>
      <c r="C46" t="s">
        <v>89</v>
      </c>
      <c r="D46" t="s">
        <v>75</v>
      </c>
      <c r="E46" t="s">
        <v>273</v>
      </c>
      <c r="F46" t="s">
        <v>274</v>
      </c>
      <c r="G46" s="3">
        <v>44737</v>
      </c>
      <c r="H46" t="s">
        <v>1221</v>
      </c>
    </row>
    <row r="47" spans="1:8">
      <c r="A47" t="s">
        <v>541</v>
      </c>
      <c r="B47" t="s">
        <v>542</v>
      </c>
      <c r="C47" t="s">
        <v>89</v>
      </c>
      <c r="D47" t="s">
        <v>138</v>
      </c>
      <c r="E47" t="s">
        <v>139</v>
      </c>
      <c r="F47" t="s">
        <v>140</v>
      </c>
      <c r="G47" s="3">
        <v>45674</v>
      </c>
      <c r="H47" t="s">
        <v>1223</v>
      </c>
    </row>
    <row r="48" spans="1:8">
      <c r="A48" t="s">
        <v>482</v>
      </c>
      <c r="B48" t="s">
        <v>483</v>
      </c>
      <c r="C48" t="s">
        <v>74</v>
      </c>
      <c r="D48" t="s">
        <v>194</v>
      </c>
      <c r="E48" t="s">
        <v>240</v>
      </c>
      <c r="F48" t="s">
        <v>241</v>
      </c>
      <c r="G48" s="3">
        <v>44396</v>
      </c>
      <c r="H48" t="s">
        <v>1221</v>
      </c>
    </row>
    <row r="49" spans="1:8">
      <c r="A49" t="s">
        <v>406</v>
      </c>
      <c r="B49" t="s">
        <v>407</v>
      </c>
      <c r="C49" t="s">
        <v>89</v>
      </c>
      <c r="D49" t="s">
        <v>75</v>
      </c>
      <c r="E49" t="s">
        <v>116</v>
      </c>
      <c r="F49" t="s">
        <v>117</v>
      </c>
      <c r="G49" s="3">
        <v>45879</v>
      </c>
      <c r="H49" t="s">
        <v>1225</v>
      </c>
    </row>
    <row r="50" spans="1:8">
      <c r="A50" t="s">
        <v>583</v>
      </c>
      <c r="B50" t="s">
        <v>584</v>
      </c>
      <c r="C50" t="s">
        <v>89</v>
      </c>
      <c r="D50" t="s">
        <v>138</v>
      </c>
      <c r="E50" t="s">
        <v>139</v>
      </c>
      <c r="F50" t="s">
        <v>140</v>
      </c>
      <c r="G50" s="3">
        <v>45174</v>
      </c>
      <c r="H50" t="s">
        <v>1223</v>
      </c>
    </row>
    <row r="51" spans="1:8">
      <c r="A51" t="s">
        <v>430</v>
      </c>
      <c r="B51" t="s">
        <v>224</v>
      </c>
      <c r="C51" t="s">
        <v>74</v>
      </c>
      <c r="D51" t="s">
        <v>194</v>
      </c>
      <c r="E51" t="s">
        <v>225</v>
      </c>
      <c r="F51" t="s">
        <v>226</v>
      </c>
      <c r="G51" s="3">
        <v>44366</v>
      </c>
      <c r="H51" t="s">
        <v>1224</v>
      </c>
    </row>
    <row r="52" spans="1:8">
      <c r="A52" t="s">
        <v>641</v>
      </c>
      <c r="B52" t="s">
        <v>642</v>
      </c>
      <c r="C52" t="s">
        <v>89</v>
      </c>
      <c r="D52" t="s">
        <v>194</v>
      </c>
      <c r="E52" t="s">
        <v>195</v>
      </c>
      <c r="F52" t="s">
        <v>196</v>
      </c>
      <c r="G52" s="3">
        <v>44881</v>
      </c>
      <c r="H52" t="s">
        <v>1223</v>
      </c>
    </row>
    <row r="53" spans="1:8">
      <c r="A53" t="s">
        <v>714</v>
      </c>
      <c r="B53" t="s">
        <v>715</v>
      </c>
      <c r="C53" t="s">
        <v>89</v>
      </c>
      <c r="D53" t="s">
        <v>126</v>
      </c>
      <c r="E53" t="s">
        <v>160</v>
      </c>
      <c r="F53" t="s">
        <v>161</v>
      </c>
      <c r="G53" s="3">
        <v>45844</v>
      </c>
      <c r="H53" t="s">
        <v>1225</v>
      </c>
    </row>
    <row r="54" spans="1:8">
      <c r="A54" t="s">
        <v>180</v>
      </c>
      <c r="B54" t="s">
        <v>181</v>
      </c>
      <c r="C54" t="s">
        <v>74</v>
      </c>
      <c r="D54" t="s">
        <v>126</v>
      </c>
      <c r="E54" t="s">
        <v>160</v>
      </c>
      <c r="F54" t="s">
        <v>182</v>
      </c>
      <c r="G54" s="3">
        <v>45931</v>
      </c>
      <c r="H54" t="s">
        <v>1224</v>
      </c>
    </row>
    <row r="55" spans="1:8">
      <c r="A55" t="s">
        <v>276</v>
      </c>
      <c r="B55" t="s">
        <v>277</v>
      </c>
      <c r="C55" t="s">
        <v>152</v>
      </c>
      <c r="D55" t="s">
        <v>75</v>
      </c>
      <c r="E55" t="s">
        <v>212</v>
      </c>
      <c r="F55" t="s">
        <v>213</v>
      </c>
      <c r="G55" s="3">
        <v>44291</v>
      </c>
      <c r="H55" t="s">
        <v>1223</v>
      </c>
    </row>
    <row r="56" spans="1:8">
      <c r="A56" t="s">
        <v>547</v>
      </c>
      <c r="B56" t="s">
        <v>548</v>
      </c>
      <c r="C56" t="s">
        <v>152</v>
      </c>
      <c r="D56" t="s">
        <v>75</v>
      </c>
      <c r="E56" t="s">
        <v>116</v>
      </c>
      <c r="F56" t="s">
        <v>117</v>
      </c>
      <c r="G56" s="3">
        <v>45512</v>
      </c>
      <c r="H56" t="s">
        <v>1221</v>
      </c>
    </row>
    <row r="57" spans="1:8">
      <c r="A57" t="s">
        <v>287</v>
      </c>
      <c r="B57" t="s">
        <v>146</v>
      </c>
      <c r="C57" t="s">
        <v>89</v>
      </c>
      <c r="D57" t="s">
        <v>194</v>
      </c>
      <c r="E57" t="s">
        <v>195</v>
      </c>
      <c r="F57" t="s">
        <v>196</v>
      </c>
      <c r="G57" s="3">
        <v>45848</v>
      </c>
      <c r="H57" t="s">
        <v>1224</v>
      </c>
    </row>
    <row r="58" spans="1:8">
      <c r="A58" t="s">
        <v>445</v>
      </c>
      <c r="B58" t="s">
        <v>446</v>
      </c>
      <c r="C58" t="s">
        <v>152</v>
      </c>
      <c r="D58" t="s">
        <v>126</v>
      </c>
      <c r="E58" t="s">
        <v>160</v>
      </c>
      <c r="F58" t="s">
        <v>182</v>
      </c>
      <c r="G58" s="3">
        <v>45690</v>
      </c>
      <c r="H58" t="s">
        <v>1225</v>
      </c>
    </row>
    <row r="59" spans="1:8">
      <c r="A59" t="s">
        <v>300</v>
      </c>
      <c r="B59" t="s">
        <v>151</v>
      </c>
      <c r="C59" t="s">
        <v>152</v>
      </c>
      <c r="D59" t="s">
        <v>75</v>
      </c>
      <c r="E59" t="s">
        <v>98</v>
      </c>
      <c r="F59" t="s">
        <v>99</v>
      </c>
      <c r="G59" s="3">
        <v>44995</v>
      </c>
      <c r="H59" t="s">
        <v>1224</v>
      </c>
    </row>
    <row r="60" spans="1:8">
      <c r="A60" t="s">
        <v>158</v>
      </c>
      <c r="B60" t="s">
        <v>159</v>
      </c>
      <c r="C60" t="s">
        <v>89</v>
      </c>
      <c r="D60" t="s">
        <v>126</v>
      </c>
      <c r="E60" t="s">
        <v>160</v>
      </c>
      <c r="F60" t="s">
        <v>161</v>
      </c>
      <c r="G60" s="3">
        <v>44476</v>
      </c>
      <c r="H60" t="s">
        <v>1223</v>
      </c>
    </row>
    <row r="61" spans="1:8">
      <c r="A61" t="s">
        <v>550</v>
      </c>
      <c r="B61" t="s">
        <v>218</v>
      </c>
      <c r="C61" t="s">
        <v>152</v>
      </c>
      <c r="D61" t="s">
        <v>126</v>
      </c>
      <c r="E61" t="s">
        <v>127</v>
      </c>
      <c r="F61" t="s">
        <v>128</v>
      </c>
      <c r="G61" s="3">
        <v>44903</v>
      </c>
      <c r="H61" t="s">
        <v>1221</v>
      </c>
    </row>
    <row r="62" spans="1:8">
      <c r="A62" t="s">
        <v>322</v>
      </c>
      <c r="B62" t="s">
        <v>323</v>
      </c>
      <c r="C62" t="s">
        <v>74</v>
      </c>
      <c r="D62" t="s">
        <v>194</v>
      </c>
      <c r="E62" t="s">
        <v>240</v>
      </c>
      <c r="F62" t="s">
        <v>241</v>
      </c>
      <c r="G62" s="3">
        <v>44540</v>
      </c>
      <c r="H62" t="s">
        <v>1223</v>
      </c>
    </row>
    <row r="63" spans="1:8">
      <c r="A63" t="s">
        <v>245</v>
      </c>
      <c r="B63" t="s">
        <v>246</v>
      </c>
      <c r="C63" t="s">
        <v>74</v>
      </c>
      <c r="D63" t="s">
        <v>138</v>
      </c>
      <c r="E63" t="s">
        <v>139</v>
      </c>
      <c r="F63" t="s">
        <v>140</v>
      </c>
      <c r="G63" s="3">
        <v>45447</v>
      </c>
      <c r="H63" t="s">
        <v>1225</v>
      </c>
    </row>
    <row r="64" spans="1:8">
      <c r="A64" t="s">
        <v>279</v>
      </c>
      <c r="B64" t="s">
        <v>280</v>
      </c>
      <c r="C64" t="s">
        <v>89</v>
      </c>
      <c r="D64" t="s">
        <v>126</v>
      </c>
      <c r="E64" t="s">
        <v>160</v>
      </c>
      <c r="F64" t="s">
        <v>182</v>
      </c>
      <c r="G64" s="3">
        <v>45772</v>
      </c>
      <c r="H64" t="s">
        <v>1225</v>
      </c>
    </row>
    <row r="65" spans="1:8">
      <c r="A65" t="s">
        <v>438</v>
      </c>
      <c r="B65" t="s">
        <v>439</v>
      </c>
      <c r="C65" t="s">
        <v>152</v>
      </c>
      <c r="D65" t="s">
        <v>194</v>
      </c>
      <c r="E65" t="s">
        <v>240</v>
      </c>
      <c r="F65" t="s">
        <v>241</v>
      </c>
      <c r="G65" s="3">
        <v>44473</v>
      </c>
      <c r="H65" t="s">
        <v>1225</v>
      </c>
    </row>
    <row r="66" spans="1:8">
      <c r="A66" t="s">
        <v>402</v>
      </c>
      <c r="B66" t="s">
        <v>403</v>
      </c>
      <c r="C66" t="s">
        <v>74</v>
      </c>
      <c r="D66" t="s">
        <v>75</v>
      </c>
      <c r="E66" t="s">
        <v>212</v>
      </c>
      <c r="F66" t="s">
        <v>213</v>
      </c>
      <c r="G66" s="3">
        <v>45658</v>
      </c>
      <c r="H66" t="s">
        <v>1225</v>
      </c>
    </row>
    <row r="67" spans="1:8">
      <c r="A67" t="s">
        <v>305</v>
      </c>
      <c r="B67" t="s">
        <v>306</v>
      </c>
      <c r="C67" t="s">
        <v>152</v>
      </c>
      <c r="D67" t="s">
        <v>138</v>
      </c>
      <c r="E67" t="s">
        <v>186</v>
      </c>
      <c r="F67" t="s">
        <v>187</v>
      </c>
      <c r="G67" s="3">
        <v>45333</v>
      </c>
      <c r="H67" t="s">
        <v>1224</v>
      </c>
    </row>
    <row r="68" spans="1:8">
      <c r="A68" t="s">
        <v>529</v>
      </c>
      <c r="B68" t="s">
        <v>397</v>
      </c>
      <c r="C68" t="s">
        <v>89</v>
      </c>
      <c r="D68" t="s">
        <v>194</v>
      </c>
      <c r="E68" t="s">
        <v>240</v>
      </c>
      <c r="F68" t="s">
        <v>241</v>
      </c>
      <c r="G68" s="3">
        <v>45274</v>
      </c>
      <c r="H68" t="s">
        <v>1225</v>
      </c>
    </row>
    <row r="69" spans="1:8">
      <c r="A69" t="s">
        <v>366</v>
      </c>
      <c r="B69" t="s">
        <v>342</v>
      </c>
      <c r="C69" t="s">
        <v>89</v>
      </c>
      <c r="D69" t="s">
        <v>194</v>
      </c>
      <c r="E69" t="s">
        <v>230</v>
      </c>
      <c r="F69" t="s">
        <v>231</v>
      </c>
      <c r="G69" s="3">
        <v>45549</v>
      </c>
      <c r="H69" t="s">
        <v>1223</v>
      </c>
    </row>
    <row r="70" spans="1:8">
      <c r="A70" t="s">
        <v>1230</v>
      </c>
      <c r="B70" t="s">
        <v>1231</v>
      </c>
      <c r="C70" t="s">
        <v>74</v>
      </c>
      <c r="D70" t="s">
        <v>75</v>
      </c>
      <c r="E70" t="s">
        <v>273</v>
      </c>
      <c r="F70" t="s">
        <v>274</v>
      </c>
      <c r="G70" s="3">
        <v>45360</v>
      </c>
      <c r="H70" t="s">
        <v>1225</v>
      </c>
    </row>
    <row r="71" spans="1:8">
      <c r="A71" t="s">
        <v>1076</v>
      </c>
      <c r="B71" t="s">
        <v>1077</v>
      </c>
      <c r="C71" t="s">
        <v>74</v>
      </c>
      <c r="D71" t="s">
        <v>126</v>
      </c>
      <c r="E71" t="s">
        <v>160</v>
      </c>
      <c r="F71" t="s">
        <v>161</v>
      </c>
      <c r="G71" s="3">
        <v>44250</v>
      </c>
      <c r="H71" t="s">
        <v>1225</v>
      </c>
    </row>
    <row r="72" spans="1:8">
      <c r="A72" t="s">
        <v>663</v>
      </c>
      <c r="B72" t="s">
        <v>664</v>
      </c>
      <c r="C72" t="s">
        <v>89</v>
      </c>
      <c r="D72" t="s">
        <v>194</v>
      </c>
      <c r="E72" t="s">
        <v>230</v>
      </c>
      <c r="F72" t="s">
        <v>231</v>
      </c>
      <c r="G72" s="3">
        <v>44975</v>
      </c>
      <c r="H72" t="s">
        <v>1225</v>
      </c>
    </row>
    <row r="73" spans="1:8">
      <c r="A73" t="s">
        <v>228</v>
      </c>
      <c r="B73" t="s">
        <v>229</v>
      </c>
      <c r="C73" t="s">
        <v>74</v>
      </c>
      <c r="D73" t="s">
        <v>194</v>
      </c>
      <c r="E73" t="s">
        <v>230</v>
      </c>
      <c r="F73" t="s">
        <v>231</v>
      </c>
      <c r="G73" s="3">
        <v>45843</v>
      </c>
      <c r="H73" t="s">
        <v>1223</v>
      </c>
    </row>
    <row r="74" spans="1:8">
      <c r="A74" t="s">
        <v>372</v>
      </c>
      <c r="B74" t="s">
        <v>373</v>
      </c>
      <c r="C74" t="s">
        <v>89</v>
      </c>
      <c r="D74" t="s">
        <v>138</v>
      </c>
      <c r="E74" t="s">
        <v>347</v>
      </c>
      <c r="F74" t="s">
        <v>348</v>
      </c>
      <c r="G74" s="3">
        <v>45697</v>
      </c>
      <c r="H74" t="s">
        <v>1221</v>
      </c>
    </row>
    <row r="75" spans="1:8">
      <c r="A75" t="s">
        <v>812</v>
      </c>
      <c r="B75" t="s">
        <v>813</v>
      </c>
      <c r="C75" t="s">
        <v>152</v>
      </c>
      <c r="D75" t="s">
        <v>75</v>
      </c>
      <c r="E75" t="s">
        <v>273</v>
      </c>
      <c r="F75" t="s">
        <v>274</v>
      </c>
      <c r="G75" s="3">
        <v>45828</v>
      </c>
      <c r="H75" t="s">
        <v>1221</v>
      </c>
    </row>
    <row r="76" spans="1:8">
      <c r="A76" t="s">
        <v>570</v>
      </c>
      <c r="B76" t="s">
        <v>571</v>
      </c>
      <c r="C76" t="s">
        <v>152</v>
      </c>
      <c r="D76" t="s">
        <v>126</v>
      </c>
      <c r="E76" t="s">
        <v>160</v>
      </c>
      <c r="F76" t="s">
        <v>182</v>
      </c>
      <c r="G76" s="3">
        <v>44870</v>
      </c>
      <c r="H76" t="s">
        <v>1223</v>
      </c>
    </row>
    <row r="77" spans="1:8">
      <c r="A77" t="s">
        <v>616</v>
      </c>
      <c r="B77" t="s">
        <v>617</v>
      </c>
      <c r="C77" t="s">
        <v>152</v>
      </c>
      <c r="D77" t="s">
        <v>194</v>
      </c>
      <c r="E77" t="s">
        <v>230</v>
      </c>
      <c r="F77" t="s">
        <v>231</v>
      </c>
      <c r="G77" s="3">
        <v>44835</v>
      </c>
      <c r="H77" t="s">
        <v>1221</v>
      </c>
    </row>
    <row r="78" spans="1:8">
      <c r="A78" t="s">
        <v>841</v>
      </c>
      <c r="B78" t="s">
        <v>842</v>
      </c>
      <c r="C78" t="s">
        <v>74</v>
      </c>
      <c r="D78" t="s">
        <v>126</v>
      </c>
      <c r="E78" t="s">
        <v>160</v>
      </c>
      <c r="F78" t="s">
        <v>182</v>
      </c>
      <c r="G78" s="3">
        <v>45132</v>
      </c>
      <c r="H78" t="s">
        <v>1224</v>
      </c>
    </row>
    <row r="79" spans="1:8">
      <c r="A79" t="s">
        <v>297</v>
      </c>
      <c r="B79" t="s">
        <v>298</v>
      </c>
      <c r="C79" t="s">
        <v>74</v>
      </c>
      <c r="D79" t="s">
        <v>126</v>
      </c>
      <c r="E79" t="s">
        <v>291</v>
      </c>
      <c r="F79" t="s">
        <v>292</v>
      </c>
      <c r="G79" s="3">
        <v>44911</v>
      </c>
      <c r="H79" t="s">
        <v>1225</v>
      </c>
    </row>
    <row r="80" spans="1:8">
      <c r="A80" t="s">
        <v>435</v>
      </c>
      <c r="B80" t="s">
        <v>436</v>
      </c>
      <c r="C80" t="s">
        <v>89</v>
      </c>
      <c r="D80" t="s">
        <v>138</v>
      </c>
      <c r="E80" t="s">
        <v>153</v>
      </c>
      <c r="F80" t="s">
        <v>154</v>
      </c>
      <c r="G80" s="3">
        <v>45394</v>
      </c>
      <c r="H80" t="s">
        <v>1223</v>
      </c>
    </row>
    <row r="81" spans="1:8">
      <c r="A81" t="s">
        <v>649</v>
      </c>
      <c r="B81" t="s">
        <v>650</v>
      </c>
      <c r="C81" t="s">
        <v>152</v>
      </c>
      <c r="D81" t="s">
        <v>138</v>
      </c>
      <c r="E81" t="s">
        <v>186</v>
      </c>
      <c r="F81" t="s">
        <v>187</v>
      </c>
      <c r="G81" s="3">
        <v>45713</v>
      </c>
      <c r="H81" t="s">
        <v>1221</v>
      </c>
    </row>
    <row r="82" spans="1:8">
      <c r="A82" t="s">
        <v>782</v>
      </c>
      <c r="B82" t="s">
        <v>783</v>
      </c>
      <c r="C82" t="s">
        <v>152</v>
      </c>
      <c r="D82" t="s">
        <v>126</v>
      </c>
      <c r="E82" t="s">
        <v>784</v>
      </c>
      <c r="F82" t="s">
        <v>785</v>
      </c>
      <c r="G82" s="3">
        <v>45549</v>
      </c>
      <c r="H82" t="s">
        <v>1221</v>
      </c>
    </row>
    <row r="83" spans="1:8">
      <c r="A83" t="s">
        <v>456</v>
      </c>
      <c r="B83" t="s">
        <v>369</v>
      </c>
      <c r="C83" t="s">
        <v>89</v>
      </c>
      <c r="D83" t="s">
        <v>138</v>
      </c>
      <c r="E83" t="s">
        <v>457</v>
      </c>
      <c r="F83" t="s">
        <v>458</v>
      </c>
      <c r="G83" s="3">
        <v>44735</v>
      </c>
      <c r="H83" t="s">
        <v>1225</v>
      </c>
    </row>
    <row r="84" spans="1:8">
      <c r="A84" t="s">
        <v>1232</v>
      </c>
      <c r="B84" t="s">
        <v>1233</v>
      </c>
      <c r="C84" t="s">
        <v>152</v>
      </c>
      <c r="D84" t="s">
        <v>75</v>
      </c>
      <c r="E84" t="s">
        <v>212</v>
      </c>
      <c r="F84" t="s">
        <v>213</v>
      </c>
      <c r="G84" s="3">
        <v>44979</v>
      </c>
      <c r="H84" t="s">
        <v>1221</v>
      </c>
    </row>
    <row r="85" spans="1:8">
      <c r="A85" t="s">
        <v>500</v>
      </c>
      <c r="B85" t="s">
        <v>501</v>
      </c>
      <c r="C85" t="s">
        <v>152</v>
      </c>
      <c r="D85" t="s">
        <v>194</v>
      </c>
      <c r="E85" t="s">
        <v>202</v>
      </c>
      <c r="F85" t="s">
        <v>203</v>
      </c>
      <c r="G85" s="3">
        <v>44897</v>
      </c>
      <c r="H85" t="s">
        <v>1224</v>
      </c>
    </row>
    <row r="86" spans="1:8">
      <c r="A86" t="s">
        <v>150</v>
      </c>
      <c r="B86" t="s">
        <v>151</v>
      </c>
      <c r="C86" t="s">
        <v>152</v>
      </c>
      <c r="D86" t="s">
        <v>138</v>
      </c>
      <c r="E86" t="s">
        <v>153</v>
      </c>
      <c r="F86" t="s">
        <v>154</v>
      </c>
      <c r="G86" s="3">
        <v>45858</v>
      </c>
      <c r="H86" t="s">
        <v>1221</v>
      </c>
    </row>
    <row r="87" spans="1:8">
      <c r="A87" t="s">
        <v>594</v>
      </c>
      <c r="B87" t="s">
        <v>595</v>
      </c>
      <c r="C87" t="s">
        <v>74</v>
      </c>
      <c r="D87" t="s">
        <v>75</v>
      </c>
      <c r="E87" t="s">
        <v>76</v>
      </c>
      <c r="F87" t="s">
        <v>77</v>
      </c>
      <c r="G87" s="3">
        <v>44818</v>
      </c>
      <c r="H87" t="s">
        <v>1224</v>
      </c>
    </row>
    <row r="88" spans="1:8">
      <c r="A88" t="s">
        <v>124</v>
      </c>
      <c r="B88" t="s">
        <v>125</v>
      </c>
      <c r="C88" t="s">
        <v>74</v>
      </c>
      <c r="D88" t="s">
        <v>126</v>
      </c>
      <c r="E88" t="s">
        <v>127</v>
      </c>
      <c r="F88" t="s">
        <v>128</v>
      </c>
      <c r="G88" s="3">
        <v>45033</v>
      </c>
      <c r="H88" t="s">
        <v>1223</v>
      </c>
    </row>
    <row r="89" spans="1:8">
      <c r="A89" t="s">
        <v>490</v>
      </c>
      <c r="B89" t="s">
        <v>491</v>
      </c>
      <c r="C89" t="s">
        <v>152</v>
      </c>
      <c r="D89" t="s">
        <v>194</v>
      </c>
      <c r="E89" t="s">
        <v>202</v>
      </c>
      <c r="F89" t="s">
        <v>203</v>
      </c>
      <c r="G89" s="3">
        <v>44414</v>
      </c>
      <c r="H89" t="s">
        <v>1224</v>
      </c>
    </row>
    <row r="90" spans="1:8">
      <c r="A90" t="s">
        <v>441</v>
      </c>
      <c r="B90" t="s">
        <v>442</v>
      </c>
      <c r="C90" t="s">
        <v>89</v>
      </c>
      <c r="D90" t="s">
        <v>194</v>
      </c>
      <c r="E90" t="s">
        <v>202</v>
      </c>
      <c r="F90" t="s">
        <v>203</v>
      </c>
      <c r="G90" s="3">
        <v>45142</v>
      </c>
      <c r="H90" t="s">
        <v>1223</v>
      </c>
    </row>
    <row r="91" spans="1:8">
      <c r="A91" t="s">
        <v>315</v>
      </c>
      <c r="B91" t="s">
        <v>316</v>
      </c>
      <c r="C91" t="s">
        <v>89</v>
      </c>
      <c r="D91" t="s">
        <v>75</v>
      </c>
      <c r="E91" t="s">
        <v>273</v>
      </c>
      <c r="F91" t="s">
        <v>274</v>
      </c>
      <c r="G91" s="3">
        <v>45787</v>
      </c>
      <c r="H91" t="s">
        <v>1225</v>
      </c>
    </row>
    <row r="92" spans="1:8">
      <c r="A92" t="s">
        <v>576</v>
      </c>
      <c r="B92" t="s">
        <v>577</v>
      </c>
      <c r="C92" t="s">
        <v>89</v>
      </c>
      <c r="D92" t="s">
        <v>126</v>
      </c>
      <c r="E92" t="s">
        <v>291</v>
      </c>
      <c r="F92" t="s">
        <v>292</v>
      </c>
      <c r="G92" s="3">
        <v>44876</v>
      </c>
      <c r="H92" t="s">
        <v>1225</v>
      </c>
    </row>
    <row r="93" spans="1:8">
      <c r="A93" t="s">
        <v>238</v>
      </c>
      <c r="B93" t="s">
        <v>239</v>
      </c>
      <c r="C93" t="s">
        <v>89</v>
      </c>
      <c r="D93" t="s">
        <v>194</v>
      </c>
      <c r="E93" t="s">
        <v>240</v>
      </c>
      <c r="F93" t="s">
        <v>241</v>
      </c>
      <c r="G93" s="3">
        <v>45751</v>
      </c>
      <c r="H93" t="s">
        <v>1225</v>
      </c>
    </row>
    <row r="94" spans="1:8">
      <c r="A94" t="s">
        <v>253</v>
      </c>
      <c r="B94" t="s">
        <v>167</v>
      </c>
      <c r="C94" t="s">
        <v>152</v>
      </c>
      <c r="D94" t="s">
        <v>75</v>
      </c>
      <c r="E94" t="s">
        <v>212</v>
      </c>
      <c r="F94" t="s">
        <v>213</v>
      </c>
      <c r="G94" s="3">
        <v>45243</v>
      </c>
      <c r="H94" t="s">
        <v>1223</v>
      </c>
    </row>
    <row r="95" spans="1:8">
      <c r="A95" t="s">
        <v>748</v>
      </c>
      <c r="B95" t="s">
        <v>749</v>
      </c>
      <c r="C95" t="s">
        <v>152</v>
      </c>
      <c r="D95" t="s">
        <v>138</v>
      </c>
      <c r="E95" t="s">
        <v>153</v>
      </c>
      <c r="F95" t="s">
        <v>154</v>
      </c>
      <c r="G95" s="3">
        <v>45599</v>
      </c>
      <c r="H95" t="s">
        <v>1221</v>
      </c>
    </row>
    <row r="96" spans="1:8">
      <c r="A96" t="s">
        <v>350</v>
      </c>
      <c r="B96" t="s">
        <v>351</v>
      </c>
      <c r="C96" t="s">
        <v>152</v>
      </c>
      <c r="D96" t="s">
        <v>126</v>
      </c>
      <c r="E96" t="s">
        <v>160</v>
      </c>
      <c r="F96" t="s">
        <v>182</v>
      </c>
      <c r="G96" s="3">
        <v>45115</v>
      </c>
      <c r="H96" t="s">
        <v>1225</v>
      </c>
    </row>
    <row r="97" spans="1:8">
      <c r="A97" t="s">
        <v>72</v>
      </c>
      <c r="B97" t="s">
        <v>73</v>
      </c>
      <c r="C97" t="s">
        <v>74</v>
      </c>
      <c r="D97" t="s">
        <v>75</v>
      </c>
      <c r="E97" t="s">
        <v>76</v>
      </c>
      <c r="F97" t="s">
        <v>77</v>
      </c>
      <c r="G97" s="3">
        <v>45999</v>
      </c>
      <c r="H97" t="s">
        <v>1223</v>
      </c>
    </row>
    <row r="98" spans="1:8">
      <c r="A98" t="s">
        <v>384</v>
      </c>
      <c r="B98" t="s">
        <v>385</v>
      </c>
      <c r="C98" t="s">
        <v>74</v>
      </c>
      <c r="D98" t="s">
        <v>126</v>
      </c>
      <c r="E98" t="s">
        <v>291</v>
      </c>
      <c r="F98" t="s">
        <v>292</v>
      </c>
      <c r="G98" s="3">
        <v>45870</v>
      </c>
      <c r="H98" t="s">
        <v>1223</v>
      </c>
    </row>
    <row r="99" spans="1:8">
      <c r="A99" t="s">
        <v>873</v>
      </c>
      <c r="B99" t="s">
        <v>874</v>
      </c>
      <c r="C99" t="s">
        <v>152</v>
      </c>
      <c r="D99" t="s">
        <v>194</v>
      </c>
      <c r="E99" t="s">
        <v>225</v>
      </c>
      <c r="F99" t="s">
        <v>226</v>
      </c>
      <c r="G99" s="3">
        <v>45403</v>
      </c>
      <c r="H99" t="s">
        <v>1225</v>
      </c>
    </row>
    <row r="100" spans="1:8">
      <c r="A100" t="s">
        <v>478</v>
      </c>
      <c r="B100" t="s">
        <v>479</v>
      </c>
      <c r="C100" t="s">
        <v>74</v>
      </c>
      <c r="D100" t="s">
        <v>194</v>
      </c>
      <c r="E100" t="s">
        <v>240</v>
      </c>
      <c r="F100" t="s">
        <v>241</v>
      </c>
      <c r="G100" s="3">
        <v>45756</v>
      </c>
      <c r="H100" t="s">
        <v>1224</v>
      </c>
    </row>
    <row r="101" spans="1:8">
      <c r="A101" t="s">
        <v>289</v>
      </c>
      <c r="B101" t="s">
        <v>290</v>
      </c>
      <c r="C101" t="s">
        <v>74</v>
      </c>
      <c r="D101" t="s">
        <v>126</v>
      </c>
      <c r="E101" t="s">
        <v>291</v>
      </c>
      <c r="F101" t="s">
        <v>292</v>
      </c>
      <c r="G101" s="3">
        <v>44734</v>
      </c>
      <c r="H101" t="s">
        <v>1223</v>
      </c>
    </row>
    <row r="102" spans="1:8">
      <c r="A102" t="s">
        <v>849</v>
      </c>
      <c r="B102" t="s">
        <v>137</v>
      </c>
      <c r="C102" t="s">
        <v>152</v>
      </c>
      <c r="D102" t="s">
        <v>126</v>
      </c>
      <c r="E102" t="s">
        <v>160</v>
      </c>
      <c r="F102" t="s">
        <v>161</v>
      </c>
      <c r="G102" s="3">
        <v>45677</v>
      </c>
      <c r="H102" t="s">
        <v>1224</v>
      </c>
    </row>
    <row r="103" spans="1:8">
      <c r="A103" t="s">
        <v>1066</v>
      </c>
      <c r="B103" t="s">
        <v>1067</v>
      </c>
      <c r="C103" t="s">
        <v>152</v>
      </c>
      <c r="D103" t="s">
        <v>75</v>
      </c>
      <c r="E103" t="s">
        <v>98</v>
      </c>
      <c r="F103" t="s">
        <v>99</v>
      </c>
      <c r="G103" s="3">
        <v>44202</v>
      </c>
      <c r="H103" t="s">
        <v>1225</v>
      </c>
    </row>
    <row r="104" spans="1:8">
      <c r="A104" t="s">
        <v>268</v>
      </c>
      <c r="B104" t="s">
        <v>269</v>
      </c>
      <c r="C104" t="s">
        <v>74</v>
      </c>
      <c r="D104" t="s">
        <v>75</v>
      </c>
      <c r="E104" t="s">
        <v>212</v>
      </c>
      <c r="F104" t="s">
        <v>213</v>
      </c>
      <c r="G104" s="3">
        <v>44480</v>
      </c>
      <c r="H104" t="s">
        <v>1225</v>
      </c>
    </row>
    <row r="105" spans="1:8">
      <c r="A105" t="s">
        <v>136</v>
      </c>
      <c r="B105" t="s">
        <v>137</v>
      </c>
      <c r="C105" t="s">
        <v>74</v>
      </c>
      <c r="D105" t="s">
        <v>138</v>
      </c>
      <c r="E105" t="s">
        <v>139</v>
      </c>
      <c r="F105" t="s">
        <v>140</v>
      </c>
      <c r="G105" s="3">
        <v>45236</v>
      </c>
      <c r="H105" t="s">
        <v>1223</v>
      </c>
    </row>
    <row r="106" spans="1:8">
      <c r="A106" t="s">
        <v>627</v>
      </c>
      <c r="B106" t="s">
        <v>542</v>
      </c>
      <c r="C106" t="s">
        <v>152</v>
      </c>
      <c r="D106" t="s">
        <v>194</v>
      </c>
      <c r="E106" t="s">
        <v>240</v>
      </c>
      <c r="F106" t="s">
        <v>241</v>
      </c>
      <c r="G106" s="3">
        <v>44610</v>
      </c>
      <c r="H106" t="s">
        <v>1224</v>
      </c>
    </row>
    <row r="107" spans="1:8">
      <c r="A107" t="s">
        <v>474</v>
      </c>
      <c r="B107" t="s">
        <v>475</v>
      </c>
      <c r="C107" t="s">
        <v>74</v>
      </c>
      <c r="D107" t="s">
        <v>138</v>
      </c>
      <c r="E107" t="s">
        <v>153</v>
      </c>
      <c r="F107" t="s">
        <v>154</v>
      </c>
      <c r="G107" s="3">
        <v>45020</v>
      </c>
      <c r="H107" t="s">
        <v>1221</v>
      </c>
    </row>
    <row r="108" spans="1:8">
      <c r="A108" t="s">
        <v>381</v>
      </c>
      <c r="B108" t="s">
        <v>382</v>
      </c>
      <c r="C108" t="s">
        <v>152</v>
      </c>
      <c r="D108" t="s">
        <v>194</v>
      </c>
      <c r="E108" t="s">
        <v>202</v>
      </c>
      <c r="F108" t="s">
        <v>203</v>
      </c>
      <c r="G108" s="3">
        <v>45919</v>
      </c>
      <c r="H108" t="s">
        <v>1224</v>
      </c>
    </row>
    <row r="109" spans="1:8">
      <c r="A109" t="s">
        <v>1109</v>
      </c>
      <c r="B109" t="s">
        <v>1110</v>
      </c>
      <c r="C109" t="s">
        <v>74</v>
      </c>
      <c r="D109" t="s">
        <v>75</v>
      </c>
      <c r="E109" t="s">
        <v>212</v>
      </c>
      <c r="F109" t="s">
        <v>213</v>
      </c>
      <c r="G109" s="3">
        <v>45811</v>
      </c>
      <c r="H109" t="s">
        <v>1223</v>
      </c>
    </row>
    <row r="110" spans="1:8">
      <c r="A110" t="s">
        <v>692</v>
      </c>
      <c r="B110" t="s">
        <v>193</v>
      </c>
      <c r="C110" t="s">
        <v>74</v>
      </c>
      <c r="D110" t="s">
        <v>194</v>
      </c>
      <c r="E110" t="s">
        <v>202</v>
      </c>
      <c r="F110" t="s">
        <v>203</v>
      </c>
      <c r="G110" s="3">
        <v>45516</v>
      </c>
      <c r="H110" t="s">
        <v>1225</v>
      </c>
    </row>
    <row r="111" spans="1:8">
      <c r="A111" t="s">
        <v>876</v>
      </c>
      <c r="B111" t="s">
        <v>877</v>
      </c>
      <c r="C111" t="s">
        <v>74</v>
      </c>
      <c r="D111" t="s">
        <v>138</v>
      </c>
      <c r="E111" t="s">
        <v>153</v>
      </c>
      <c r="F111" t="s">
        <v>154</v>
      </c>
      <c r="G111" s="3">
        <v>45704</v>
      </c>
      <c r="H111" t="s">
        <v>1223</v>
      </c>
    </row>
    <row r="112" spans="1:8">
      <c r="A112" t="s">
        <v>537</v>
      </c>
      <c r="B112" t="s">
        <v>538</v>
      </c>
      <c r="C112" t="s">
        <v>74</v>
      </c>
      <c r="D112" t="s">
        <v>138</v>
      </c>
      <c r="E112" t="s">
        <v>139</v>
      </c>
      <c r="F112" t="s">
        <v>140</v>
      </c>
      <c r="G112" s="3">
        <v>45902</v>
      </c>
      <c r="H112" t="s">
        <v>1224</v>
      </c>
    </row>
    <row r="113" spans="1:8">
      <c r="A113" t="s">
        <v>508</v>
      </c>
      <c r="B113" t="s">
        <v>509</v>
      </c>
      <c r="C113" t="s">
        <v>74</v>
      </c>
      <c r="D113" t="s">
        <v>75</v>
      </c>
      <c r="E113" t="s">
        <v>76</v>
      </c>
      <c r="F113" t="s">
        <v>77</v>
      </c>
      <c r="G113" s="3">
        <v>44820</v>
      </c>
      <c r="H113" t="s">
        <v>1221</v>
      </c>
    </row>
    <row r="114" spans="1:8">
      <c r="A114" t="s">
        <v>677</v>
      </c>
      <c r="B114" t="s">
        <v>678</v>
      </c>
      <c r="C114" t="s">
        <v>152</v>
      </c>
      <c r="D114" t="s">
        <v>138</v>
      </c>
      <c r="E114" t="s">
        <v>347</v>
      </c>
      <c r="F114" t="s">
        <v>348</v>
      </c>
      <c r="G114" s="3">
        <v>44219</v>
      </c>
      <c r="H114" t="s">
        <v>1221</v>
      </c>
    </row>
    <row r="115" spans="1:8">
      <c r="A115" t="s">
        <v>720</v>
      </c>
      <c r="B115" t="s">
        <v>721</v>
      </c>
      <c r="C115" t="s">
        <v>89</v>
      </c>
      <c r="D115" t="s">
        <v>75</v>
      </c>
      <c r="E115" t="s">
        <v>212</v>
      </c>
      <c r="F115" t="s">
        <v>213</v>
      </c>
      <c r="G115" s="3">
        <v>44538</v>
      </c>
      <c r="H115" t="s">
        <v>1224</v>
      </c>
    </row>
    <row r="116" spans="1:8">
      <c r="A116" t="s">
        <v>591</v>
      </c>
      <c r="B116" t="s">
        <v>592</v>
      </c>
      <c r="C116" t="s">
        <v>74</v>
      </c>
      <c r="D116" t="s">
        <v>126</v>
      </c>
      <c r="E116" t="s">
        <v>160</v>
      </c>
      <c r="F116" t="s">
        <v>161</v>
      </c>
      <c r="G116" s="3">
        <v>44938</v>
      </c>
      <c r="H116" t="s">
        <v>1225</v>
      </c>
    </row>
    <row r="117" spans="1:8">
      <c r="A117" t="s">
        <v>192</v>
      </c>
      <c r="B117" t="s">
        <v>193</v>
      </c>
      <c r="C117" t="s">
        <v>89</v>
      </c>
      <c r="D117" t="s">
        <v>194</v>
      </c>
      <c r="E117" t="s">
        <v>195</v>
      </c>
      <c r="F117" t="s">
        <v>196</v>
      </c>
      <c r="G117" s="3">
        <v>44447</v>
      </c>
      <c r="H117" t="s">
        <v>1225</v>
      </c>
    </row>
    <row r="118" spans="1:8">
      <c r="A118" t="s">
        <v>460</v>
      </c>
      <c r="B118" t="s">
        <v>461</v>
      </c>
      <c r="C118" t="s">
        <v>74</v>
      </c>
      <c r="D118" t="s">
        <v>75</v>
      </c>
      <c r="E118" t="s">
        <v>273</v>
      </c>
      <c r="F118" t="s">
        <v>274</v>
      </c>
      <c r="G118" s="3">
        <v>45647</v>
      </c>
      <c r="H118" t="s">
        <v>1224</v>
      </c>
    </row>
    <row r="119" spans="1:8">
      <c r="A119" t="s">
        <v>392</v>
      </c>
      <c r="B119" t="s">
        <v>393</v>
      </c>
      <c r="C119" t="s">
        <v>74</v>
      </c>
      <c r="D119" t="s">
        <v>126</v>
      </c>
      <c r="E119" t="s">
        <v>160</v>
      </c>
      <c r="F119" t="s">
        <v>161</v>
      </c>
      <c r="G119" s="3">
        <v>44236</v>
      </c>
      <c r="H119" t="s">
        <v>1224</v>
      </c>
    </row>
    <row r="120" spans="1:8">
      <c r="A120" t="s">
        <v>533</v>
      </c>
      <c r="B120" t="s">
        <v>534</v>
      </c>
      <c r="C120" t="s">
        <v>152</v>
      </c>
      <c r="D120" t="s">
        <v>75</v>
      </c>
      <c r="E120" t="s">
        <v>76</v>
      </c>
      <c r="F120" t="s">
        <v>77</v>
      </c>
      <c r="G120" s="3">
        <v>45680</v>
      </c>
      <c r="H120" t="s">
        <v>1224</v>
      </c>
    </row>
    <row r="121" spans="1:8">
      <c r="A121" t="s">
        <v>497</v>
      </c>
      <c r="B121" t="s">
        <v>498</v>
      </c>
      <c r="C121" t="s">
        <v>89</v>
      </c>
      <c r="D121" t="s">
        <v>126</v>
      </c>
      <c r="E121" t="s">
        <v>291</v>
      </c>
      <c r="F121" t="s">
        <v>292</v>
      </c>
      <c r="G121" s="3">
        <v>45384</v>
      </c>
      <c r="H121" t="s">
        <v>1225</v>
      </c>
    </row>
    <row r="122" spans="1:8">
      <c r="A122" t="s">
        <v>205</v>
      </c>
      <c r="B122" t="s">
        <v>206</v>
      </c>
      <c r="C122" t="s">
        <v>74</v>
      </c>
      <c r="D122" t="s">
        <v>194</v>
      </c>
      <c r="E122" t="s">
        <v>202</v>
      </c>
      <c r="F122" t="s">
        <v>203</v>
      </c>
      <c r="G122" s="3">
        <v>45725</v>
      </c>
      <c r="H122" t="s">
        <v>1223</v>
      </c>
    </row>
    <row r="123" spans="1:8">
      <c r="A123" t="s">
        <v>389</v>
      </c>
      <c r="B123" t="s">
        <v>390</v>
      </c>
      <c r="C123" t="s">
        <v>89</v>
      </c>
      <c r="D123" t="s">
        <v>138</v>
      </c>
      <c r="E123" t="s">
        <v>186</v>
      </c>
      <c r="F123" t="s">
        <v>187</v>
      </c>
      <c r="G123" s="3">
        <v>45493</v>
      </c>
      <c r="H123" t="s">
        <v>1225</v>
      </c>
    </row>
    <row r="124" spans="1:8">
      <c r="A124" t="s">
        <v>451</v>
      </c>
      <c r="B124" t="s">
        <v>452</v>
      </c>
      <c r="C124" t="s">
        <v>89</v>
      </c>
      <c r="D124" t="s">
        <v>126</v>
      </c>
      <c r="E124" t="s">
        <v>160</v>
      </c>
      <c r="F124" t="s">
        <v>161</v>
      </c>
      <c r="G124" s="3">
        <v>45495</v>
      </c>
      <c r="H124" t="s">
        <v>1223</v>
      </c>
    </row>
    <row r="125" spans="1:8">
      <c r="A125" t="s">
        <v>757</v>
      </c>
      <c r="B125" t="s">
        <v>218</v>
      </c>
      <c r="C125" t="s">
        <v>74</v>
      </c>
      <c r="D125" t="s">
        <v>138</v>
      </c>
      <c r="E125" t="s">
        <v>457</v>
      </c>
      <c r="F125" t="s">
        <v>458</v>
      </c>
      <c r="G125" s="3">
        <v>45630</v>
      </c>
      <c r="H125" t="s">
        <v>1224</v>
      </c>
    </row>
    <row r="126" spans="1:8">
      <c r="A126" t="s">
        <v>586</v>
      </c>
      <c r="B126" t="s">
        <v>587</v>
      </c>
      <c r="C126" t="s">
        <v>89</v>
      </c>
      <c r="D126" t="s">
        <v>138</v>
      </c>
      <c r="E126" t="s">
        <v>139</v>
      </c>
      <c r="F126" t="s">
        <v>140</v>
      </c>
      <c r="G126" s="3">
        <v>45201</v>
      </c>
      <c r="H126" t="s">
        <v>1223</v>
      </c>
    </row>
    <row r="127" spans="1:8">
      <c r="A127" t="s">
        <v>487</v>
      </c>
      <c r="B127" t="s">
        <v>470</v>
      </c>
      <c r="C127" t="s">
        <v>152</v>
      </c>
      <c r="D127" t="s">
        <v>75</v>
      </c>
      <c r="E127" t="s">
        <v>98</v>
      </c>
      <c r="F127" t="s">
        <v>99</v>
      </c>
      <c r="G127" s="3">
        <v>44199</v>
      </c>
      <c r="H127" t="s">
        <v>1224</v>
      </c>
    </row>
    <row r="128" spans="1:8">
      <c r="A128" t="s">
        <v>646</v>
      </c>
      <c r="B128" t="s">
        <v>647</v>
      </c>
      <c r="C128" t="s">
        <v>89</v>
      </c>
      <c r="D128" t="s">
        <v>126</v>
      </c>
      <c r="E128" t="s">
        <v>127</v>
      </c>
      <c r="F128" t="s">
        <v>128</v>
      </c>
      <c r="G128" s="3">
        <v>44201</v>
      </c>
      <c r="H128" t="s">
        <v>1225</v>
      </c>
    </row>
    <row r="129" spans="1:8">
      <c r="A129" t="s">
        <v>598</v>
      </c>
      <c r="B129" t="s">
        <v>599</v>
      </c>
      <c r="C129" t="s">
        <v>89</v>
      </c>
      <c r="D129" t="s">
        <v>138</v>
      </c>
      <c r="E129" t="s">
        <v>457</v>
      </c>
      <c r="F129" t="s">
        <v>458</v>
      </c>
      <c r="G129" s="3">
        <v>45908</v>
      </c>
      <c r="H129" t="s">
        <v>1221</v>
      </c>
    </row>
    <row r="130" spans="1:8">
      <c r="A130" t="s">
        <v>913</v>
      </c>
      <c r="B130" t="s">
        <v>914</v>
      </c>
      <c r="C130" t="s">
        <v>74</v>
      </c>
      <c r="D130" t="s">
        <v>138</v>
      </c>
      <c r="E130" t="s">
        <v>153</v>
      </c>
      <c r="F130" t="s">
        <v>154</v>
      </c>
      <c r="G130" s="3">
        <v>45217</v>
      </c>
      <c r="H130" t="s">
        <v>1224</v>
      </c>
    </row>
    <row r="131" spans="1:8">
      <c r="A131" t="s">
        <v>173</v>
      </c>
      <c r="B131" t="s">
        <v>174</v>
      </c>
      <c r="C131" t="s">
        <v>89</v>
      </c>
      <c r="D131" t="s">
        <v>126</v>
      </c>
      <c r="E131" t="s">
        <v>127</v>
      </c>
      <c r="F131" t="s">
        <v>128</v>
      </c>
      <c r="G131" s="3">
        <v>44543</v>
      </c>
      <c r="H131" t="s">
        <v>1224</v>
      </c>
    </row>
    <row r="132" spans="1:8">
      <c r="A132" t="s">
        <v>694</v>
      </c>
      <c r="B132" t="s">
        <v>695</v>
      </c>
      <c r="C132" t="s">
        <v>89</v>
      </c>
      <c r="D132" t="s">
        <v>194</v>
      </c>
      <c r="E132" t="s">
        <v>225</v>
      </c>
      <c r="F132" t="s">
        <v>226</v>
      </c>
      <c r="G132" s="3">
        <v>45642</v>
      </c>
      <c r="H132" t="s">
        <v>1223</v>
      </c>
    </row>
    <row r="133" spans="1:8">
      <c r="A133" t="s">
        <v>514</v>
      </c>
      <c r="B133" t="s">
        <v>515</v>
      </c>
      <c r="C133" t="s">
        <v>74</v>
      </c>
      <c r="D133" t="s">
        <v>75</v>
      </c>
      <c r="E133" t="s">
        <v>212</v>
      </c>
      <c r="F133" t="s">
        <v>213</v>
      </c>
      <c r="G133" s="3">
        <v>44271</v>
      </c>
      <c r="H133" t="s">
        <v>1223</v>
      </c>
    </row>
    <row r="134" spans="1:8">
      <c r="A134" t="s">
        <v>485</v>
      </c>
      <c r="B134" t="s">
        <v>193</v>
      </c>
      <c r="C134" t="s">
        <v>74</v>
      </c>
      <c r="D134" t="s">
        <v>138</v>
      </c>
      <c r="E134" t="s">
        <v>153</v>
      </c>
      <c r="F134" t="s">
        <v>154</v>
      </c>
      <c r="G134" s="3">
        <v>46010</v>
      </c>
      <c r="H134" t="s">
        <v>1224</v>
      </c>
    </row>
    <row r="135" spans="1:8">
      <c r="A135" t="s">
        <v>698</v>
      </c>
      <c r="B135" t="s">
        <v>699</v>
      </c>
      <c r="C135" t="s">
        <v>74</v>
      </c>
      <c r="D135" t="s">
        <v>138</v>
      </c>
      <c r="E135" t="s">
        <v>457</v>
      </c>
      <c r="F135" t="s">
        <v>458</v>
      </c>
      <c r="G135" s="3">
        <v>45631</v>
      </c>
      <c r="H135" t="s">
        <v>1225</v>
      </c>
    </row>
    <row r="136" spans="1:8">
      <c r="A136" t="s">
        <v>504</v>
      </c>
      <c r="B136" t="s">
        <v>505</v>
      </c>
      <c r="C136" t="s">
        <v>74</v>
      </c>
      <c r="D136" t="s">
        <v>126</v>
      </c>
      <c r="E136" t="s">
        <v>160</v>
      </c>
      <c r="F136" t="s">
        <v>161</v>
      </c>
      <c r="G136" s="3">
        <v>44699</v>
      </c>
      <c r="H136" t="s">
        <v>1225</v>
      </c>
    </row>
    <row r="137" spans="1:8">
      <c r="A137" t="s">
        <v>659</v>
      </c>
      <c r="B137" t="s">
        <v>660</v>
      </c>
      <c r="C137" t="s">
        <v>74</v>
      </c>
      <c r="D137" t="s">
        <v>126</v>
      </c>
      <c r="E137" t="s">
        <v>291</v>
      </c>
      <c r="F137" t="s">
        <v>292</v>
      </c>
      <c r="G137" s="3">
        <v>45255</v>
      </c>
      <c r="H137" t="s">
        <v>1225</v>
      </c>
    </row>
    <row r="138" spans="1:8">
      <c r="A138" t="s">
        <v>357</v>
      </c>
      <c r="B138" t="s">
        <v>358</v>
      </c>
      <c r="C138" t="s">
        <v>74</v>
      </c>
      <c r="D138" t="s">
        <v>75</v>
      </c>
      <c r="E138" t="s">
        <v>98</v>
      </c>
      <c r="F138" t="s">
        <v>99</v>
      </c>
      <c r="G138" s="3">
        <v>44916</v>
      </c>
      <c r="H138" t="s">
        <v>1225</v>
      </c>
    </row>
    <row r="139" spans="1:8">
      <c r="A139" t="s">
        <v>345</v>
      </c>
      <c r="B139" t="s">
        <v>346</v>
      </c>
      <c r="C139" t="s">
        <v>89</v>
      </c>
      <c r="D139" t="s">
        <v>138</v>
      </c>
      <c r="E139" t="s">
        <v>347</v>
      </c>
      <c r="F139" t="s">
        <v>348</v>
      </c>
      <c r="G139" s="3">
        <v>45997</v>
      </c>
      <c r="H139" t="s">
        <v>1224</v>
      </c>
    </row>
    <row r="140" spans="1:8">
      <c r="A140" t="s">
        <v>223</v>
      </c>
      <c r="B140" t="s">
        <v>224</v>
      </c>
      <c r="C140" t="s">
        <v>152</v>
      </c>
      <c r="D140" t="s">
        <v>194</v>
      </c>
      <c r="E140" t="s">
        <v>225</v>
      </c>
      <c r="F140" t="s">
        <v>226</v>
      </c>
      <c r="G140" s="3">
        <v>45171</v>
      </c>
      <c r="H140" t="s">
        <v>1221</v>
      </c>
    </row>
    <row r="141" spans="1:8">
      <c r="A141" t="s">
        <v>335</v>
      </c>
      <c r="B141" t="s">
        <v>336</v>
      </c>
      <c r="C141" t="s">
        <v>74</v>
      </c>
      <c r="D141" t="s">
        <v>126</v>
      </c>
      <c r="E141" t="s">
        <v>291</v>
      </c>
      <c r="F141" t="s">
        <v>292</v>
      </c>
      <c r="G141" s="3">
        <v>44764</v>
      </c>
      <c r="H141" t="s">
        <v>1225</v>
      </c>
    </row>
    <row r="142" spans="1:8">
      <c r="A142" t="s">
        <v>767</v>
      </c>
      <c r="B142" t="s">
        <v>617</v>
      </c>
      <c r="C142" t="s">
        <v>74</v>
      </c>
      <c r="D142" t="s">
        <v>138</v>
      </c>
      <c r="E142" t="s">
        <v>457</v>
      </c>
      <c r="F142" t="s">
        <v>458</v>
      </c>
      <c r="G142" s="3">
        <v>45269</v>
      </c>
      <c r="H142" t="s">
        <v>1221</v>
      </c>
    </row>
    <row r="143" spans="1:8">
      <c r="A143" t="s">
        <v>856</v>
      </c>
      <c r="B143" t="s">
        <v>857</v>
      </c>
      <c r="C143" t="s">
        <v>74</v>
      </c>
      <c r="D143" t="s">
        <v>75</v>
      </c>
      <c r="E143" t="s">
        <v>273</v>
      </c>
      <c r="F143" t="s">
        <v>274</v>
      </c>
      <c r="G143" s="3">
        <v>45454</v>
      </c>
      <c r="H143" t="s">
        <v>1221</v>
      </c>
    </row>
    <row r="144" spans="1:8">
      <c r="A144" t="s">
        <v>353</v>
      </c>
      <c r="B144" t="s">
        <v>354</v>
      </c>
      <c r="C144" t="s">
        <v>74</v>
      </c>
      <c r="D144" t="s">
        <v>126</v>
      </c>
      <c r="E144" t="s">
        <v>160</v>
      </c>
      <c r="F144" t="s">
        <v>182</v>
      </c>
      <c r="G144" s="3">
        <v>44241</v>
      </c>
      <c r="H144" t="s">
        <v>1225</v>
      </c>
    </row>
    <row r="145" spans="1:8">
      <c r="A145" t="s">
        <v>469</v>
      </c>
      <c r="B145" t="s">
        <v>470</v>
      </c>
      <c r="C145" t="s">
        <v>89</v>
      </c>
      <c r="D145" t="s">
        <v>138</v>
      </c>
      <c r="E145" t="s">
        <v>186</v>
      </c>
      <c r="F145" t="s">
        <v>187</v>
      </c>
      <c r="G145" s="3">
        <v>45102</v>
      </c>
      <c r="H145" t="s">
        <v>1221</v>
      </c>
    </row>
    <row r="146" spans="1:8">
      <c r="A146" t="s">
        <v>760</v>
      </c>
      <c r="B146" t="s">
        <v>761</v>
      </c>
      <c r="C146" t="s">
        <v>89</v>
      </c>
      <c r="D146" t="s">
        <v>194</v>
      </c>
      <c r="E146" t="s">
        <v>230</v>
      </c>
      <c r="F146" t="s">
        <v>231</v>
      </c>
      <c r="G146" s="3">
        <v>45555</v>
      </c>
      <c r="H146" t="s">
        <v>1221</v>
      </c>
    </row>
    <row r="147" spans="1:8">
      <c r="A147" t="s">
        <v>1195</v>
      </c>
      <c r="B147" t="s">
        <v>1196</v>
      </c>
      <c r="C147" t="s">
        <v>89</v>
      </c>
      <c r="D147" t="s">
        <v>126</v>
      </c>
      <c r="E147" t="s">
        <v>784</v>
      </c>
      <c r="F147" t="s">
        <v>785</v>
      </c>
      <c r="G147" s="3">
        <v>44755</v>
      </c>
      <c r="H147" t="s">
        <v>1223</v>
      </c>
    </row>
    <row r="148" spans="1:8">
      <c r="A148" t="s">
        <v>416</v>
      </c>
      <c r="B148" t="s">
        <v>417</v>
      </c>
      <c r="C148" t="s">
        <v>89</v>
      </c>
      <c r="D148" t="s">
        <v>138</v>
      </c>
      <c r="E148" t="s">
        <v>186</v>
      </c>
      <c r="F148" t="s">
        <v>187</v>
      </c>
      <c r="G148" s="3">
        <v>44845</v>
      </c>
      <c r="H148" t="s">
        <v>1223</v>
      </c>
    </row>
    <row r="149" spans="1:8">
      <c r="A149" t="s">
        <v>368</v>
      </c>
      <c r="B149" t="s">
        <v>369</v>
      </c>
      <c r="C149" t="s">
        <v>89</v>
      </c>
      <c r="D149" t="s">
        <v>194</v>
      </c>
      <c r="E149" t="s">
        <v>240</v>
      </c>
      <c r="F149" t="s">
        <v>241</v>
      </c>
      <c r="G149" s="3">
        <v>45670</v>
      </c>
      <c r="H149" t="s">
        <v>1221</v>
      </c>
    </row>
    <row r="150" spans="1:8">
      <c r="A150" t="s">
        <v>634</v>
      </c>
      <c r="B150" t="s">
        <v>635</v>
      </c>
      <c r="C150" t="s">
        <v>152</v>
      </c>
      <c r="D150" t="s">
        <v>138</v>
      </c>
      <c r="E150" t="s">
        <v>457</v>
      </c>
      <c r="F150" t="s">
        <v>458</v>
      </c>
      <c r="G150" s="3">
        <v>45156</v>
      </c>
      <c r="H150" t="s">
        <v>1225</v>
      </c>
    </row>
    <row r="151" spans="1:8">
      <c r="A151" t="s">
        <v>467</v>
      </c>
      <c r="B151" t="s">
        <v>363</v>
      </c>
      <c r="C151" t="s">
        <v>152</v>
      </c>
      <c r="D151" t="s">
        <v>75</v>
      </c>
      <c r="E151" t="s">
        <v>76</v>
      </c>
      <c r="F151" t="s">
        <v>77</v>
      </c>
      <c r="G151" s="3">
        <v>44698</v>
      </c>
      <c r="H151" t="s">
        <v>1223</v>
      </c>
    </row>
    <row r="152" spans="1:8">
      <c r="A152" t="s">
        <v>217</v>
      </c>
      <c r="B152" t="s">
        <v>218</v>
      </c>
      <c r="C152" t="s">
        <v>89</v>
      </c>
      <c r="D152" t="s">
        <v>75</v>
      </c>
      <c r="E152" t="s">
        <v>98</v>
      </c>
      <c r="F152" t="s">
        <v>99</v>
      </c>
      <c r="G152" s="3">
        <v>45419</v>
      </c>
      <c r="H152" t="s">
        <v>1225</v>
      </c>
    </row>
    <row r="153" spans="1:8">
      <c r="A153" t="s">
        <v>325</v>
      </c>
      <c r="B153" t="s">
        <v>326</v>
      </c>
      <c r="C153" t="s">
        <v>74</v>
      </c>
      <c r="D153" t="s">
        <v>75</v>
      </c>
      <c r="E153" t="s">
        <v>273</v>
      </c>
      <c r="F153" t="s">
        <v>274</v>
      </c>
      <c r="G153" s="3">
        <v>44795</v>
      </c>
      <c r="H153" t="s">
        <v>1225</v>
      </c>
    </row>
    <row r="154" spans="1:8">
      <c r="A154" t="s">
        <v>400</v>
      </c>
      <c r="B154" t="s">
        <v>316</v>
      </c>
      <c r="C154" t="s">
        <v>152</v>
      </c>
      <c r="D154" t="s">
        <v>75</v>
      </c>
      <c r="E154" t="s">
        <v>273</v>
      </c>
      <c r="F154" t="s">
        <v>274</v>
      </c>
      <c r="G154" s="3">
        <v>44279</v>
      </c>
      <c r="H154" t="s">
        <v>1224</v>
      </c>
    </row>
    <row r="155" spans="1:8">
      <c r="A155" t="s">
        <v>145</v>
      </c>
      <c r="B155" t="s">
        <v>146</v>
      </c>
      <c r="C155" t="s">
        <v>74</v>
      </c>
      <c r="D155" t="s">
        <v>75</v>
      </c>
      <c r="E155" t="s">
        <v>116</v>
      </c>
      <c r="F155" t="s">
        <v>117</v>
      </c>
      <c r="G155" s="3">
        <v>44668</v>
      </c>
      <c r="H155" t="s">
        <v>1221</v>
      </c>
    </row>
    <row r="156" spans="1:8">
      <c r="A156" t="s">
        <v>712</v>
      </c>
      <c r="B156" t="s">
        <v>515</v>
      </c>
      <c r="C156" t="s">
        <v>152</v>
      </c>
      <c r="D156" t="s">
        <v>138</v>
      </c>
      <c r="E156" t="s">
        <v>153</v>
      </c>
      <c r="F156" t="s">
        <v>154</v>
      </c>
      <c r="G156" s="3">
        <v>45527</v>
      </c>
      <c r="H156" t="s">
        <v>1224</v>
      </c>
    </row>
    <row r="157" spans="1:8">
      <c r="A157" t="s">
        <v>258</v>
      </c>
      <c r="B157" t="s">
        <v>259</v>
      </c>
      <c r="C157" t="s">
        <v>152</v>
      </c>
      <c r="D157" t="s">
        <v>194</v>
      </c>
      <c r="E157" t="s">
        <v>225</v>
      </c>
      <c r="F157" t="s">
        <v>226</v>
      </c>
      <c r="G157" s="3">
        <v>45514</v>
      </c>
      <c r="H157" t="s">
        <v>1224</v>
      </c>
    </row>
    <row r="158" spans="1:8">
      <c r="A158" t="s">
        <v>1234</v>
      </c>
      <c r="B158" t="s">
        <v>1235</v>
      </c>
      <c r="C158" t="s">
        <v>74</v>
      </c>
      <c r="D158" t="s">
        <v>138</v>
      </c>
      <c r="E158" t="s">
        <v>457</v>
      </c>
      <c r="F158" t="s">
        <v>458</v>
      </c>
      <c r="G158" s="3">
        <v>44828</v>
      </c>
      <c r="H158" t="s">
        <v>1221</v>
      </c>
    </row>
    <row r="159" spans="1:8">
      <c r="A159" t="s">
        <v>448</v>
      </c>
      <c r="B159" t="s">
        <v>449</v>
      </c>
      <c r="C159" t="s">
        <v>89</v>
      </c>
      <c r="D159" t="s">
        <v>126</v>
      </c>
      <c r="E159" t="s">
        <v>160</v>
      </c>
      <c r="F159" t="s">
        <v>182</v>
      </c>
      <c r="G159" s="3">
        <v>44278</v>
      </c>
      <c r="H159" t="s">
        <v>1225</v>
      </c>
    </row>
    <row r="160" spans="1:8">
      <c r="A160" t="s">
        <v>312</v>
      </c>
      <c r="B160" t="s">
        <v>313</v>
      </c>
      <c r="C160" t="s">
        <v>74</v>
      </c>
      <c r="D160" t="s">
        <v>194</v>
      </c>
      <c r="E160" t="s">
        <v>225</v>
      </c>
      <c r="F160" t="s">
        <v>226</v>
      </c>
      <c r="G160" s="3">
        <v>44694</v>
      </c>
      <c r="H160" t="s">
        <v>1224</v>
      </c>
    </row>
    <row r="161" spans="1:8">
      <c r="A161" t="s">
        <v>771</v>
      </c>
      <c r="B161" t="s">
        <v>772</v>
      </c>
      <c r="C161" t="s">
        <v>74</v>
      </c>
      <c r="D161" t="s">
        <v>126</v>
      </c>
      <c r="E161" t="s">
        <v>127</v>
      </c>
      <c r="F161" t="s">
        <v>128</v>
      </c>
      <c r="G161" s="3">
        <v>45891</v>
      </c>
      <c r="H161" t="s">
        <v>1225</v>
      </c>
    </row>
    <row r="162" spans="1:8">
      <c r="A162" t="s">
        <v>248</v>
      </c>
      <c r="B162" t="s">
        <v>137</v>
      </c>
      <c r="C162" t="s">
        <v>74</v>
      </c>
      <c r="D162" t="s">
        <v>75</v>
      </c>
      <c r="E162" t="s">
        <v>98</v>
      </c>
      <c r="F162" t="s">
        <v>99</v>
      </c>
      <c r="G162" s="3">
        <v>45204</v>
      </c>
      <c r="H162" t="s">
        <v>1224</v>
      </c>
    </row>
    <row r="163" spans="1:8">
      <c r="A163" t="s">
        <v>341</v>
      </c>
      <c r="B163" t="s">
        <v>342</v>
      </c>
      <c r="C163" t="s">
        <v>89</v>
      </c>
      <c r="D163" t="s">
        <v>138</v>
      </c>
      <c r="E163" t="s">
        <v>186</v>
      </c>
      <c r="F163" t="s">
        <v>187</v>
      </c>
      <c r="G163" s="3">
        <v>45282</v>
      </c>
      <c r="H163" t="s">
        <v>1225</v>
      </c>
    </row>
    <row r="164" spans="1:8">
      <c r="A164" t="s">
        <v>563</v>
      </c>
      <c r="B164" t="s">
        <v>564</v>
      </c>
      <c r="C164" t="s">
        <v>152</v>
      </c>
      <c r="D164" t="s">
        <v>138</v>
      </c>
      <c r="E164" t="s">
        <v>139</v>
      </c>
      <c r="F164" t="s">
        <v>140</v>
      </c>
      <c r="G164" s="3">
        <v>45510</v>
      </c>
      <c r="H164" t="s">
        <v>1221</v>
      </c>
    </row>
    <row r="165" spans="1:8">
      <c r="A165" t="s">
        <v>511</v>
      </c>
      <c r="B165" t="s">
        <v>512</v>
      </c>
      <c r="C165" t="s">
        <v>152</v>
      </c>
      <c r="D165" t="s">
        <v>194</v>
      </c>
      <c r="E165" t="s">
        <v>230</v>
      </c>
      <c r="F165" t="s">
        <v>231</v>
      </c>
      <c r="G165" s="3">
        <v>45902</v>
      </c>
      <c r="H165" t="s">
        <v>1224</v>
      </c>
    </row>
    <row r="166" spans="1:8">
      <c r="A166" t="s">
        <v>271</v>
      </c>
      <c r="B166" t="s">
        <v>272</v>
      </c>
      <c r="C166" t="s">
        <v>89</v>
      </c>
      <c r="D166" t="s">
        <v>75</v>
      </c>
      <c r="E166" t="s">
        <v>273</v>
      </c>
      <c r="F166" t="s">
        <v>274</v>
      </c>
      <c r="G166" s="3">
        <v>44909</v>
      </c>
      <c r="H166" t="s">
        <v>1223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7"/>
  <sheetViews>
    <sheetView showGridLines="0" workbookViewId="0">
      <selection activeCell="H2" sqref="H2"/>
    </sheetView>
  </sheetViews>
  <sheetFormatPr defaultRowHeight="13.8"/>
  <cols>
    <col min="1" max="1" width="14" customWidth="1"/>
    <col min="2" max="3" width="15.59765625" customWidth="1"/>
    <col min="4" max="4" width="29.3984375" customWidth="1"/>
    <col min="5" max="5" width="13.69921875" customWidth="1"/>
    <col min="6" max="6" width="12.5" customWidth="1"/>
    <col min="7" max="7" width="13.69921875" customWidth="1"/>
    <col min="8" max="8" width="13.09765625" customWidth="1"/>
  </cols>
  <sheetData>
    <row r="1" spans="1:8" ht="27.6">
      <c r="A1" s="1" t="s">
        <v>60</v>
      </c>
      <c r="B1" s="1" t="s">
        <v>62</v>
      </c>
      <c r="C1" s="1" t="s">
        <v>63</v>
      </c>
      <c r="D1" s="1" t="s">
        <v>61</v>
      </c>
      <c r="E1" s="1" t="s">
        <v>1236</v>
      </c>
      <c r="F1" s="1" t="s">
        <v>1237</v>
      </c>
      <c r="G1" s="1" t="s">
        <v>1238</v>
      </c>
      <c r="H1" s="1" t="s">
        <v>1239</v>
      </c>
    </row>
    <row r="2" spans="1:8">
      <c r="A2" t="s">
        <v>162</v>
      </c>
      <c r="B2" t="s">
        <v>120</v>
      </c>
      <c r="C2" t="s">
        <v>164</v>
      </c>
      <c r="D2" t="s">
        <v>163</v>
      </c>
      <c r="E2" s="4">
        <v>585</v>
      </c>
      <c r="F2" s="4">
        <v>899</v>
      </c>
      <c r="G2" t="s">
        <v>1240</v>
      </c>
      <c r="H2" t="s">
        <v>1241</v>
      </c>
    </row>
    <row r="3" spans="1:8">
      <c r="A3" t="s">
        <v>207</v>
      </c>
      <c r="B3" t="s">
        <v>120</v>
      </c>
      <c r="C3" t="s">
        <v>164</v>
      </c>
      <c r="D3" t="s">
        <v>208</v>
      </c>
      <c r="E3" s="4">
        <v>885</v>
      </c>
      <c r="F3" s="4">
        <v>1399</v>
      </c>
      <c r="G3" t="s">
        <v>1240</v>
      </c>
      <c r="H3" t="s">
        <v>1241</v>
      </c>
    </row>
    <row r="4" spans="1:8">
      <c r="A4" t="s">
        <v>118</v>
      </c>
      <c r="B4" t="s">
        <v>120</v>
      </c>
      <c r="C4" t="s">
        <v>121</v>
      </c>
      <c r="D4" t="s">
        <v>119</v>
      </c>
      <c r="E4" s="4">
        <v>168</v>
      </c>
      <c r="F4" s="4">
        <v>289</v>
      </c>
      <c r="G4" t="s">
        <v>1242</v>
      </c>
      <c r="H4" t="s">
        <v>1241</v>
      </c>
    </row>
    <row r="5" spans="1:8">
      <c r="A5" t="s">
        <v>197</v>
      </c>
      <c r="B5" t="s">
        <v>120</v>
      </c>
      <c r="C5" t="s">
        <v>121</v>
      </c>
      <c r="D5" t="s">
        <v>198</v>
      </c>
      <c r="E5" s="4">
        <v>310</v>
      </c>
      <c r="F5" s="4">
        <v>529</v>
      </c>
      <c r="G5" t="s">
        <v>1242</v>
      </c>
      <c r="H5" t="s">
        <v>1241</v>
      </c>
    </row>
    <row r="6" spans="1:8">
      <c r="A6" t="s">
        <v>188</v>
      </c>
      <c r="B6" t="s">
        <v>120</v>
      </c>
      <c r="C6" t="s">
        <v>190</v>
      </c>
      <c r="D6" t="s">
        <v>189</v>
      </c>
      <c r="E6" s="4">
        <v>28</v>
      </c>
      <c r="F6" s="4">
        <v>59</v>
      </c>
      <c r="G6" t="s">
        <v>1243</v>
      </c>
      <c r="H6" t="s">
        <v>1241</v>
      </c>
    </row>
    <row r="7" spans="1:8">
      <c r="A7" t="s">
        <v>301</v>
      </c>
      <c r="B7" t="s">
        <v>120</v>
      </c>
      <c r="C7" t="s">
        <v>190</v>
      </c>
      <c r="D7" t="s">
        <v>302</v>
      </c>
      <c r="E7" s="4">
        <v>72</v>
      </c>
      <c r="F7" s="4">
        <v>139</v>
      </c>
      <c r="G7" t="s">
        <v>1243</v>
      </c>
      <c r="H7" t="s">
        <v>1241</v>
      </c>
    </row>
    <row r="8" spans="1:8">
      <c r="A8" t="s">
        <v>242</v>
      </c>
      <c r="B8" t="s">
        <v>120</v>
      </c>
      <c r="C8" t="s">
        <v>133</v>
      </c>
      <c r="D8" t="s">
        <v>243</v>
      </c>
      <c r="E8" s="4">
        <v>96</v>
      </c>
      <c r="F8" s="4">
        <v>189</v>
      </c>
      <c r="G8" t="s">
        <v>1244</v>
      </c>
      <c r="H8" t="s">
        <v>1241</v>
      </c>
    </row>
    <row r="9" spans="1:8">
      <c r="A9" t="s">
        <v>131</v>
      </c>
      <c r="B9" t="s">
        <v>120</v>
      </c>
      <c r="C9" t="s">
        <v>133</v>
      </c>
      <c r="D9" t="s">
        <v>132</v>
      </c>
      <c r="E9" s="4">
        <v>44</v>
      </c>
      <c r="F9" s="4">
        <v>89</v>
      </c>
      <c r="G9" t="s">
        <v>1244</v>
      </c>
      <c r="H9" t="s">
        <v>1241</v>
      </c>
    </row>
    <row r="10" spans="1:8">
      <c r="A10" t="s">
        <v>91</v>
      </c>
      <c r="B10" t="s">
        <v>93</v>
      </c>
      <c r="C10" t="s">
        <v>94</v>
      </c>
      <c r="D10" t="s">
        <v>92</v>
      </c>
      <c r="E10" s="4">
        <v>184</v>
      </c>
      <c r="F10" s="4">
        <v>329</v>
      </c>
      <c r="G10" t="s">
        <v>1245</v>
      </c>
      <c r="H10" t="s">
        <v>1241</v>
      </c>
    </row>
    <row r="11" spans="1:8">
      <c r="A11" t="s">
        <v>359</v>
      </c>
      <c r="B11" t="s">
        <v>93</v>
      </c>
      <c r="C11" t="s">
        <v>94</v>
      </c>
      <c r="D11" t="s">
        <v>360</v>
      </c>
      <c r="E11" s="4">
        <v>265</v>
      </c>
      <c r="F11" s="4">
        <v>449</v>
      </c>
      <c r="G11" t="s">
        <v>1245</v>
      </c>
      <c r="H11" t="s">
        <v>1241</v>
      </c>
    </row>
    <row r="12" spans="1:8">
      <c r="A12" t="s">
        <v>337</v>
      </c>
      <c r="B12" t="s">
        <v>93</v>
      </c>
      <c r="C12" t="s">
        <v>236</v>
      </c>
      <c r="D12" t="s">
        <v>338</v>
      </c>
      <c r="E12" s="4">
        <v>146</v>
      </c>
      <c r="F12" s="4">
        <v>269</v>
      </c>
      <c r="G12" t="s">
        <v>1246</v>
      </c>
      <c r="H12" t="s">
        <v>1241</v>
      </c>
    </row>
    <row r="13" spans="1:8">
      <c r="A13" t="s">
        <v>234</v>
      </c>
      <c r="B13" t="s">
        <v>93</v>
      </c>
      <c r="C13" t="s">
        <v>236</v>
      </c>
      <c r="D13" t="s">
        <v>235</v>
      </c>
      <c r="E13" s="4">
        <v>82</v>
      </c>
      <c r="F13" s="4">
        <v>149</v>
      </c>
      <c r="G13" t="s">
        <v>1246</v>
      </c>
      <c r="H13" t="s">
        <v>1241</v>
      </c>
    </row>
    <row r="14" spans="1:8">
      <c r="A14" t="s">
        <v>175</v>
      </c>
      <c r="B14" t="s">
        <v>93</v>
      </c>
      <c r="C14" t="s">
        <v>177</v>
      </c>
      <c r="D14" t="s">
        <v>176</v>
      </c>
      <c r="E14" s="4">
        <v>88</v>
      </c>
      <c r="F14" s="4">
        <v>169</v>
      </c>
      <c r="G14" t="s">
        <v>1247</v>
      </c>
      <c r="H14" t="s">
        <v>1241</v>
      </c>
    </row>
    <row r="15" spans="1:8">
      <c r="A15" t="s">
        <v>220</v>
      </c>
      <c r="B15" t="s">
        <v>93</v>
      </c>
      <c r="C15" t="s">
        <v>177</v>
      </c>
      <c r="D15" t="s">
        <v>221</v>
      </c>
      <c r="E15" s="4">
        <v>118</v>
      </c>
      <c r="F15" s="4">
        <v>229</v>
      </c>
      <c r="G15" t="s">
        <v>1247</v>
      </c>
      <c r="H15" t="s">
        <v>1241</v>
      </c>
    </row>
    <row r="16" spans="1:8">
      <c r="A16" t="s">
        <v>431</v>
      </c>
      <c r="B16" t="s">
        <v>103</v>
      </c>
      <c r="C16" t="s">
        <v>251</v>
      </c>
      <c r="D16" t="s">
        <v>432</v>
      </c>
      <c r="E16" s="4">
        <v>20</v>
      </c>
      <c r="F16" s="4">
        <v>39</v>
      </c>
      <c r="G16" t="s">
        <v>1248</v>
      </c>
      <c r="H16" t="s">
        <v>1241</v>
      </c>
    </row>
    <row r="17" spans="1:8">
      <c r="A17" t="s">
        <v>249</v>
      </c>
      <c r="B17" t="s">
        <v>103</v>
      </c>
      <c r="C17" t="s">
        <v>251</v>
      </c>
      <c r="D17" t="s">
        <v>250</v>
      </c>
      <c r="E17" s="4">
        <v>10</v>
      </c>
      <c r="F17" s="4">
        <v>22</v>
      </c>
      <c r="G17" t="s">
        <v>1248</v>
      </c>
      <c r="H17" t="s">
        <v>1241</v>
      </c>
    </row>
    <row r="18" spans="1:8">
      <c r="A18" t="s">
        <v>141</v>
      </c>
      <c r="B18" t="s">
        <v>103</v>
      </c>
      <c r="C18" t="s">
        <v>143</v>
      </c>
      <c r="D18" t="s">
        <v>142</v>
      </c>
      <c r="E18" s="4">
        <v>18</v>
      </c>
      <c r="F18" s="4">
        <v>36</v>
      </c>
      <c r="G18" t="s">
        <v>1249</v>
      </c>
      <c r="H18" t="s">
        <v>1241</v>
      </c>
    </row>
    <row r="19" spans="1:8">
      <c r="A19" t="s">
        <v>284</v>
      </c>
      <c r="B19" t="s">
        <v>103</v>
      </c>
      <c r="C19" t="s">
        <v>143</v>
      </c>
      <c r="D19" t="s">
        <v>285</v>
      </c>
      <c r="E19" s="4">
        <v>14</v>
      </c>
      <c r="F19" s="4">
        <v>28</v>
      </c>
      <c r="G19" t="s">
        <v>1249</v>
      </c>
      <c r="H19" t="s">
        <v>1241</v>
      </c>
    </row>
    <row r="20" spans="1:8">
      <c r="A20" t="s">
        <v>169</v>
      </c>
      <c r="B20" t="s">
        <v>103</v>
      </c>
      <c r="C20" t="s">
        <v>171</v>
      </c>
      <c r="D20" t="s">
        <v>170</v>
      </c>
      <c r="E20" s="4">
        <v>6</v>
      </c>
      <c r="F20" s="4">
        <v>15</v>
      </c>
      <c r="G20" t="s">
        <v>1250</v>
      </c>
      <c r="H20" t="s">
        <v>1241</v>
      </c>
    </row>
    <row r="21" spans="1:8">
      <c r="A21" t="s">
        <v>214</v>
      </c>
      <c r="B21" t="s">
        <v>103</v>
      </c>
      <c r="C21" t="s">
        <v>171</v>
      </c>
      <c r="D21" t="s">
        <v>215</v>
      </c>
      <c r="E21" s="4">
        <v>5</v>
      </c>
      <c r="F21" s="4">
        <v>12</v>
      </c>
      <c r="G21" t="s">
        <v>1250</v>
      </c>
      <c r="H21" t="s">
        <v>1241</v>
      </c>
    </row>
    <row r="22" spans="1:8">
      <c r="A22" t="s">
        <v>261</v>
      </c>
      <c r="B22" t="s">
        <v>103</v>
      </c>
      <c r="C22" t="s">
        <v>104</v>
      </c>
      <c r="D22" t="s">
        <v>262</v>
      </c>
      <c r="E22" s="4">
        <v>12</v>
      </c>
      <c r="F22" s="4">
        <v>27</v>
      </c>
      <c r="G22" t="s">
        <v>1251</v>
      </c>
      <c r="H22" t="s">
        <v>1241</v>
      </c>
    </row>
    <row r="23" spans="1:8">
      <c r="A23" t="s">
        <v>101</v>
      </c>
      <c r="B23" t="s">
        <v>103</v>
      </c>
      <c r="C23" t="s">
        <v>104</v>
      </c>
      <c r="D23" t="s">
        <v>102</v>
      </c>
      <c r="E23" s="4">
        <v>36</v>
      </c>
      <c r="F23" s="4">
        <v>75</v>
      </c>
      <c r="G23" t="s">
        <v>1251</v>
      </c>
      <c r="H23" t="s">
        <v>1241</v>
      </c>
    </row>
    <row r="24" spans="1:8">
      <c r="A24" t="s">
        <v>254</v>
      </c>
      <c r="B24" t="s">
        <v>82</v>
      </c>
      <c r="C24" t="s">
        <v>83</v>
      </c>
      <c r="D24" t="s">
        <v>255</v>
      </c>
      <c r="E24" s="4">
        <v>48</v>
      </c>
      <c r="F24" s="4">
        <v>95</v>
      </c>
      <c r="G24" t="s">
        <v>1252</v>
      </c>
      <c r="H24" t="s">
        <v>1241</v>
      </c>
    </row>
    <row r="25" spans="1:8">
      <c r="A25" t="s">
        <v>80</v>
      </c>
      <c r="B25" t="s">
        <v>82</v>
      </c>
      <c r="C25" t="s">
        <v>83</v>
      </c>
      <c r="D25" t="s">
        <v>81</v>
      </c>
      <c r="E25" s="4">
        <v>125</v>
      </c>
      <c r="F25" s="4">
        <v>239</v>
      </c>
      <c r="G25" t="s">
        <v>1252</v>
      </c>
      <c r="H25" t="s">
        <v>1241</v>
      </c>
    </row>
    <row r="26" spans="1:8">
      <c r="A26" t="s">
        <v>155</v>
      </c>
      <c r="B26" t="s">
        <v>82</v>
      </c>
      <c r="C26" t="s">
        <v>112</v>
      </c>
      <c r="D26" t="s">
        <v>156</v>
      </c>
      <c r="E26" s="4">
        <v>82</v>
      </c>
      <c r="F26" s="4">
        <v>169</v>
      </c>
      <c r="G26" t="s">
        <v>1253</v>
      </c>
      <c r="H26" t="s">
        <v>1241</v>
      </c>
    </row>
    <row r="27" spans="1:8">
      <c r="A27" t="s">
        <v>110</v>
      </c>
      <c r="B27" t="s">
        <v>82</v>
      </c>
      <c r="C27" t="s">
        <v>112</v>
      </c>
      <c r="D27" t="s">
        <v>111</v>
      </c>
      <c r="E27" s="4">
        <v>165</v>
      </c>
      <c r="F27" s="4">
        <v>319</v>
      </c>
      <c r="G27" t="s">
        <v>1253</v>
      </c>
      <c r="H27" t="s">
        <v>1254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81"/>
  <sheetViews>
    <sheetView showGridLines="0" workbookViewId="0">
      <selection activeCell="O207" sqref="O207"/>
    </sheetView>
  </sheetViews>
  <sheetFormatPr defaultRowHeight="13.8"/>
  <cols>
    <col min="1" max="1" width="11.19921875" customWidth="1"/>
    <col min="2" max="2" width="18.09765625" customWidth="1"/>
    <col min="3" max="3" width="11.19921875" customWidth="1"/>
    <col min="4" max="4" width="13.09765625" customWidth="1"/>
    <col min="5" max="6" width="11.19921875" customWidth="1"/>
    <col min="7" max="7" width="11.19921875" hidden="1" customWidth="1"/>
    <col min="8" max="8" width="14.8984375" style="19" bestFit="1" customWidth="1"/>
    <col min="9" max="9" width="11.69921875" bestFit="1" customWidth="1"/>
    <col min="10" max="10" width="27.296875" style="10" bestFit="1" customWidth="1"/>
    <col min="11" max="11" width="15" style="20" bestFit="1" customWidth="1"/>
  </cols>
  <sheetData>
    <row r="1" spans="1:11">
      <c r="A1" s="1" t="s">
        <v>1255</v>
      </c>
      <c r="B1" s="1" t="s">
        <v>59</v>
      </c>
      <c r="C1" s="1" t="s">
        <v>55</v>
      </c>
      <c r="D1" s="1" t="s">
        <v>1256</v>
      </c>
      <c r="E1" s="1" t="s">
        <v>1257</v>
      </c>
      <c r="F1" s="1" t="s">
        <v>1353</v>
      </c>
      <c r="G1" s="1" t="s">
        <v>1258</v>
      </c>
      <c r="H1" s="19" t="s">
        <v>1349</v>
      </c>
      <c r="I1" t="s">
        <v>1350</v>
      </c>
      <c r="J1" s="10" t="s">
        <v>1351</v>
      </c>
      <c r="K1" s="20" t="s">
        <v>1352</v>
      </c>
    </row>
    <row r="2" spans="1:11">
      <c r="A2" s="6">
        <v>45292</v>
      </c>
      <c r="B2" t="s">
        <v>147</v>
      </c>
      <c r="C2" t="s">
        <v>75</v>
      </c>
      <c r="D2" s="7">
        <v>1797</v>
      </c>
      <c r="E2" s="8">
        <v>2</v>
      </c>
      <c r="F2" s="8">
        <f t="shared" ref="F2:F65" si="0">ROUNDUP(G2/10,0)</f>
        <v>376</v>
      </c>
      <c r="G2" s="8">
        <v>3756</v>
      </c>
      <c r="H2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7562.1118999999999</v>
      </c>
      <c r="I2">
        <f>COUNTIFS(Cleaned_data[Order Month],TEXT(MarketingSpend[[#This Row],[Month]],"mmmm"),Cleaned_data[Marketing_Channel],MarketingSpend[[#This Row],[Marketing_Channel]],Cleaned_data[Region],MarketingSpend[[#This Row],[Region]])</f>
        <v>5</v>
      </c>
      <c r="J2" s="10">
        <f>MarketingSpend[[#This Row],[Actual Revenue]]/MarketingSpend[[#This Row],[Spend]]</f>
        <v>4.2081869226488591</v>
      </c>
      <c r="K2" s="20">
        <f>MarketingSpend[[#This Row],[Total Orders]]/MarketingSpend[[#This Row],[Lead]]</f>
        <v>1.3297872340425532E-2</v>
      </c>
    </row>
    <row r="3" spans="1:11">
      <c r="A3" s="6">
        <v>45292</v>
      </c>
      <c r="B3" t="s">
        <v>100</v>
      </c>
      <c r="C3" t="s">
        <v>75</v>
      </c>
      <c r="D3" s="7">
        <v>3047</v>
      </c>
      <c r="E3" s="8">
        <v>2</v>
      </c>
      <c r="F3" s="8">
        <f t="shared" si="0"/>
        <v>886</v>
      </c>
      <c r="G3" s="8">
        <v>8852</v>
      </c>
      <c r="H3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4501.0895</v>
      </c>
      <c r="I3">
        <f>COUNTIFS(Cleaned_data[Order Month],TEXT(MarketingSpend[[#This Row],[Month]],"mmmm"),Cleaned_data[Marketing_Channel],MarketingSpend[[#This Row],[Marketing_Channel]],Cleaned_data[Region],MarketingSpend[[#This Row],[Region]])</f>
        <v>5</v>
      </c>
      <c r="J3" s="10">
        <f>MarketingSpend[[#This Row],[Actual Revenue]]/MarketingSpend[[#This Row],[Spend]]</f>
        <v>1.4772200525106662</v>
      </c>
      <c r="K3" s="20">
        <f>MarketingSpend[[#This Row],[Total Orders]]/MarketingSpend[[#This Row],[Lead]]</f>
        <v>5.6433408577878106E-3</v>
      </c>
    </row>
    <row r="4" spans="1:11">
      <c r="A4" s="6">
        <v>45292</v>
      </c>
      <c r="B4" t="s">
        <v>79</v>
      </c>
      <c r="C4" t="s">
        <v>75</v>
      </c>
      <c r="D4" s="7">
        <v>5913</v>
      </c>
      <c r="E4" s="8">
        <v>3</v>
      </c>
      <c r="F4" s="8">
        <f t="shared" si="0"/>
        <v>1420</v>
      </c>
      <c r="G4" s="8">
        <v>14199</v>
      </c>
      <c r="H4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3519.3328999999999</v>
      </c>
      <c r="I4">
        <f>COUNTIFS(Cleaned_data[Order Month],TEXT(MarketingSpend[[#This Row],[Month]],"mmmm"),Cleaned_data[Marketing_Channel],MarketingSpend[[#This Row],[Marketing_Channel]],Cleaned_data[Region],MarketingSpend[[#This Row],[Region]])</f>
        <v>6</v>
      </c>
      <c r="J4" s="10">
        <f>MarketingSpend[[#This Row],[Actual Revenue]]/MarketingSpend[[#This Row],[Spend]]</f>
        <v>0.59518567562996783</v>
      </c>
      <c r="K4" s="20">
        <f>MarketingSpend[[#This Row],[Total Orders]]/MarketingSpend[[#This Row],[Lead]]</f>
        <v>4.2253521126760559E-3</v>
      </c>
    </row>
    <row r="5" spans="1:11">
      <c r="A5" s="6">
        <v>45292</v>
      </c>
      <c r="B5" t="s">
        <v>130</v>
      </c>
      <c r="C5" t="s">
        <v>75</v>
      </c>
      <c r="D5" s="7">
        <v>1244</v>
      </c>
      <c r="E5" s="8">
        <v>4</v>
      </c>
      <c r="F5" s="8">
        <f t="shared" si="0"/>
        <v>252</v>
      </c>
      <c r="G5" s="8">
        <v>2512</v>
      </c>
      <c r="H5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132.76490000000001</v>
      </c>
      <c r="I5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5" s="10">
        <f>MarketingSpend[[#This Row],[Actual Revenue]]/MarketingSpend[[#This Row],[Spend]]</f>
        <v>0.10672419614147911</v>
      </c>
      <c r="K5" s="20">
        <f>MarketingSpend[[#This Row],[Total Orders]]/MarketingSpend[[#This Row],[Lead]]</f>
        <v>3.968253968253968E-3</v>
      </c>
    </row>
    <row r="6" spans="1:11">
      <c r="A6" s="6">
        <v>45292</v>
      </c>
      <c r="B6" t="s">
        <v>90</v>
      </c>
      <c r="C6" t="s">
        <v>75</v>
      </c>
      <c r="D6" s="7">
        <v>2878</v>
      </c>
      <c r="E6" s="8">
        <v>5</v>
      </c>
      <c r="F6" s="8">
        <f t="shared" si="0"/>
        <v>630</v>
      </c>
      <c r="G6" s="8">
        <v>6294</v>
      </c>
      <c r="H6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1686.2080000000001</v>
      </c>
      <c r="I6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6" s="10">
        <f>MarketingSpend[[#This Row],[Actual Revenue]]/MarketingSpend[[#This Row],[Spend]]</f>
        <v>0.58589576094510076</v>
      </c>
      <c r="K6" s="20">
        <f>MarketingSpend[[#This Row],[Total Orders]]/MarketingSpend[[#This Row],[Lead]]</f>
        <v>4.7619047619047623E-3</v>
      </c>
    </row>
    <row r="7" spans="1:11">
      <c r="A7" s="6">
        <v>45292</v>
      </c>
      <c r="B7" t="s">
        <v>147</v>
      </c>
      <c r="C7" t="s">
        <v>126</v>
      </c>
      <c r="D7" s="7">
        <v>2261</v>
      </c>
      <c r="E7" s="8">
        <v>4</v>
      </c>
      <c r="F7" s="8">
        <f t="shared" si="0"/>
        <v>347</v>
      </c>
      <c r="G7" s="8">
        <v>3467</v>
      </c>
      <c r="H7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2297.8256999999999</v>
      </c>
      <c r="I7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7" s="10">
        <f>MarketingSpend[[#This Row],[Actual Revenue]]/MarketingSpend[[#This Row],[Spend]]</f>
        <v>1.0162873507297656</v>
      </c>
      <c r="K7" s="20">
        <f>MarketingSpend[[#This Row],[Total Orders]]/MarketingSpend[[#This Row],[Lead]]</f>
        <v>8.6455331412103754E-3</v>
      </c>
    </row>
    <row r="8" spans="1:11">
      <c r="A8" s="6">
        <v>45292</v>
      </c>
      <c r="B8" t="s">
        <v>100</v>
      </c>
      <c r="C8" t="s">
        <v>126</v>
      </c>
      <c r="D8" s="7">
        <v>3988</v>
      </c>
      <c r="E8" s="8">
        <v>2</v>
      </c>
      <c r="F8" s="8">
        <f t="shared" si="0"/>
        <v>980</v>
      </c>
      <c r="G8" s="8">
        <v>9794</v>
      </c>
      <c r="H8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2780.8192000000004</v>
      </c>
      <c r="I8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8" s="10">
        <f>MarketingSpend[[#This Row],[Actual Revenue]]/MarketingSpend[[#This Row],[Spend]]</f>
        <v>0.69729669007021078</v>
      </c>
      <c r="K8" s="20">
        <f>MarketingSpend[[#This Row],[Total Orders]]/MarketingSpend[[#This Row],[Lead]]</f>
        <v>2.0408163265306124E-3</v>
      </c>
    </row>
    <row r="9" spans="1:11">
      <c r="A9" s="6">
        <v>45292</v>
      </c>
      <c r="B9" t="s">
        <v>79</v>
      </c>
      <c r="C9" t="s">
        <v>126</v>
      </c>
      <c r="D9" s="7">
        <v>5472</v>
      </c>
      <c r="E9" s="8">
        <v>1</v>
      </c>
      <c r="F9" s="8">
        <f t="shared" si="0"/>
        <v>1527</v>
      </c>
      <c r="G9" s="8">
        <v>15269</v>
      </c>
      <c r="H9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0</v>
      </c>
      <c r="I9">
        <f>COUNTIFS(Cleaned_data[Order Month],TEXT(MarketingSpend[[#This Row],[Month]],"mmmm"),Cleaned_data[Marketing_Channel],MarketingSpend[[#This Row],[Marketing_Channel]],Cleaned_data[Region],MarketingSpend[[#This Row],[Region]])</f>
        <v>0</v>
      </c>
      <c r="J9" s="10">
        <f>MarketingSpend[[#This Row],[Actual Revenue]]/MarketingSpend[[#This Row],[Spend]]</f>
        <v>0</v>
      </c>
      <c r="K9" s="20">
        <f>MarketingSpend[[#This Row],[Total Orders]]/MarketingSpend[[#This Row],[Lead]]</f>
        <v>0</v>
      </c>
    </row>
    <row r="10" spans="1:11">
      <c r="A10" s="6">
        <v>45292</v>
      </c>
      <c r="B10" t="s">
        <v>130</v>
      </c>
      <c r="C10" t="s">
        <v>126</v>
      </c>
      <c r="D10" s="7">
        <v>1264</v>
      </c>
      <c r="E10" s="8">
        <v>1</v>
      </c>
      <c r="F10" s="8">
        <f t="shared" si="0"/>
        <v>250</v>
      </c>
      <c r="G10" s="8">
        <v>2494</v>
      </c>
      <c r="H10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1795.4297999999999</v>
      </c>
      <c r="I10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10" s="10">
        <f>MarketingSpend[[#This Row],[Actual Revenue]]/MarketingSpend[[#This Row],[Spend]]</f>
        <v>1.4204349683544304</v>
      </c>
      <c r="K10" s="20">
        <f>MarketingSpend[[#This Row],[Total Orders]]/MarketingSpend[[#This Row],[Lead]]</f>
        <v>8.0000000000000002E-3</v>
      </c>
    </row>
    <row r="11" spans="1:11">
      <c r="A11" s="6">
        <v>45292</v>
      </c>
      <c r="B11" t="s">
        <v>90</v>
      </c>
      <c r="C11" t="s">
        <v>126</v>
      </c>
      <c r="D11" s="7">
        <v>2859</v>
      </c>
      <c r="E11" s="8">
        <v>5</v>
      </c>
      <c r="F11" s="8">
        <f t="shared" si="0"/>
        <v>574</v>
      </c>
      <c r="G11" s="8">
        <v>5736</v>
      </c>
      <c r="H11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502.17509999999999</v>
      </c>
      <c r="I11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11" s="10">
        <f>MarketingSpend[[#This Row],[Actual Revenue]]/MarketingSpend[[#This Row],[Spend]]</f>
        <v>0.17564711437565581</v>
      </c>
      <c r="K11" s="20">
        <f>MarketingSpend[[#This Row],[Total Orders]]/MarketingSpend[[#This Row],[Lead]]</f>
        <v>1.7421602787456446E-3</v>
      </c>
    </row>
    <row r="12" spans="1:11">
      <c r="A12" s="6">
        <v>45292</v>
      </c>
      <c r="B12" t="s">
        <v>147</v>
      </c>
      <c r="C12" t="s">
        <v>138</v>
      </c>
      <c r="D12" s="7">
        <v>1989</v>
      </c>
      <c r="E12" s="8">
        <v>4</v>
      </c>
      <c r="F12" s="8">
        <f t="shared" si="0"/>
        <v>458</v>
      </c>
      <c r="G12" s="8">
        <v>4573</v>
      </c>
      <c r="H12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1251.3680999999999</v>
      </c>
      <c r="I12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12" s="10">
        <f>MarketingSpend[[#This Row],[Actual Revenue]]/MarketingSpend[[#This Row],[Spend]]</f>
        <v>0.62914434389140272</v>
      </c>
      <c r="K12" s="20">
        <f>MarketingSpend[[#This Row],[Total Orders]]/MarketingSpend[[#This Row],[Lead]]</f>
        <v>8.7336244541484712E-3</v>
      </c>
    </row>
    <row r="13" spans="1:11">
      <c r="A13" s="6">
        <v>45292</v>
      </c>
      <c r="B13" t="s">
        <v>100</v>
      </c>
      <c r="C13" t="s">
        <v>138</v>
      </c>
      <c r="D13" s="7">
        <v>2787</v>
      </c>
      <c r="E13" s="8">
        <v>3</v>
      </c>
      <c r="F13" s="8">
        <f t="shared" si="0"/>
        <v>631</v>
      </c>
      <c r="G13" s="8">
        <v>6308</v>
      </c>
      <c r="H13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219.999</v>
      </c>
      <c r="I13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13" s="10">
        <f>MarketingSpend[[#This Row],[Actual Revenue]]/MarketingSpend[[#This Row],[Spend]]</f>
        <v>7.8937567276641543E-2</v>
      </c>
      <c r="K13" s="20">
        <f>MarketingSpend[[#This Row],[Total Orders]]/MarketingSpend[[#This Row],[Lead]]</f>
        <v>3.1695721077654518E-3</v>
      </c>
    </row>
    <row r="14" spans="1:11">
      <c r="A14" s="6">
        <v>45292</v>
      </c>
      <c r="B14" t="s">
        <v>79</v>
      </c>
      <c r="C14" t="s">
        <v>138</v>
      </c>
      <c r="D14" s="7">
        <v>5029</v>
      </c>
      <c r="E14" s="8">
        <v>3</v>
      </c>
      <c r="F14" s="8">
        <f t="shared" si="0"/>
        <v>882</v>
      </c>
      <c r="G14" s="8">
        <v>8818</v>
      </c>
      <c r="H14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3818.6195000000002</v>
      </c>
      <c r="I14">
        <f>COUNTIFS(Cleaned_data[Order Month],TEXT(MarketingSpend[[#This Row],[Month]],"mmmm"),Cleaned_data[Marketing_Channel],MarketingSpend[[#This Row],[Marketing_Channel]],Cleaned_data[Region],MarketingSpend[[#This Row],[Region]])</f>
        <v>6</v>
      </c>
      <c r="J14" s="10">
        <f>MarketingSpend[[#This Row],[Actual Revenue]]/MarketingSpend[[#This Row],[Spend]]</f>
        <v>0.75931984489958249</v>
      </c>
      <c r="K14" s="20">
        <f>MarketingSpend[[#This Row],[Total Orders]]/MarketingSpend[[#This Row],[Lead]]</f>
        <v>6.8027210884353739E-3</v>
      </c>
    </row>
    <row r="15" spans="1:11">
      <c r="A15" s="6">
        <v>45292</v>
      </c>
      <c r="B15" t="s">
        <v>130</v>
      </c>
      <c r="C15" t="s">
        <v>138</v>
      </c>
      <c r="D15" s="7">
        <v>1111</v>
      </c>
      <c r="E15" s="8">
        <v>5</v>
      </c>
      <c r="F15" s="8">
        <f t="shared" si="0"/>
        <v>233</v>
      </c>
      <c r="G15" s="8">
        <v>2328</v>
      </c>
      <c r="H15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1800.7259999999999</v>
      </c>
      <c r="I15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15" s="10">
        <f>MarketingSpend[[#This Row],[Actual Revenue]]/MarketingSpend[[#This Row],[Spend]]</f>
        <v>1.6208154815481548</v>
      </c>
      <c r="K15" s="20">
        <f>MarketingSpend[[#This Row],[Total Orders]]/MarketingSpend[[#This Row],[Lead]]</f>
        <v>8.5836909871244635E-3</v>
      </c>
    </row>
    <row r="16" spans="1:11">
      <c r="A16" s="6">
        <v>45292</v>
      </c>
      <c r="B16" t="s">
        <v>90</v>
      </c>
      <c r="C16" t="s">
        <v>138</v>
      </c>
      <c r="D16" s="7">
        <v>2530</v>
      </c>
      <c r="E16" s="8">
        <v>1</v>
      </c>
      <c r="F16" s="8">
        <f t="shared" si="0"/>
        <v>462</v>
      </c>
      <c r="G16" s="8">
        <v>4616</v>
      </c>
      <c r="H16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601.8119999999999</v>
      </c>
      <c r="I16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16" s="10">
        <f>MarketingSpend[[#This Row],[Actual Revenue]]/MarketingSpend[[#This Row],[Spend]]</f>
        <v>0.23787035573122525</v>
      </c>
      <c r="K16" s="20">
        <f>MarketingSpend[[#This Row],[Total Orders]]/MarketingSpend[[#This Row],[Lead]]</f>
        <v>2.1645021645021645E-3</v>
      </c>
    </row>
    <row r="17" spans="1:11">
      <c r="A17" s="6">
        <v>45292</v>
      </c>
      <c r="B17" t="s">
        <v>147</v>
      </c>
      <c r="C17" t="s">
        <v>194</v>
      </c>
      <c r="D17" s="7">
        <v>1720</v>
      </c>
      <c r="E17" s="8">
        <v>1</v>
      </c>
      <c r="F17" s="8">
        <f t="shared" si="0"/>
        <v>436</v>
      </c>
      <c r="G17" s="8">
        <v>4360</v>
      </c>
      <c r="H17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1420.6406999999999</v>
      </c>
      <c r="I17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17" s="10">
        <f>MarketingSpend[[#This Row],[Actual Revenue]]/MarketingSpend[[#This Row],[Spend]]</f>
        <v>0.82595389534883712</v>
      </c>
      <c r="K17" s="20">
        <f>MarketingSpend[[#This Row],[Total Orders]]/MarketingSpend[[#This Row],[Lead]]</f>
        <v>9.1743119266055051E-3</v>
      </c>
    </row>
    <row r="18" spans="1:11">
      <c r="A18" s="6">
        <v>45292</v>
      </c>
      <c r="B18" t="s">
        <v>100</v>
      </c>
      <c r="C18" t="s">
        <v>194</v>
      </c>
      <c r="D18" s="7">
        <v>2739</v>
      </c>
      <c r="E18" s="8">
        <v>2</v>
      </c>
      <c r="F18" s="8">
        <f t="shared" si="0"/>
        <v>780</v>
      </c>
      <c r="G18" s="8">
        <v>7795</v>
      </c>
      <c r="H18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5515.9955999999993</v>
      </c>
      <c r="I18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18" s="10">
        <f>MarketingSpend[[#This Row],[Actual Revenue]]/MarketingSpend[[#This Row],[Spend]]</f>
        <v>2.0138720700985759</v>
      </c>
      <c r="K18" s="20">
        <f>MarketingSpend[[#This Row],[Total Orders]]/MarketingSpend[[#This Row],[Lead]]</f>
        <v>3.8461538461538464E-3</v>
      </c>
    </row>
    <row r="19" spans="1:11">
      <c r="A19" s="6">
        <v>45292</v>
      </c>
      <c r="B19" t="s">
        <v>79</v>
      </c>
      <c r="C19" t="s">
        <v>194</v>
      </c>
      <c r="D19" s="7">
        <v>3790</v>
      </c>
      <c r="E19" s="8">
        <v>4</v>
      </c>
      <c r="F19" s="8">
        <f t="shared" si="0"/>
        <v>962</v>
      </c>
      <c r="G19" s="8">
        <v>9613</v>
      </c>
      <c r="H19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997.1653</v>
      </c>
      <c r="I19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19" s="10">
        <f>MarketingSpend[[#This Row],[Actual Revenue]]/MarketingSpend[[#This Row],[Spend]]</f>
        <v>0.26310430079155672</v>
      </c>
      <c r="K19" s="20">
        <f>MarketingSpend[[#This Row],[Total Orders]]/MarketingSpend[[#This Row],[Lead]]</f>
        <v>2.0790020790020791E-3</v>
      </c>
    </row>
    <row r="20" spans="1:11">
      <c r="A20" s="6">
        <v>45292</v>
      </c>
      <c r="B20" t="s">
        <v>130</v>
      </c>
      <c r="C20" t="s">
        <v>194</v>
      </c>
      <c r="D20" s="7">
        <v>1098</v>
      </c>
      <c r="E20" s="8">
        <v>3</v>
      </c>
      <c r="F20" s="8">
        <f t="shared" si="0"/>
        <v>197</v>
      </c>
      <c r="G20" s="8">
        <v>1963</v>
      </c>
      <c r="H20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1313.8907999999999</v>
      </c>
      <c r="I20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20" s="10">
        <f>MarketingSpend[[#This Row],[Actual Revenue]]/MarketingSpend[[#This Row],[Spend]]</f>
        <v>1.1966218579234971</v>
      </c>
      <c r="K20" s="20">
        <f>MarketingSpend[[#This Row],[Total Orders]]/MarketingSpend[[#This Row],[Lead]]</f>
        <v>1.5228426395939087E-2</v>
      </c>
    </row>
    <row r="21" spans="1:11">
      <c r="A21" s="6">
        <v>45292</v>
      </c>
      <c r="B21" t="s">
        <v>90</v>
      </c>
      <c r="C21" t="s">
        <v>194</v>
      </c>
      <c r="D21" s="7">
        <v>2172</v>
      </c>
      <c r="E21" s="8">
        <v>2</v>
      </c>
      <c r="F21" s="8">
        <f t="shared" si="0"/>
        <v>527</v>
      </c>
      <c r="G21" s="8">
        <v>5265</v>
      </c>
      <c r="H21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5960.174</v>
      </c>
      <c r="I21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21" s="10">
        <f>MarketingSpend[[#This Row],[Actual Revenue]]/MarketingSpend[[#This Row],[Spend]]</f>
        <v>2.7440948434622467</v>
      </c>
      <c r="K21" s="20">
        <f>MarketingSpend[[#This Row],[Total Orders]]/MarketingSpend[[#This Row],[Lead]]</f>
        <v>3.7950664136622392E-3</v>
      </c>
    </row>
    <row r="22" spans="1:11">
      <c r="A22" s="6">
        <v>45323</v>
      </c>
      <c r="B22" t="s">
        <v>147</v>
      </c>
      <c r="C22" t="s">
        <v>75</v>
      </c>
      <c r="D22" s="7">
        <v>2220</v>
      </c>
      <c r="E22" s="8">
        <v>3</v>
      </c>
      <c r="F22" s="8">
        <f t="shared" si="0"/>
        <v>465</v>
      </c>
      <c r="G22" s="8">
        <v>4648</v>
      </c>
      <c r="H22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3473.04</v>
      </c>
      <c r="I22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22" s="10">
        <f>MarketingSpend[[#This Row],[Actual Revenue]]/MarketingSpend[[#This Row],[Spend]]</f>
        <v>1.5644324324324324</v>
      </c>
      <c r="K22" s="20">
        <f>MarketingSpend[[#This Row],[Total Orders]]/MarketingSpend[[#This Row],[Lead]]</f>
        <v>2.1505376344086021E-3</v>
      </c>
    </row>
    <row r="23" spans="1:11">
      <c r="A23" s="6">
        <v>45323</v>
      </c>
      <c r="B23" t="s">
        <v>100</v>
      </c>
      <c r="C23" t="s">
        <v>75</v>
      </c>
      <c r="D23" s="7">
        <v>3640</v>
      </c>
      <c r="E23" s="8">
        <v>4</v>
      </c>
      <c r="F23" s="8">
        <f t="shared" si="0"/>
        <v>934</v>
      </c>
      <c r="G23" s="8">
        <v>9336</v>
      </c>
      <c r="H23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1138.2705000000001</v>
      </c>
      <c r="I23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23" s="10">
        <f>MarketingSpend[[#This Row],[Actual Revenue]]/MarketingSpend[[#This Row],[Spend]]</f>
        <v>0.31271167582417586</v>
      </c>
      <c r="K23" s="20">
        <f>MarketingSpend[[#This Row],[Total Orders]]/MarketingSpend[[#This Row],[Lead]]</f>
        <v>3.2119914346895075E-3</v>
      </c>
    </row>
    <row r="24" spans="1:11">
      <c r="A24" s="6">
        <v>45323</v>
      </c>
      <c r="B24" t="s">
        <v>79</v>
      </c>
      <c r="C24" t="s">
        <v>75</v>
      </c>
      <c r="D24" s="7">
        <v>4664</v>
      </c>
      <c r="E24" s="8">
        <v>3</v>
      </c>
      <c r="F24" s="8">
        <f t="shared" si="0"/>
        <v>1390</v>
      </c>
      <c r="G24" s="8">
        <v>13895</v>
      </c>
      <c r="H24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2622.116</v>
      </c>
      <c r="I24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24" s="10">
        <f>MarketingSpend[[#This Row],[Actual Revenue]]/MarketingSpend[[#This Row],[Spend]]</f>
        <v>0.56220325900514578</v>
      </c>
      <c r="K24" s="20">
        <f>MarketingSpend[[#This Row],[Total Orders]]/MarketingSpend[[#This Row],[Lead]]</f>
        <v>2.8776978417266188E-3</v>
      </c>
    </row>
    <row r="25" spans="1:11">
      <c r="A25" s="6">
        <v>45323</v>
      </c>
      <c r="B25" t="s">
        <v>130</v>
      </c>
      <c r="C25" t="s">
        <v>75</v>
      </c>
      <c r="D25" s="7">
        <v>1425</v>
      </c>
      <c r="E25" s="8">
        <v>4</v>
      </c>
      <c r="F25" s="8">
        <f t="shared" si="0"/>
        <v>219</v>
      </c>
      <c r="G25" s="8">
        <v>2190</v>
      </c>
      <c r="H25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1917.5065</v>
      </c>
      <c r="I25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25" s="10">
        <f>MarketingSpend[[#This Row],[Actual Revenue]]/MarketingSpend[[#This Row],[Spend]]</f>
        <v>1.3456185964912279</v>
      </c>
      <c r="K25" s="20">
        <f>MarketingSpend[[#This Row],[Total Orders]]/MarketingSpend[[#This Row],[Lead]]</f>
        <v>1.8264840182648401E-2</v>
      </c>
    </row>
    <row r="26" spans="1:11">
      <c r="A26" s="6">
        <v>45323</v>
      </c>
      <c r="B26" t="s">
        <v>90</v>
      </c>
      <c r="C26" t="s">
        <v>75</v>
      </c>
      <c r="D26" s="7">
        <v>2509</v>
      </c>
      <c r="E26" s="8">
        <v>5</v>
      </c>
      <c r="F26" s="8">
        <f t="shared" si="0"/>
        <v>724</v>
      </c>
      <c r="G26" s="8">
        <v>7238</v>
      </c>
      <c r="H26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1626.4171999999999</v>
      </c>
      <c r="I26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26" s="10">
        <f>MarketingSpend[[#This Row],[Actual Revenue]]/MarketingSpend[[#This Row],[Spend]]</f>
        <v>0.64823324033479468</v>
      </c>
      <c r="K26" s="20">
        <f>MarketingSpend[[#This Row],[Total Orders]]/MarketingSpend[[#This Row],[Lead]]</f>
        <v>5.5248618784530384E-3</v>
      </c>
    </row>
    <row r="27" spans="1:11">
      <c r="A27" s="6">
        <v>45323</v>
      </c>
      <c r="B27" t="s">
        <v>147</v>
      </c>
      <c r="C27" t="s">
        <v>126</v>
      </c>
      <c r="D27" s="7">
        <v>1842</v>
      </c>
      <c r="E27" s="8">
        <v>3</v>
      </c>
      <c r="F27" s="8">
        <f t="shared" si="0"/>
        <v>368</v>
      </c>
      <c r="G27" s="8">
        <v>3678</v>
      </c>
      <c r="H27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969.36099999999999</v>
      </c>
      <c r="I27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27" s="10">
        <f>MarketingSpend[[#This Row],[Actual Revenue]]/MarketingSpend[[#This Row],[Spend]]</f>
        <v>0.52625461454940281</v>
      </c>
      <c r="K27" s="20">
        <f>MarketingSpend[[#This Row],[Total Orders]]/MarketingSpend[[#This Row],[Lead]]</f>
        <v>2.717391304347826E-3</v>
      </c>
    </row>
    <row r="28" spans="1:11">
      <c r="A28" s="6">
        <v>45323</v>
      </c>
      <c r="B28" t="s">
        <v>100</v>
      </c>
      <c r="C28" t="s">
        <v>126</v>
      </c>
      <c r="D28" s="7">
        <v>3388</v>
      </c>
      <c r="E28" s="8">
        <v>1</v>
      </c>
      <c r="F28" s="8">
        <f t="shared" si="0"/>
        <v>988</v>
      </c>
      <c r="G28" s="8">
        <v>9871</v>
      </c>
      <c r="H28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4174.3616000000002</v>
      </c>
      <c r="I28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28" s="10">
        <f>MarketingSpend[[#This Row],[Actual Revenue]]/MarketingSpend[[#This Row],[Spend]]</f>
        <v>1.2321020070838253</v>
      </c>
      <c r="K28" s="20">
        <f>MarketingSpend[[#This Row],[Total Orders]]/MarketingSpend[[#This Row],[Lead]]</f>
        <v>2.0242914979757085E-3</v>
      </c>
    </row>
    <row r="29" spans="1:11">
      <c r="A29" s="6">
        <v>45323</v>
      </c>
      <c r="B29" t="s">
        <v>79</v>
      </c>
      <c r="C29" t="s">
        <v>126</v>
      </c>
      <c r="D29" s="7">
        <v>6139</v>
      </c>
      <c r="E29" s="8">
        <v>3</v>
      </c>
      <c r="F29" s="8">
        <f t="shared" si="0"/>
        <v>1317</v>
      </c>
      <c r="G29" s="8">
        <v>13161</v>
      </c>
      <c r="H29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149.78909999999999</v>
      </c>
      <c r="I29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29" s="10">
        <f>MarketingSpend[[#This Row],[Actual Revenue]]/MarketingSpend[[#This Row],[Spend]]</f>
        <v>2.4399592767551718E-2</v>
      </c>
      <c r="K29" s="20">
        <f>MarketingSpend[[#This Row],[Total Orders]]/MarketingSpend[[#This Row],[Lead]]</f>
        <v>1.5186028853454822E-3</v>
      </c>
    </row>
    <row r="30" spans="1:11">
      <c r="A30" s="6">
        <v>45323</v>
      </c>
      <c r="B30" t="s">
        <v>130</v>
      </c>
      <c r="C30" t="s">
        <v>126</v>
      </c>
      <c r="D30" s="7">
        <v>1377</v>
      </c>
      <c r="E30" s="8">
        <v>1</v>
      </c>
      <c r="F30" s="8">
        <f t="shared" si="0"/>
        <v>300</v>
      </c>
      <c r="G30" s="8">
        <v>2991</v>
      </c>
      <c r="H30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2264.9088000000002</v>
      </c>
      <c r="I30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30" s="10">
        <f>MarketingSpend[[#This Row],[Actual Revenue]]/MarketingSpend[[#This Row],[Spend]]</f>
        <v>1.6448139433551199</v>
      </c>
      <c r="K30" s="20">
        <f>MarketingSpend[[#This Row],[Total Orders]]/MarketingSpend[[#This Row],[Lead]]</f>
        <v>3.3333333333333335E-3</v>
      </c>
    </row>
    <row r="31" spans="1:11">
      <c r="A31" s="6">
        <v>45323</v>
      </c>
      <c r="B31" t="s">
        <v>90</v>
      </c>
      <c r="C31" t="s">
        <v>126</v>
      </c>
      <c r="D31" s="7">
        <v>2788</v>
      </c>
      <c r="E31" s="8">
        <v>1</v>
      </c>
      <c r="F31" s="8">
        <f t="shared" si="0"/>
        <v>534</v>
      </c>
      <c r="G31" s="8">
        <v>5336</v>
      </c>
      <c r="H31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2670.1664000000001</v>
      </c>
      <c r="I31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31" s="10">
        <f>MarketingSpend[[#This Row],[Actual Revenue]]/MarketingSpend[[#This Row],[Spend]]</f>
        <v>0.95773543758967006</v>
      </c>
      <c r="K31" s="20">
        <f>MarketingSpend[[#This Row],[Total Orders]]/MarketingSpend[[#This Row],[Lead]]</f>
        <v>5.6179775280898875E-3</v>
      </c>
    </row>
    <row r="32" spans="1:11">
      <c r="A32" s="6">
        <v>45323</v>
      </c>
      <c r="B32" t="s">
        <v>147</v>
      </c>
      <c r="C32" t="s">
        <v>138</v>
      </c>
      <c r="D32" s="7">
        <v>1516</v>
      </c>
      <c r="E32" s="8">
        <v>5</v>
      </c>
      <c r="F32" s="8">
        <f t="shared" si="0"/>
        <v>415</v>
      </c>
      <c r="G32" s="8">
        <v>4142</v>
      </c>
      <c r="H32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274.70080000000002</v>
      </c>
      <c r="I32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32" s="10">
        <f>MarketingSpend[[#This Row],[Actual Revenue]]/MarketingSpend[[#This Row],[Spend]]</f>
        <v>0.181201055408971</v>
      </c>
      <c r="K32" s="20">
        <f>MarketingSpend[[#This Row],[Total Orders]]/MarketingSpend[[#This Row],[Lead]]</f>
        <v>2.4096385542168677E-3</v>
      </c>
    </row>
    <row r="33" spans="1:11">
      <c r="A33" s="6">
        <v>45323</v>
      </c>
      <c r="B33" t="s">
        <v>100</v>
      </c>
      <c r="C33" t="s">
        <v>138</v>
      </c>
      <c r="D33" s="7">
        <v>2602</v>
      </c>
      <c r="E33" s="8">
        <v>4</v>
      </c>
      <c r="F33" s="8">
        <f t="shared" si="0"/>
        <v>619</v>
      </c>
      <c r="G33" s="8">
        <v>6188</v>
      </c>
      <c r="H33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543.4559999999999</v>
      </c>
      <c r="I33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33" s="10">
        <f>MarketingSpend[[#This Row],[Actual Revenue]]/MarketingSpend[[#This Row],[Spend]]</f>
        <v>0.20886087624903915</v>
      </c>
      <c r="K33" s="20">
        <f>MarketingSpend[[#This Row],[Total Orders]]/MarketingSpend[[#This Row],[Lead]]</f>
        <v>1.6155088852988692E-3</v>
      </c>
    </row>
    <row r="34" spans="1:11">
      <c r="A34" s="6">
        <v>45323</v>
      </c>
      <c r="B34" t="s">
        <v>79</v>
      </c>
      <c r="C34" t="s">
        <v>138</v>
      </c>
      <c r="D34" s="7">
        <v>3971</v>
      </c>
      <c r="E34" s="8">
        <v>5</v>
      </c>
      <c r="F34" s="8">
        <f t="shared" si="0"/>
        <v>981</v>
      </c>
      <c r="G34" s="8">
        <v>9805</v>
      </c>
      <c r="H34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0</v>
      </c>
      <c r="I34">
        <f>COUNTIFS(Cleaned_data[Order Month],TEXT(MarketingSpend[[#This Row],[Month]],"mmmm"),Cleaned_data[Marketing_Channel],MarketingSpend[[#This Row],[Marketing_Channel]],Cleaned_data[Region],MarketingSpend[[#This Row],[Region]])</f>
        <v>0</v>
      </c>
      <c r="J34" s="10">
        <f>MarketingSpend[[#This Row],[Actual Revenue]]/MarketingSpend[[#This Row],[Spend]]</f>
        <v>0</v>
      </c>
      <c r="K34" s="20">
        <f>MarketingSpend[[#This Row],[Total Orders]]/MarketingSpend[[#This Row],[Lead]]</f>
        <v>0</v>
      </c>
    </row>
    <row r="35" spans="1:11">
      <c r="A35" s="6">
        <v>45323</v>
      </c>
      <c r="B35" t="s">
        <v>130</v>
      </c>
      <c r="C35" t="s">
        <v>138</v>
      </c>
      <c r="D35" s="7">
        <v>989</v>
      </c>
      <c r="E35" s="8">
        <v>1</v>
      </c>
      <c r="F35" s="8">
        <f t="shared" si="0"/>
        <v>241</v>
      </c>
      <c r="G35" s="8">
        <v>2403</v>
      </c>
      <c r="H35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3138.6504000000004</v>
      </c>
      <c r="I35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35" s="10">
        <f>MarketingSpend[[#This Row],[Actual Revenue]]/MarketingSpend[[#This Row],[Spend]]</f>
        <v>3.1735595551061682</v>
      </c>
      <c r="K35" s="20">
        <f>MarketingSpend[[#This Row],[Total Orders]]/MarketingSpend[[#This Row],[Lead]]</f>
        <v>8.2987551867219917E-3</v>
      </c>
    </row>
    <row r="36" spans="1:11">
      <c r="A36" s="6">
        <v>45323</v>
      </c>
      <c r="B36" t="s">
        <v>90</v>
      </c>
      <c r="C36" t="s">
        <v>138</v>
      </c>
      <c r="D36" s="7">
        <v>1999</v>
      </c>
      <c r="E36" s="8">
        <v>2</v>
      </c>
      <c r="F36" s="8">
        <f t="shared" si="0"/>
        <v>558</v>
      </c>
      <c r="G36" s="8">
        <v>5571</v>
      </c>
      <c r="H36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1134.0381</v>
      </c>
      <c r="I36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36" s="10">
        <f>MarketingSpend[[#This Row],[Actual Revenue]]/MarketingSpend[[#This Row],[Spend]]</f>
        <v>0.56730270135067529</v>
      </c>
      <c r="K36" s="20">
        <f>MarketingSpend[[#This Row],[Total Orders]]/MarketingSpend[[#This Row],[Lead]]</f>
        <v>3.5842293906810036E-3</v>
      </c>
    </row>
    <row r="37" spans="1:11">
      <c r="A37" s="6">
        <v>45323</v>
      </c>
      <c r="B37" t="s">
        <v>147</v>
      </c>
      <c r="C37" t="s">
        <v>194</v>
      </c>
      <c r="D37" s="7">
        <v>1602</v>
      </c>
      <c r="E37" s="8">
        <v>2</v>
      </c>
      <c r="F37" s="8">
        <f t="shared" si="0"/>
        <v>416</v>
      </c>
      <c r="G37" s="8">
        <v>4157</v>
      </c>
      <c r="H37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874.96140000000003</v>
      </c>
      <c r="I37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37" s="10">
        <f>MarketingSpend[[#This Row],[Actual Revenue]]/MarketingSpend[[#This Row],[Spend]]</f>
        <v>0.54616816479400754</v>
      </c>
      <c r="K37" s="20">
        <f>MarketingSpend[[#This Row],[Total Orders]]/MarketingSpend[[#This Row],[Lead]]</f>
        <v>2.403846153846154E-3</v>
      </c>
    </row>
    <row r="38" spans="1:11">
      <c r="A38" s="6">
        <v>45323</v>
      </c>
      <c r="B38" t="s">
        <v>100</v>
      </c>
      <c r="C38" t="s">
        <v>194</v>
      </c>
      <c r="D38" s="7">
        <v>2852</v>
      </c>
      <c r="E38" s="8">
        <v>3</v>
      </c>
      <c r="F38" s="8">
        <f t="shared" si="0"/>
        <v>774</v>
      </c>
      <c r="G38" s="8">
        <v>7735</v>
      </c>
      <c r="H38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3754.6185000000005</v>
      </c>
      <c r="I38">
        <f>COUNTIFS(Cleaned_data[Order Month],TEXT(MarketingSpend[[#This Row],[Month]],"mmmm"),Cleaned_data[Marketing_Channel],MarketingSpend[[#This Row],[Marketing_Channel]],Cleaned_data[Region],MarketingSpend[[#This Row],[Region]])</f>
        <v>8</v>
      </c>
      <c r="J38" s="10">
        <f>MarketingSpend[[#This Row],[Actual Revenue]]/MarketingSpend[[#This Row],[Spend]]</f>
        <v>1.3164861500701264</v>
      </c>
      <c r="K38" s="20">
        <f>MarketingSpend[[#This Row],[Total Orders]]/MarketingSpend[[#This Row],[Lead]]</f>
        <v>1.0335917312661499E-2</v>
      </c>
    </row>
    <row r="39" spans="1:11">
      <c r="A39" s="6">
        <v>45323</v>
      </c>
      <c r="B39" t="s">
        <v>79</v>
      </c>
      <c r="C39" t="s">
        <v>194</v>
      </c>
      <c r="D39" s="7">
        <v>4666</v>
      </c>
      <c r="E39" s="8">
        <v>3</v>
      </c>
      <c r="F39" s="8">
        <f t="shared" si="0"/>
        <v>923</v>
      </c>
      <c r="G39" s="8">
        <v>9221</v>
      </c>
      <c r="H39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279.02619999999996</v>
      </c>
      <c r="I39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39" s="10">
        <f>MarketingSpend[[#This Row],[Actual Revenue]]/MarketingSpend[[#This Row],[Spend]]</f>
        <v>5.9799871410201447E-2</v>
      </c>
      <c r="K39" s="20">
        <f>MarketingSpend[[#This Row],[Total Orders]]/MarketingSpend[[#This Row],[Lead]]</f>
        <v>2.1668472372697724E-3</v>
      </c>
    </row>
    <row r="40" spans="1:11">
      <c r="A40" s="6">
        <v>45323</v>
      </c>
      <c r="B40" t="s">
        <v>130</v>
      </c>
      <c r="C40" t="s">
        <v>194</v>
      </c>
      <c r="D40" s="7">
        <v>1018</v>
      </c>
      <c r="E40" s="8">
        <v>2</v>
      </c>
      <c r="F40" s="8">
        <f t="shared" si="0"/>
        <v>156</v>
      </c>
      <c r="G40" s="8">
        <v>1559</v>
      </c>
      <c r="H40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187.0633</v>
      </c>
      <c r="I40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40" s="10">
        <f>MarketingSpend[[#This Row],[Actual Revenue]]/MarketingSpend[[#This Row],[Spend]]</f>
        <v>0.1837556974459725</v>
      </c>
      <c r="K40" s="20">
        <f>MarketingSpend[[#This Row],[Total Orders]]/MarketingSpend[[#This Row],[Lead]]</f>
        <v>1.9230769230769232E-2</v>
      </c>
    </row>
    <row r="41" spans="1:11">
      <c r="A41" s="6">
        <v>45323</v>
      </c>
      <c r="B41" t="s">
        <v>90</v>
      </c>
      <c r="C41" t="s">
        <v>194</v>
      </c>
      <c r="D41" s="7">
        <v>2574</v>
      </c>
      <c r="E41" s="8">
        <v>3</v>
      </c>
      <c r="F41" s="8">
        <f t="shared" si="0"/>
        <v>416</v>
      </c>
      <c r="G41" s="8">
        <v>4155</v>
      </c>
      <c r="H41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0</v>
      </c>
      <c r="I41">
        <f>COUNTIFS(Cleaned_data[Order Month],TEXT(MarketingSpend[[#This Row],[Month]],"mmmm"),Cleaned_data[Marketing_Channel],MarketingSpend[[#This Row],[Marketing_Channel]],Cleaned_data[Region],MarketingSpend[[#This Row],[Region]])</f>
        <v>0</v>
      </c>
      <c r="J41" s="10">
        <f>MarketingSpend[[#This Row],[Actual Revenue]]/MarketingSpend[[#This Row],[Spend]]</f>
        <v>0</v>
      </c>
      <c r="K41" s="20">
        <f>MarketingSpend[[#This Row],[Total Orders]]/MarketingSpend[[#This Row],[Lead]]</f>
        <v>0</v>
      </c>
    </row>
    <row r="42" spans="1:11">
      <c r="A42" s="6">
        <v>45352</v>
      </c>
      <c r="B42" t="s">
        <v>147</v>
      </c>
      <c r="C42" t="s">
        <v>75</v>
      </c>
      <c r="D42" s="7">
        <v>1824</v>
      </c>
      <c r="E42" s="8">
        <v>4</v>
      </c>
      <c r="F42" s="8">
        <f t="shared" si="0"/>
        <v>540</v>
      </c>
      <c r="G42" s="8">
        <v>5391</v>
      </c>
      <c r="H42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1963.4825000000003</v>
      </c>
      <c r="I42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42" s="10">
        <f>MarketingSpend[[#This Row],[Actual Revenue]]/MarketingSpend[[#This Row],[Spend]]</f>
        <v>1.0764706688596493</v>
      </c>
      <c r="K42" s="20">
        <f>MarketingSpend[[#This Row],[Total Orders]]/MarketingSpend[[#This Row],[Lead]]</f>
        <v>7.4074074074074077E-3</v>
      </c>
    </row>
    <row r="43" spans="1:11">
      <c r="A43" s="6">
        <v>45352</v>
      </c>
      <c r="B43" t="s">
        <v>100</v>
      </c>
      <c r="C43" t="s">
        <v>75</v>
      </c>
      <c r="D43" s="7">
        <v>3824</v>
      </c>
      <c r="E43" s="8">
        <v>4</v>
      </c>
      <c r="F43" s="8">
        <f t="shared" si="0"/>
        <v>807</v>
      </c>
      <c r="G43" s="8">
        <v>8065</v>
      </c>
      <c r="H43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168.70920000000001</v>
      </c>
      <c r="I43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43" s="10">
        <f>MarketingSpend[[#This Row],[Actual Revenue]]/MarketingSpend[[#This Row],[Spend]]</f>
        <v>4.4118514644351466E-2</v>
      </c>
      <c r="K43" s="20">
        <f>MarketingSpend[[#This Row],[Total Orders]]/MarketingSpend[[#This Row],[Lead]]</f>
        <v>2.4783147459727386E-3</v>
      </c>
    </row>
    <row r="44" spans="1:11">
      <c r="A44" s="6">
        <v>45352</v>
      </c>
      <c r="B44" t="s">
        <v>79</v>
      </c>
      <c r="C44" t="s">
        <v>75</v>
      </c>
      <c r="D44" s="7">
        <v>5558</v>
      </c>
      <c r="E44" s="8">
        <v>2</v>
      </c>
      <c r="F44" s="8">
        <f t="shared" si="0"/>
        <v>1439</v>
      </c>
      <c r="G44" s="8">
        <v>14388</v>
      </c>
      <c r="H44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2251.9096999999997</v>
      </c>
      <c r="I44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44" s="10">
        <f>MarketingSpend[[#This Row],[Actual Revenue]]/MarketingSpend[[#This Row],[Spend]]</f>
        <v>0.40516547319179558</v>
      </c>
      <c r="K44" s="20">
        <f>MarketingSpend[[#This Row],[Total Orders]]/MarketingSpend[[#This Row],[Lead]]</f>
        <v>2.0847810979847115E-3</v>
      </c>
    </row>
    <row r="45" spans="1:11">
      <c r="A45" s="6">
        <v>45352</v>
      </c>
      <c r="B45" t="s">
        <v>130</v>
      </c>
      <c r="C45" t="s">
        <v>75</v>
      </c>
      <c r="D45" s="7">
        <v>1419</v>
      </c>
      <c r="E45" s="8">
        <v>3</v>
      </c>
      <c r="F45" s="8">
        <f t="shared" si="0"/>
        <v>226</v>
      </c>
      <c r="G45" s="8">
        <v>2254</v>
      </c>
      <c r="H45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1991.6723</v>
      </c>
      <c r="I45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45" s="10">
        <f>MarketingSpend[[#This Row],[Actual Revenue]]/MarketingSpend[[#This Row],[Spend]]</f>
        <v>1.4035745595489781</v>
      </c>
      <c r="K45" s="20">
        <f>MarketingSpend[[#This Row],[Total Orders]]/MarketingSpend[[#This Row],[Lead]]</f>
        <v>1.7699115044247787E-2</v>
      </c>
    </row>
    <row r="46" spans="1:11">
      <c r="A46" s="6">
        <v>45352</v>
      </c>
      <c r="B46" t="s">
        <v>90</v>
      </c>
      <c r="C46" t="s">
        <v>75</v>
      </c>
      <c r="D46" s="7">
        <v>2964</v>
      </c>
      <c r="E46" s="8">
        <v>3</v>
      </c>
      <c r="F46" s="8">
        <f t="shared" si="0"/>
        <v>457</v>
      </c>
      <c r="G46" s="8">
        <v>4562</v>
      </c>
      <c r="H46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4318.1536999999998</v>
      </c>
      <c r="I46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46" s="10">
        <f>MarketingSpend[[#This Row],[Actual Revenue]]/MarketingSpend[[#This Row],[Spend]]</f>
        <v>1.4568669703103914</v>
      </c>
      <c r="K46" s="20">
        <f>MarketingSpend[[#This Row],[Total Orders]]/MarketingSpend[[#This Row],[Lead]]</f>
        <v>8.7527352297592995E-3</v>
      </c>
    </row>
    <row r="47" spans="1:11">
      <c r="A47" s="6">
        <v>45352</v>
      </c>
      <c r="B47" t="s">
        <v>147</v>
      </c>
      <c r="C47" t="s">
        <v>126</v>
      </c>
      <c r="D47" s="7">
        <v>1963</v>
      </c>
      <c r="E47" s="8">
        <v>1</v>
      </c>
      <c r="F47" s="8">
        <f t="shared" si="0"/>
        <v>536</v>
      </c>
      <c r="G47" s="8">
        <v>5353</v>
      </c>
      <c r="H47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3473.2367999999997</v>
      </c>
      <c r="I47">
        <f>COUNTIFS(Cleaned_data[Order Month],TEXT(MarketingSpend[[#This Row],[Month]],"mmmm"),Cleaned_data[Marketing_Channel],MarketingSpend[[#This Row],[Marketing_Channel]],Cleaned_data[Region],MarketingSpend[[#This Row],[Region]])</f>
        <v>5</v>
      </c>
      <c r="J47" s="10">
        <f>MarketingSpend[[#This Row],[Actual Revenue]]/MarketingSpend[[#This Row],[Spend]]</f>
        <v>1.7693514009169637</v>
      </c>
      <c r="K47" s="20">
        <f>MarketingSpend[[#This Row],[Total Orders]]/MarketingSpend[[#This Row],[Lead]]</f>
        <v>9.3283582089552231E-3</v>
      </c>
    </row>
    <row r="48" spans="1:11">
      <c r="A48" s="6">
        <v>45352</v>
      </c>
      <c r="B48" t="s">
        <v>100</v>
      </c>
      <c r="C48" t="s">
        <v>126</v>
      </c>
      <c r="D48" s="7">
        <v>4314</v>
      </c>
      <c r="E48" s="8">
        <v>3</v>
      </c>
      <c r="F48" s="8">
        <f t="shared" si="0"/>
        <v>923</v>
      </c>
      <c r="G48" s="8">
        <v>9227</v>
      </c>
      <c r="H48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1004.3416999999999</v>
      </c>
      <c r="I48">
        <f>COUNTIFS(Cleaned_data[Order Month],TEXT(MarketingSpend[[#This Row],[Month]],"mmmm"),Cleaned_data[Marketing_Channel],MarketingSpend[[#This Row],[Marketing_Channel]],Cleaned_data[Region],MarketingSpend[[#This Row],[Region]])</f>
        <v>5</v>
      </c>
      <c r="J48" s="10">
        <f>MarketingSpend[[#This Row],[Actual Revenue]]/MarketingSpend[[#This Row],[Spend]]</f>
        <v>0.23280985164580434</v>
      </c>
      <c r="K48" s="20">
        <f>MarketingSpend[[#This Row],[Total Orders]]/MarketingSpend[[#This Row],[Lead]]</f>
        <v>5.4171180931744311E-3</v>
      </c>
    </row>
    <row r="49" spans="1:11">
      <c r="A49" s="6">
        <v>45352</v>
      </c>
      <c r="B49" t="s">
        <v>79</v>
      </c>
      <c r="C49" t="s">
        <v>126</v>
      </c>
      <c r="D49" s="7">
        <v>5503</v>
      </c>
      <c r="E49" s="8">
        <v>2</v>
      </c>
      <c r="F49" s="8">
        <f t="shared" si="0"/>
        <v>1340</v>
      </c>
      <c r="G49" s="8">
        <v>13393</v>
      </c>
      <c r="H49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714.86619999999994</v>
      </c>
      <c r="I49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49" s="10">
        <f>MarketingSpend[[#This Row],[Actual Revenue]]/MarketingSpend[[#This Row],[Spend]]</f>
        <v>0.12990481555515174</v>
      </c>
      <c r="K49" s="20">
        <f>MarketingSpend[[#This Row],[Total Orders]]/MarketingSpend[[#This Row],[Lead]]</f>
        <v>1.4925373134328358E-3</v>
      </c>
    </row>
    <row r="50" spans="1:11">
      <c r="A50" s="6">
        <v>45352</v>
      </c>
      <c r="B50" t="s">
        <v>130</v>
      </c>
      <c r="C50" t="s">
        <v>126</v>
      </c>
      <c r="D50" s="7">
        <v>1436</v>
      </c>
      <c r="E50" s="8">
        <v>5</v>
      </c>
      <c r="F50" s="8">
        <f t="shared" si="0"/>
        <v>212</v>
      </c>
      <c r="G50" s="8">
        <v>2114</v>
      </c>
      <c r="H50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1162.3609999999999</v>
      </c>
      <c r="I50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50" s="10">
        <f>MarketingSpend[[#This Row],[Actual Revenue]]/MarketingSpend[[#This Row],[Spend]]</f>
        <v>0.80944359331476312</v>
      </c>
      <c r="K50" s="20">
        <f>MarketingSpend[[#This Row],[Total Orders]]/MarketingSpend[[#This Row],[Lead]]</f>
        <v>1.4150943396226415E-2</v>
      </c>
    </row>
    <row r="51" spans="1:11">
      <c r="A51" s="6">
        <v>45352</v>
      </c>
      <c r="B51" t="s">
        <v>90</v>
      </c>
      <c r="C51" t="s">
        <v>126</v>
      </c>
      <c r="D51" s="7">
        <v>2986</v>
      </c>
      <c r="E51" s="8">
        <v>5</v>
      </c>
      <c r="F51" s="8">
        <f t="shared" si="0"/>
        <v>552</v>
      </c>
      <c r="G51" s="8">
        <v>5516</v>
      </c>
      <c r="H51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209.49510000000001</v>
      </c>
      <c r="I51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51" s="10">
        <f>MarketingSpend[[#This Row],[Actual Revenue]]/MarketingSpend[[#This Row],[Spend]]</f>
        <v>7.0159109176155393E-2</v>
      </c>
      <c r="K51" s="20">
        <f>MarketingSpend[[#This Row],[Total Orders]]/MarketingSpend[[#This Row],[Lead]]</f>
        <v>3.6231884057971015E-3</v>
      </c>
    </row>
    <row r="52" spans="1:11">
      <c r="A52" s="6">
        <v>45352</v>
      </c>
      <c r="B52" t="s">
        <v>147</v>
      </c>
      <c r="C52" t="s">
        <v>138</v>
      </c>
      <c r="D52" s="7">
        <v>1592</v>
      </c>
      <c r="E52" s="8">
        <v>1</v>
      </c>
      <c r="F52" s="8">
        <f t="shared" si="0"/>
        <v>354</v>
      </c>
      <c r="G52" s="8">
        <v>3538</v>
      </c>
      <c r="H52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953.43399999999997</v>
      </c>
      <c r="I52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52" s="10">
        <f>MarketingSpend[[#This Row],[Actual Revenue]]/MarketingSpend[[#This Row],[Spend]]</f>
        <v>0.59889070351758789</v>
      </c>
      <c r="K52" s="20">
        <f>MarketingSpend[[#This Row],[Total Orders]]/MarketingSpend[[#This Row],[Lead]]</f>
        <v>5.6497175141242938E-3</v>
      </c>
    </row>
    <row r="53" spans="1:11">
      <c r="A53" s="6">
        <v>45352</v>
      </c>
      <c r="B53" t="s">
        <v>100</v>
      </c>
      <c r="C53" t="s">
        <v>138</v>
      </c>
      <c r="D53" s="7">
        <v>3568</v>
      </c>
      <c r="E53" s="8">
        <v>4</v>
      </c>
      <c r="F53" s="8">
        <f t="shared" si="0"/>
        <v>665</v>
      </c>
      <c r="G53" s="8">
        <v>6642</v>
      </c>
      <c r="H53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787.11360000000002</v>
      </c>
      <c r="I53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53" s="10">
        <f>MarketingSpend[[#This Row],[Actual Revenue]]/MarketingSpend[[#This Row],[Spend]]</f>
        <v>0.2206035874439462</v>
      </c>
      <c r="K53" s="20">
        <f>MarketingSpend[[#This Row],[Total Orders]]/MarketingSpend[[#This Row],[Lead]]</f>
        <v>1.5037593984962407E-3</v>
      </c>
    </row>
    <row r="54" spans="1:11">
      <c r="A54" s="6">
        <v>45352</v>
      </c>
      <c r="B54" t="s">
        <v>79</v>
      </c>
      <c r="C54" t="s">
        <v>138</v>
      </c>
      <c r="D54" s="7">
        <v>4749</v>
      </c>
      <c r="E54" s="8">
        <v>5</v>
      </c>
      <c r="F54" s="8">
        <f t="shared" si="0"/>
        <v>727</v>
      </c>
      <c r="G54" s="8">
        <v>7263</v>
      </c>
      <c r="H54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0</v>
      </c>
      <c r="I54">
        <f>COUNTIFS(Cleaned_data[Order Month],TEXT(MarketingSpend[[#This Row],[Month]],"mmmm"),Cleaned_data[Marketing_Channel],MarketingSpend[[#This Row],[Marketing_Channel]],Cleaned_data[Region],MarketingSpend[[#This Row],[Region]])</f>
        <v>0</v>
      </c>
      <c r="J54" s="10">
        <f>MarketingSpend[[#This Row],[Actual Revenue]]/MarketingSpend[[#This Row],[Spend]]</f>
        <v>0</v>
      </c>
      <c r="K54" s="20">
        <f>MarketingSpend[[#This Row],[Total Orders]]/MarketingSpend[[#This Row],[Lead]]</f>
        <v>0</v>
      </c>
    </row>
    <row r="55" spans="1:11">
      <c r="A55" s="6">
        <v>45352</v>
      </c>
      <c r="B55" t="s">
        <v>130</v>
      </c>
      <c r="C55" t="s">
        <v>138</v>
      </c>
      <c r="D55" s="7">
        <v>1179</v>
      </c>
      <c r="E55" s="8">
        <v>5</v>
      </c>
      <c r="F55" s="8">
        <f t="shared" si="0"/>
        <v>193</v>
      </c>
      <c r="G55" s="8">
        <v>1926</v>
      </c>
      <c r="H55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3315.4531999999999</v>
      </c>
      <c r="I55">
        <f>COUNTIFS(Cleaned_data[Order Month],TEXT(MarketingSpend[[#This Row],[Month]],"mmmm"),Cleaned_data[Marketing_Channel],MarketingSpend[[#This Row],[Marketing_Channel]],Cleaned_data[Region],MarketingSpend[[#This Row],[Region]])</f>
        <v>5</v>
      </c>
      <c r="J55" s="10">
        <f>MarketingSpend[[#This Row],[Actual Revenue]]/MarketingSpend[[#This Row],[Spend]]</f>
        <v>2.8120892281594569</v>
      </c>
      <c r="K55" s="20">
        <f>MarketingSpend[[#This Row],[Total Orders]]/MarketingSpend[[#This Row],[Lead]]</f>
        <v>2.5906735751295335E-2</v>
      </c>
    </row>
    <row r="56" spans="1:11">
      <c r="A56" s="6">
        <v>45352</v>
      </c>
      <c r="B56" t="s">
        <v>90</v>
      </c>
      <c r="C56" t="s">
        <v>138</v>
      </c>
      <c r="D56" s="7">
        <v>2221</v>
      </c>
      <c r="E56" s="8">
        <v>1</v>
      </c>
      <c r="F56" s="8">
        <f t="shared" si="0"/>
        <v>454</v>
      </c>
      <c r="G56" s="8">
        <v>4533</v>
      </c>
      <c r="H56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818.30569999999989</v>
      </c>
      <c r="I56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56" s="10">
        <f>MarketingSpend[[#This Row],[Actual Revenue]]/MarketingSpend[[#This Row],[Spend]]</f>
        <v>0.36844020711391262</v>
      </c>
      <c r="K56" s="20">
        <f>MarketingSpend[[#This Row],[Total Orders]]/MarketingSpend[[#This Row],[Lead]]</f>
        <v>6.6079295154185024E-3</v>
      </c>
    </row>
    <row r="57" spans="1:11">
      <c r="A57" s="6">
        <v>45352</v>
      </c>
      <c r="B57" t="s">
        <v>147</v>
      </c>
      <c r="C57" t="s">
        <v>194</v>
      </c>
      <c r="D57" s="7">
        <v>1396</v>
      </c>
      <c r="E57" s="8">
        <v>1</v>
      </c>
      <c r="F57" s="8">
        <f t="shared" si="0"/>
        <v>257</v>
      </c>
      <c r="G57" s="8">
        <v>2564</v>
      </c>
      <c r="H57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7360.3856000000005</v>
      </c>
      <c r="I57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57" s="10">
        <f>MarketingSpend[[#This Row],[Actual Revenue]]/MarketingSpend[[#This Row],[Spend]]</f>
        <v>5.2724825214899713</v>
      </c>
      <c r="K57" s="20">
        <f>MarketingSpend[[#This Row],[Total Orders]]/MarketingSpend[[#This Row],[Lead]]</f>
        <v>1.556420233463035E-2</v>
      </c>
    </row>
    <row r="58" spans="1:11">
      <c r="A58" s="6">
        <v>45352</v>
      </c>
      <c r="B58" t="s">
        <v>100</v>
      </c>
      <c r="C58" t="s">
        <v>194</v>
      </c>
      <c r="D58" s="7">
        <v>2462</v>
      </c>
      <c r="E58" s="8">
        <v>1</v>
      </c>
      <c r="F58" s="8">
        <f t="shared" si="0"/>
        <v>805</v>
      </c>
      <c r="G58" s="8">
        <v>8042</v>
      </c>
      <c r="H58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231.43219999999999</v>
      </c>
      <c r="I58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58" s="10">
        <f>MarketingSpend[[#This Row],[Actual Revenue]]/MarketingSpend[[#This Row],[Spend]]</f>
        <v>9.4001705930138096E-2</v>
      </c>
      <c r="K58" s="20">
        <f>MarketingSpend[[#This Row],[Total Orders]]/MarketingSpend[[#This Row],[Lead]]</f>
        <v>3.7267080745341614E-3</v>
      </c>
    </row>
    <row r="59" spans="1:11">
      <c r="A59" s="6">
        <v>45352</v>
      </c>
      <c r="B59" t="s">
        <v>79</v>
      </c>
      <c r="C59" t="s">
        <v>194</v>
      </c>
      <c r="D59" s="7">
        <v>3592</v>
      </c>
      <c r="E59" s="8">
        <v>3</v>
      </c>
      <c r="F59" s="8">
        <f t="shared" si="0"/>
        <v>839</v>
      </c>
      <c r="G59" s="8">
        <v>8381</v>
      </c>
      <c r="H59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1030.4395999999999</v>
      </c>
      <c r="I59">
        <f>COUNTIFS(Cleaned_data[Order Month],TEXT(MarketingSpend[[#This Row],[Month]],"mmmm"),Cleaned_data[Marketing_Channel],MarketingSpend[[#This Row],[Marketing_Channel]],Cleaned_data[Region],MarketingSpend[[#This Row],[Region]])</f>
        <v>5</v>
      </c>
      <c r="J59" s="10">
        <f>MarketingSpend[[#This Row],[Actual Revenue]]/MarketingSpend[[#This Row],[Spend]]</f>
        <v>0.28687071269487746</v>
      </c>
      <c r="K59" s="20">
        <f>MarketingSpend[[#This Row],[Total Orders]]/MarketingSpend[[#This Row],[Lead]]</f>
        <v>5.9594755661501785E-3</v>
      </c>
    </row>
    <row r="60" spans="1:11">
      <c r="A60" s="6">
        <v>45352</v>
      </c>
      <c r="B60" t="s">
        <v>130</v>
      </c>
      <c r="C60" t="s">
        <v>194</v>
      </c>
      <c r="D60" s="7">
        <v>906</v>
      </c>
      <c r="E60" s="8">
        <v>2</v>
      </c>
      <c r="F60" s="8">
        <f t="shared" si="0"/>
        <v>276</v>
      </c>
      <c r="G60" s="8">
        <v>2752</v>
      </c>
      <c r="H60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2025.5130999999999</v>
      </c>
      <c r="I60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60" s="10">
        <f>MarketingSpend[[#This Row],[Actual Revenue]]/MarketingSpend[[#This Row],[Spend]]</f>
        <v>2.2356656732891831</v>
      </c>
      <c r="K60" s="20">
        <f>MarketingSpend[[#This Row],[Total Orders]]/MarketingSpend[[#This Row],[Lead]]</f>
        <v>7.246376811594203E-3</v>
      </c>
    </row>
    <row r="61" spans="1:11">
      <c r="A61" s="6">
        <v>45352</v>
      </c>
      <c r="B61" t="s">
        <v>90</v>
      </c>
      <c r="C61" t="s">
        <v>194</v>
      </c>
      <c r="D61" s="7">
        <v>2283</v>
      </c>
      <c r="E61" s="8">
        <v>1</v>
      </c>
      <c r="F61" s="8">
        <f t="shared" si="0"/>
        <v>552</v>
      </c>
      <c r="G61" s="8">
        <v>5514</v>
      </c>
      <c r="H61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1430.1404</v>
      </c>
      <c r="I61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61" s="10">
        <f>MarketingSpend[[#This Row],[Actual Revenue]]/MarketingSpend[[#This Row],[Spend]]</f>
        <v>0.62643031099430568</v>
      </c>
      <c r="K61" s="20">
        <f>MarketingSpend[[#This Row],[Total Orders]]/MarketingSpend[[#This Row],[Lead]]</f>
        <v>3.6231884057971015E-3</v>
      </c>
    </row>
    <row r="62" spans="1:11">
      <c r="A62" s="6">
        <v>45383</v>
      </c>
      <c r="B62" t="s">
        <v>147</v>
      </c>
      <c r="C62" t="s">
        <v>75</v>
      </c>
      <c r="D62" s="7">
        <v>2234</v>
      </c>
      <c r="E62" s="8">
        <v>5</v>
      </c>
      <c r="F62" s="8">
        <f t="shared" si="0"/>
        <v>558</v>
      </c>
      <c r="G62" s="8">
        <v>5578</v>
      </c>
      <c r="H62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1856.2797</v>
      </c>
      <c r="I62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62" s="10">
        <f>MarketingSpend[[#This Row],[Actual Revenue]]/MarketingSpend[[#This Row],[Spend]]</f>
        <v>0.8309219785138765</v>
      </c>
      <c r="K62" s="20">
        <f>MarketingSpend[[#This Row],[Total Orders]]/MarketingSpend[[#This Row],[Lead]]</f>
        <v>5.3763440860215058E-3</v>
      </c>
    </row>
    <row r="63" spans="1:11">
      <c r="A63" s="6">
        <v>45383</v>
      </c>
      <c r="B63" t="s">
        <v>100</v>
      </c>
      <c r="C63" t="s">
        <v>75</v>
      </c>
      <c r="D63" s="7">
        <v>2987</v>
      </c>
      <c r="E63" s="8">
        <v>1</v>
      </c>
      <c r="F63" s="8">
        <f t="shared" si="0"/>
        <v>865</v>
      </c>
      <c r="G63" s="8">
        <v>8641</v>
      </c>
      <c r="H63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2424.3640999999998</v>
      </c>
      <c r="I63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63" s="10">
        <f>MarketingSpend[[#This Row],[Actual Revenue]]/MarketingSpend[[#This Row],[Spend]]</f>
        <v>0.81163846668898554</v>
      </c>
      <c r="K63" s="20">
        <f>MarketingSpend[[#This Row],[Total Orders]]/MarketingSpend[[#This Row],[Lead]]</f>
        <v>4.6242774566473991E-3</v>
      </c>
    </row>
    <row r="64" spans="1:11">
      <c r="A64" s="6">
        <v>45383</v>
      </c>
      <c r="B64" t="s">
        <v>79</v>
      </c>
      <c r="C64" t="s">
        <v>75</v>
      </c>
      <c r="D64" s="7">
        <v>4756</v>
      </c>
      <c r="E64" s="8">
        <v>1</v>
      </c>
      <c r="F64" s="8">
        <f t="shared" si="0"/>
        <v>1092</v>
      </c>
      <c r="G64" s="8">
        <v>10920</v>
      </c>
      <c r="H64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1738.7215999999996</v>
      </c>
      <c r="I64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64" s="10">
        <f>MarketingSpend[[#This Row],[Actual Revenue]]/MarketingSpend[[#This Row],[Spend]]</f>
        <v>0.36558486122792255</v>
      </c>
      <c r="K64" s="20">
        <f>MarketingSpend[[#This Row],[Total Orders]]/MarketingSpend[[#This Row],[Lead]]</f>
        <v>1.8315018315018315E-3</v>
      </c>
    </row>
    <row r="65" spans="1:11">
      <c r="A65" s="6">
        <v>45383</v>
      </c>
      <c r="B65" t="s">
        <v>130</v>
      </c>
      <c r="C65" t="s">
        <v>75</v>
      </c>
      <c r="D65" s="7">
        <v>1268</v>
      </c>
      <c r="E65" s="8">
        <v>4</v>
      </c>
      <c r="F65" s="8">
        <f t="shared" si="0"/>
        <v>336</v>
      </c>
      <c r="G65" s="8">
        <v>3352</v>
      </c>
      <c r="H65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2845.2091</v>
      </c>
      <c r="I65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65" s="10">
        <f>MarketingSpend[[#This Row],[Actual Revenue]]/MarketingSpend[[#This Row],[Spend]]</f>
        <v>2.2438557570977919</v>
      </c>
      <c r="K65" s="20">
        <f>MarketingSpend[[#This Row],[Total Orders]]/MarketingSpend[[#This Row],[Lead]]</f>
        <v>8.9285714285714281E-3</v>
      </c>
    </row>
    <row r="66" spans="1:11">
      <c r="A66" s="6">
        <v>45383</v>
      </c>
      <c r="B66" t="s">
        <v>90</v>
      </c>
      <c r="C66" t="s">
        <v>75</v>
      </c>
      <c r="D66" s="7">
        <v>2836</v>
      </c>
      <c r="E66" s="8">
        <v>1</v>
      </c>
      <c r="F66" s="8">
        <f t="shared" ref="F66:F129" si="1">ROUNDUP(G66/10,0)</f>
        <v>538</v>
      </c>
      <c r="G66" s="8">
        <v>5374</v>
      </c>
      <c r="H66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77.493300000000005</v>
      </c>
      <c r="I66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66" s="10">
        <f>MarketingSpend[[#This Row],[Actual Revenue]]/MarketingSpend[[#This Row],[Spend]]</f>
        <v>2.7324858956276447E-2</v>
      </c>
      <c r="K66" s="20">
        <f>MarketingSpend[[#This Row],[Total Orders]]/MarketingSpend[[#This Row],[Lead]]</f>
        <v>1.8587360594795538E-3</v>
      </c>
    </row>
    <row r="67" spans="1:11">
      <c r="A67" s="6">
        <v>45383</v>
      </c>
      <c r="B67" t="s">
        <v>147</v>
      </c>
      <c r="C67" t="s">
        <v>126</v>
      </c>
      <c r="D67" s="7">
        <v>1997</v>
      </c>
      <c r="E67" s="8">
        <v>5</v>
      </c>
      <c r="F67" s="8">
        <f t="shared" si="1"/>
        <v>430</v>
      </c>
      <c r="G67" s="8">
        <v>4295</v>
      </c>
      <c r="H67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2928.3534000000004</v>
      </c>
      <c r="I67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67" s="10">
        <f>MarketingSpend[[#This Row],[Actual Revenue]]/MarketingSpend[[#This Row],[Spend]]</f>
        <v>1.4663762643965952</v>
      </c>
      <c r="K67" s="20">
        <f>MarketingSpend[[#This Row],[Total Orders]]/MarketingSpend[[#This Row],[Lead]]</f>
        <v>9.3023255813953487E-3</v>
      </c>
    </row>
    <row r="68" spans="1:11">
      <c r="A68" s="6">
        <v>45383</v>
      </c>
      <c r="B68" t="s">
        <v>100</v>
      </c>
      <c r="C68" t="s">
        <v>126</v>
      </c>
      <c r="D68" s="7">
        <v>4016</v>
      </c>
      <c r="E68" s="8">
        <v>1</v>
      </c>
      <c r="F68" s="8">
        <f t="shared" si="1"/>
        <v>623</v>
      </c>
      <c r="G68" s="8">
        <v>6230</v>
      </c>
      <c r="H68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483.32360000000006</v>
      </c>
      <c r="I68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68" s="10">
        <f>MarketingSpend[[#This Row],[Actual Revenue]]/MarketingSpend[[#This Row],[Spend]]</f>
        <v>0.12034950199203188</v>
      </c>
      <c r="K68" s="20">
        <f>MarketingSpend[[#This Row],[Total Orders]]/MarketingSpend[[#This Row],[Lead]]</f>
        <v>1.6051364365971107E-3</v>
      </c>
    </row>
    <row r="69" spans="1:11">
      <c r="A69" s="6">
        <v>45383</v>
      </c>
      <c r="B69" t="s">
        <v>79</v>
      </c>
      <c r="C69" t="s">
        <v>126</v>
      </c>
      <c r="D69" s="7">
        <v>4580</v>
      </c>
      <c r="E69" s="8">
        <v>3</v>
      </c>
      <c r="F69" s="8">
        <f t="shared" si="1"/>
        <v>1354</v>
      </c>
      <c r="G69" s="8">
        <v>13531</v>
      </c>
      <c r="H69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127.04319999999998</v>
      </c>
      <c r="I69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69" s="10">
        <f>MarketingSpend[[#This Row],[Actual Revenue]]/MarketingSpend[[#This Row],[Spend]]</f>
        <v>2.7738689956331875E-2</v>
      </c>
      <c r="K69" s="20">
        <f>MarketingSpend[[#This Row],[Total Orders]]/MarketingSpend[[#This Row],[Lead]]</f>
        <v>7.3855243722304289E-4</v>
      </c>
    </row>
    <row r="70" spans="1:11">
      <c r="A70" s="6">
        <v>45383</v>
      </c>
      <c r="B70" t="s">
        <v>130</v>
      </c>
      <c r="C70" t="s">
        <v>126</v>
      </c>
      <c r="D70" s="7">
        <v>1181</v>
      </c>
      <c r="E70" s="8">
        <v>1</v>
      </c>
      <c r="F70" s="8">
        <f t="shared" si="1"/>
        <v>299</v>
      </c>
      <c r="G70" s="8">
        <v>2983</v>
      </c>
      <c r="H70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0</v>
      </c>
      <c r="I70">
        <f>COUNTIFS(Cleaned_data[Order Month],TEXT(MarketingSpend[[#This Row],[Month]],"mmmm"),Cleaned_data[Marketing_Channel],MarketingSpend[[#This Row],[Marketing_Channel]],Cleaned_data[Region],MarketingSpend[[#This Row],[Region]])</f>
        <v>0</v>
      </c>
      <c r="J70" s="10">
        <f>MarketingSpend[[#This Row],[Actual Revenue]]/MarketingSpend[[#This Row],[Spend]]</f>
        <v>0</v>
      </c>
      <c r="K70" s="20">
        <f>MarketingSpend[[#This Row],[Total Orders]]/MarketingSpend[[#This Row],[Lead]]</f>
        <v>0</v>
      </c>
    </row>
    <row r="71" spans="1:11">
      <c r="A71" s="6">
        <v>45383</v>
      </c>
      <c r="B71" t="s">
        <v>90</v>
      </c>
      <c r="C71" t="s">
        <v>126</v>
      </c>
      <c r="D71" s="7">
        <v>2896</v>
      </c>
      <c r="E71" s="8">
        <v>1</v>
      </c>
      <c r="F71" s="8">
        <f t="shared" si="1"/>
        <v>634</v>
      </c>
      <c r="G71" s="8">
        <v>6332</v>
      </c>
      <c r="H71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371.06380000000001</v>
      </c>
      <c r="I71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71" s="10">
        <f>MarketingSpend[[#This Row],[Actual Revenue]]/MarketingSpend[[#This Row],[Spend]]</f>
        <v>0.12812976519337016</v>
      </c>
      <c r="K71" s="20">
        <f>MarketingSpend[[#This Row],[Total Orders]]/MarketingSpend[[#This Row],[Lead]]</f>
        <v>1.5772870662460567E-3</v>
      </c>
    </row>
    <row r="72" spans="1:11">
      <c r="A72" s="6">
        <v>45383</v>
      </c>
      <c r="B72" t="s">
        <v>147</v>
      </c>
      <c r="C72" t="s">
        <v>138</v>
      </c>
      <c r="D72" s="7">
        <v>1989</v>
      </c>
      <c r="E72" s="8">
        <v>1</v>
      </c>
      <c r="F72" s="8">
        <f t="shared" si="1"/>
        <v>364</v>
      </c>
      <c r="G72" s="8">
        <v>3640</v>
      </c>
      <c r="H72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1568.9255000000001</v>
      </c>
      <c r="I72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72" s="10">
        <f>MarketingSpend[[#This Row],[Actual Revenue]]/MarketingSpend[[#This Row],[Spend]]</f>
        <v>0.78880115635997994</v>
      </c>
      <c r="K72" s="20">
        <f>MarketingSpend[[#This Row],[Total Orders]]/MarketingSpend[[#This Row],[Lead]]</f>
        <v>8.241758241758242E-3</v>
      </c>
    </row>
    <row r="73" spans="1:11">
      <c r="A73" s="6">
        <v>45383</v>
      </c>
      <c r="B73" t="s">
        <v>100</v>
      </c>
      <c r="C73" t="s">
        <v>138</v>
      </c>
      <c r="D73" s="7">
        <v>2820</v>
      </c>
      <c r="E73" s="8">
        <v>3</v>
      </c>
      <c r="F73" s="8">
        <f t="shared" si="1"/>
        <v>545</v>
      </c>
      <c r="G73" s="8">
        <v>5447</v>
      </c>
      <c r="H73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2262.6741999999999</v>
      </c>
      <c r="I73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73" s="10">
        <f>MarketingSpend[[#This Row],[Actual Revenue]]/MarketingSpend[[#This Row],[Spend]]</f>
        <v>0.80236673758865251</v>
      </c>
      <c r="K73" s="20">
        <f>MarketingSpend[[#This Row],[Total Orders]]/MarketingSpend[[#This Row],[Lead]]</f>
        <v>7.3394495412844041E-3</v>
      </c>
    </row>
    <row r="74" spans="1:11">
      <c r="A74" s="6">
        <v>45383</v>
      </c>
      <c r="B74" t="s">
        <v>79</v>
      </c>
      <c r="C74" t="s">
        <v>138</v>
      </c>
      <c r="D74" s="7">
        <v>5037</v>
      </c>
      <c r="E74" s="8">
        <v>4</v>
      </c>
      <c r="F74" s="8">
        <f t="shared" si="1"/>
        <v>1124</v>
      </c>
      <c r="G74" s="8">
        <v>11235</v>
      </c>
      <c r="H74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359.3741</v>
      </c>
      <c r="I74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74" s="10">
        <f>MarketingSpend[[#This Row],[Actual Revenue]]/MarketingSpend[[#This Row],[Spend]]</f>
        <v>7.1346853285685921E-2</v>
      </c>
      <c r="K74" s="20">
        <f>MarketingSpend[[#This Row],[Total Orders]]/MarketingSpend[[#This Row],[Lead]]</f>
        <v>8.8967971530249106E-4</v>
      </c>
    </row>
    <row r="75" spans="1:11">
      <c r="A75" s="6">
        <v>45383</v>
      </c>
      <c r="B75" t="s">
        <v>130</v>
      </c>
      <c r="C75" t="s">
        <v>138</v>
      </c>
      <c r="D75" s="7">
        <v>993</v>
      </c>
      <c r="E75" s="8">
        <v>2</v>
      </c>
      <c r="F75" s="8">
        <f t="shared" si="1"/>
        <v>262</v>
      </c>
      <c r="G75" s="8">
        <v>2619</v>
      </c>
      <c r="H75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0</v>
      </c>
      <c r="I75">
        <f>COUNTIFS(Cleaned_data[Order Month],TEXT(MarketingSpend[[#This Row],[Month]],"mmmm"),Cleaned_data[Marketing_Channel],MarketingSpend[[#This Row],[Marketing_Channel]],Cleaned_data[Region],MarketingSpend[[#This Row],[Region]])</f>
        <v>0</v>
      </c>
      <c r="J75" s="10">
        <f>MarketingSpend[[#This Row],[Actual Revenue]]/MarketingSpend[[#This Row],[Spend]]</f>
        <v>0</v>
      </c>
      <c r="K75" s="20">
        <f>MarketingSpend[[#This Row],[Total Orders]]/MarketingSpend[[#This Row],[Lead]]</f>
        <v>0</v>
      </c>
    </row>
    <row r="76" spans="1:11">
      <c r="A76" s="6">
        <v>45383</v>
      </c>
      <c r="B76" t="s">
        <v>90</v>
      </c>
      <c r="C76" t="s">
        <v>138</v>
      </c>
      <c r="D76" s="7">
        <v>2003</v>
      </c>
      <c r="E76" s="8">
        <v>3</v>
      </c>
      <c r="F76" s="8">
        <f t="shared" si="1"/>
        <v>433</v>
      </c>
      <c r="G76" s="8">
        <v>4323</v>
      </c>
      <c r="H76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592.92499999999995</v>
      </c>
      <c r="I76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76" s="10">
        <f>MarketingSpend[[#This Row],[Actual Revenue]]/MarketingSpend[[#This Row],[Spend]]</f>
        <v>0.29601847229156264</v>
      </c>
      <c r="K76" s="20">
        <f>MarketingSpend[[#This Row],[Total Orders]]/MarketingSpend[[#This Row],[Lead]]</f>
        <v>2.3094688221709007E-3</v>
      </c>
    </row>
    <row r="77" spans="1:11">
      <c r="A77" s="6">
        <v>45383</v>
      </c>
      <c r="B77" t="s">
        <v>147</v>
      </c>
      <c r="C77" t="s">
        <v>194</v>
      </c>
      <c r="D77" s="7">
        <v>1887</v>
      </c>
      <c r="E77" s="8">
        <v>1</v>
      </c>
      <c r="F77" s="8">
        <f t="shared" si="1"/>
        <v>347</v>
      </c>
      <c r="G77" s="8">
        <v>3462</v>
      </c>
      <c r="H77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1026.9736</v>
      </c>
      <c r="I77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77" s="10">
        <f>MarketingSpend[[#This Row],[Actual Revenue]]/MarketingSpend[[#This Row],[Spend]]</f>
        <v>0.54423614202437731</v>
      </c>
      <c r="K77" s="20">
        <f>MarketingSpend[[#This Row],[Total Orders]]/MarketingSpend[[#This Row],[Lead]]</f>
        <v>8.6455331412103754E-3</v>
      </c>
    </row>
    <row r="78" spans="1:11">
      <c r="A78" s="6">
        <v>45383</v>
      </c>
      <c r="B78" t="s">
        <v>100</v>
      </c>
      <c r="C78" t="s">
        <v>194</v>
      </c>
      <c r="D78" s="7">
        <v>3020</v>
      </c>
      <c r="E78" s="8">
        <v>2</v>
      </c>
      <c r="F78" s="8">
        <f t="shared" si="1"/>
        <v>481</v>
      </c>
      <c r="G78" s="8">
        <v>4804</v>
      </c>
      <c r="H78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0</v>
      </c>
      <c r="I78">
        <f>COUNTIFS(Cleaned_data[Order Month],TEXT(MarketingSpend[[#This Row],[Month]],"mmmm"),Cleaned_data[Marketing_Channel],MarketingSpend[[#This Row],[Marketing_Channel]],Cleaned_data[Region],MarketingSpend[[#This Row],[Region]])</f>
        <v>0</v>
      </c>
      <c r="J78" s="10">
        <f>MarketingSpend[[#This Row],[Actual Revenue]]/MarketingSpend[[#This Row],[Spend]]</f>
        <v>0</v>
      </c>
      <c r="K78" s="20">
        <f>MarketingSpend[[#This Row],[Total Orders]]/MarketingSpend[[#This Row],[Lead]]</f>
        <v>0</v>
      </c>
    </row>
    <row r="79" spans="1:11">
      <c r="A79" s="6">
        <v>45383</v>
      </c>
      <c r="B79" t="s">
        <v>79</v>
      </c>
      <c r="C79" t="s">
        <v>194</v>
      </c>
      <c r="D79" s="7">
        <v>4096</v>
      </c>
      <c r="E79" s="8">
        <v>5</v>
      </c>
      <c r="F79" s="8">
        <f t="shared" si="1"/>
        <v>870</v>
      </c>
      <c r="G79" s="8">
        <v>8700</v>
      </c>
      <c r="H79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746.90250000000003</v>
      </c>
      <c r="I79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79" s="10">
        <f>MarketingSpend[[#This Row],[Actual Revenue]]/MarketingSpend[[#This Row],[Spend]]</f>
        <v>0.18234924316406251</v>
      </c>
      <c r="K79" s="20">
        <f>MarketingSpend[[#This Row],[Total Orders]]/MarketingSpend[[#This Row],[Lead]]</f>
        <v>1.1494252873563218E-3</v>
      </c>
    </row>
    <row r="80" spans="1:11">
      <c r="A80" s="6">
        <v>45383</v>
      </c>
      <c r="B80" t="s">
        <v>130</v>
      </c>
      <c r="C80" t="s">
        <v>194</v>
      </c>
      <c r="D80" s="7">
        <v>1043</v>
      </c>
      <c r="E80" s="8">
        <v>4</v>
      </c>
      <c r="F80" s="8">
        <f t="shared" si="1"/>
        <v>203</v>
      </c>
      <c r="G80" s="8">
        <v>2023</v>
      </c>
      <c r="H80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425.59849999999994</v>
      </c>
      <c r="I80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80" s="10">
        <f>MarketingSpend[[#This Row],[Actual Revenue]]/MarketingSpend[[#This Row],[Spend]]</f>
        <v>0.40805225311601145</v>
      </c>
      <c r="K80" s="20">
        <f>MarketingSpend[[#This Row],[Total Orders]]/MarketingSpend[[#This Row],[Lead]]</f>
        <v>1.9704433497536946E-2</v>
      </c>
    </row>
    <row r="81" spans="1:11">
      <c r="A81" s="6">
        <v>45383</v>
      </c>
      <c r="B81" t="s">
        <v>90</v>
      </c>
      <c r="C81" t="s">
        <v>194</v>
      </c>
      <c r="D81" s="7">
        <v>2007</v>
      </c>
      <c r="E81" s="8">
        <v>4</v>
      </c>
      <c r="F81" s="8">
        <f t="shared" si="1"/>
        <v>362</v>
      </c>
      <c r="G81" s="8">
        <v>3616</v>
      </c>
      <c r="H81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0</v>
      </c>
      <c r="I81">
        <f>COUNTIFS(Cleaned_data[Order Month],TEXT(MarketingSpend[[#This Row],[Month]],"mmmm"),Cleaned_data[Marketing_Channel],MarketingSpend[[#This Row],[Marketing_Channel]],Cleaned_data[Region],MarketingSpend[[#This Row],[Region]])</f>
        <v>0</v>
      </c>
      <c r="J81" s="10">
        <f>MarketingSpend[[#This Row],[Actual Revenue]]/MarketingSpend[[#This Row],[Spend]]</f>
        <v>0</v>
      </c>
      <c r="K81" s="20">
        <f>MarketingSpend[[#This Row],[Total Orders]]/MarketingSpend[[#This Row],[Lead]]</f>
        <v>0</v>
      </c>
    </row>
    <row r="82" spans="1:11">
      <c r="A82" s="6">
        <v>45413</v>
      </c>
      <c r="B82" t="s">
        <v>147</v>
      </c>
      <c r="C82" t="s">
        <v>75</v>
      </c>
      <c r="D82" s="7">
        <v>1741</v>
      </c>
      <c r="E82" s="8">
        <v>2</v>
      </c>
      <c r="F82" s="8">
        <f t="shared" si="1"/>
        <v>483</v>
      </c>
      <c r="G82" s="8">
        <v>4823</v>
      </c>
      <c r="H82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2449.4234999999999</v>
      </c>
      <c r="I82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82" s="10">
        <f>MarketingSpend[[#This Row],[Actual Revenue]]/MarketingSpend[[#This Row],[Spend]]</f>
        <v>1.4069060884549109</v>
      </c>
      <c r="K82" s="20">
        <f>MarketingSpend[[#This Row],[Total Orders]]/MarketingSpend[[#This Row],[Lead]]</f>
        <v>8.2815734989648039E-3</v>
      </c>
    </row>
    <row r="83" spans="1:11">
      <c r="A83" s="6">
        <v>45413</v>
      </c>
      <c r="B83" t="s">
        <v>100</v>
      </c>
      <c r="C83" t="s">
        <v>75</v>
      </c>
      <c r="D83" s="7">
        <v>4113</v>
      </c>
      <c r="E83" s="8">
        <v>1</v>
      </c>
      <c r="F83" s="8">
        <f t="shared" si="1"/>
        <v>724</v>
      </c>
      <c r="G83" s="8">
        <v>7236</v>
      </c>
      <c r="H83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221.75380000000001</v>
      </c>
      <c r="I83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83" s="10">
        <f>MarketingSpend[[#This Row],[Actual Revenue]]/MarketingSpend[[#This Row],[Spend]]</f>
        <v>5.3915341599805496E-2</v>
      </c>
      <c r="K83" s="20">
        <f>MarketingSpend[[#This Row],[Total Orders]]/MarketingSpend[[#This Row],[Lead]]</f>
        <v>2.7624309392265192E-3</v>
      </c>
    </row>
    <row r="84" spans="1:11">
      <c r="A84" s="6">
        <v>45413</v>
      </c>
      <c r="B84" t="s">
        <v>79</v>
      </c>
      <c r="C84" t="s">
        <v>75</v>
      </c>
      <c r="D84" s="7">
        <v>4838</v>
      </c>
      <c r="E84" s="8">
        <v>1</v>
      </c>
      <c r="F84" s="8">
        <f t="shared" si="1"/>
        <v>1283</v>
      </c>
      <c r="G84" s="8">
        <v>12824</v>
      </c>
      <c r="H84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3933.2936000000004</v>
      </c>
      <c r="I84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84" s="10">
        <f>MarketingSpend[[#This Row],[Actual Revenue]]/MarketingSpend[[#This Row],[Spend]]</f>
        <v>0.81299991732120724</v>
      </c>
      <c r="K84" s="20">
        <f>MarketingSpend[[#This Row],[Total Orders]]/MarketingSpend[[#This Row],[Lead]]</f>
        <v>3.1176929072486361E-3</v>
      </c>
    </row>
    <row r="85" spans="1:11">
      <c r="A85" s="6">
        <v>45413</v>
      </c>
      <c r="B85" t="s">
        <v>130</v>
      </c>
      <c r="C85" t="s">
        <v>75</v>
      </c>
      <c r="D85" s="7">
        <v>1175</v>
      </c>
      <c r="E85" s="8">
        <v>4</v>
      </c>
      <c r="F85" s="8">
        <f t="shared" si="1"/>
        <v>215</v>
      </c>
      <c r="G85" s="8">
        <v>2145</v>
      </c>
      <c r="H85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4668.542199999999</v>
      </c>
      <c r="I85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85" s="10">
        <f>MarketingSpend[[#This Row],[Actual Revenue]]/MarketingSpend[[#This Row],[Spend]]</f>
        <v>3.9732274042553182</v>
      </c>
      <c r="K85" s="20">
        <f>MarketingSpend[[#This Row],[Total Orders]]/MarketingSpend[[#This Row],[Lead]]</f>
        <v>1.3953488372093023E-2</v>
      </c>
    </row>
    <row r="86" spans="1:11">
      <c r="A86" s="6">
        <v>45413</v>
      </c>
      <c r="B86" t="s">
        <v>90</v>
      </c>
      <c r="C86" t="s">
        <v>75</v>
      </c>
      <c r="D86" s="7">
        <v>2984</v>
      </c>
      <c r="E86" s="8">
        <v>2</v>
      </c>
      <c r="F86" s="8">
        <f t="shared" si="1"/>
        <v>594</v>
      </c>
      <c r="G86" s="8">
        <v>5932</v>
      </c>
      <c r="H86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3056.2901999999999</v>
      </c>
      <c r="I86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86" s="10">
        <f>MarketingSpend[[#This Row],[Actual Revenue]]/MarketingSpend[[#This Row],[Spend]]</f>
        <v>1.0242259383378016</v>
      </c>
      <c r="K86" s="20">
        <f>MarketingSpend[[#This Row],[Total Orders]]/MarketingSpend[[#This Row],[Lead]]</f>
        <v>5.0505050505050509E-3</v>
      </c>
    </row>
    <row r="87" spans="1:11">
      <c r="A87" s="6">
        <v>45413</v>
      </c>
      <c r="B87" t="s">
        <v>147</v>
      </c>
      <c r="C87" t="s">
        <v>126</v>
      </c>
      <c r="D87" s="7">
        <v>2017</v>
      </c>
      <c r="E87" s="8">
        <v>4</v>
      </c>
      <c r="F87" s="8">
        <f t="shared" si="1"/>
        <v>452</v>
      </c>
      <c r="G87" s="8">
        <v>4511</v>
      </c>
      <c r="H87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1325.6869000000002</v>
      </c>
      <c r="I87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87" s="10">
        <f>MarketingSpend[[#This Row],[Actual Revenue]]/MarketingSpend[[#This Row],[Spend]]</f>
        <v>0.65725676747645023</v>
      </c>
      <c r="K87" s="20">
        <f>MarketingSpend[[#This Row],[Total Orders]]/MarketingSpend[[#This Row],[Lead]]</f>
        <v>6.6371681415929203E-3</v>
      </c>
    </row>
    <row r="88" spans="1:11">
      <c r="A88" s="6">
        <v>45413</v>
      </c>
      <c r="B88" t="s">
        <v>100</v>
      </c>
      <c r="C88" t="s">
        <v>126</v>
      </c>
      <c r="D88" s="7">
        <v>3798</v>
      </c>
      <c r="E88" s="8">
        <v>2</v>
      </c>
      <c r="F88" s="8">
        <f t="shared" si="1"/>
        <v>734</v>
      </c>
      <c r="G88" s="8">
        <v>7331</v>
      </c>
      <c r="H88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274.42570000000001</v>
      </c>
      <c r="I88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88" s="10">
        <f>MarketingSpend[[#This Row],[Actual Revenue]]/MarketingSpend[[#This Row],[Spend]]</f>
        <v>7.225531858873091E-2</v>
      </c>
      <c r="K88" s="20">
        <f>MarketingSpend[[#This Row],[Total Orders]]/MarketingSpend[[#This Row],[Lead]]</f>
        <v>2.7247956403269754E-3</v>
      </c>
    </row>
    <row r="89" spans="1:11">
      <c r="A89" s="6">
        <v>45413</v>
      </c>
      <c r="B89" t="s">
        <v>79</v>
      </c>
      <c r="C89" t="s">
        <v>126</v>
      </c>
      <c r="D89" s="7">
        <v>6092</v>
      </c>
      <c r="E89" s="8">
        <v>4</v>
      </c>
      <c r="F89" s="8">
        <f t="shared" si="1"/>
        <v>1222</v>
      </c>
      <c r="G89" s="8">
        <v>12215</v>
      </c>
      <c r="H89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3598.0806000000002</v>
      </c>
      <c r="I89">
        <f>COUNTIFS(Cleaned_data[Order Month],TEXT(MarketingSpend[[#This Row],[Month]],"mmmm"),Cleaned_data[Marketing_Channel],MarketingSpend[[#This Row],[Marketing_Channel]],Cleaned_data[Region],MarketingSpend[[#This Row],[Region]])</f>
        <v>5</v>
      </c>
      <c r="J89" s="10">
        <f>MarketingSpend[[#This Row],[Actual Revenue]]/MarketingSpend[[#This Row],[Spend]]</f>
        <v>0.59062386736703876</v>
      </c>
      <c r="K89" s="20">
        <f>MarketingSpend[[#This Row],[Total Orders]]/MarketingSpend[[#This Row],[Lead]]</f>
        <v>4.0916530278232409E-3</v>
      </c>
    </row>
    <row r="90" spans="1:11">
      <c r="A90" s="6">
        <v>45413</v>
      </c>
      <c r="B90" t="s">
        <v>130</v>
      </c>
      <c r="C90" t="s">
        <v>126</v>
      </c>
      <c r="D90" s="7">
        <v>1268</v>
      </c>
      <c r="E90" s="8">
        <v>4</v>
      </c>
      <c r="F90" s="8">
        <f t="shared" si="1"/>
        <v>297</v>
      </c>
      <c r="G90" s="8">
        <v>2967</v>
      </c>
      <c r="H90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1390.9947</v>
      </c>
      <c r="I90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90" s="10">
        <f>MarketingSpend[[#This Row],[Actual Revenue]]/MarketingSpend[[#This Row],[Spend]]</f>
        <v>1.096998974763407</v>
      </c>
      <c r="K90" s="20">
        <f>MarketingSpend[[#This Row],[Total Orders]]/MarketingSpend[[#This Row],[Lead]]</f>
        <v>1.0101010101010102E-2</v>
      </c>
    </row>
    <row r="91" spans="1:11">
      <c r="A91" s="6">
        <v>45413</v>
      </c>
      <c r="B91" t="s">
        <v>90</v>
      </c>
      <c r="C91" t="s">
        <v>126</v>
      </c>
      <c r="D91" s="7">
        <v>2918</v>
      </c>
      <c r="E91" s="8">
        <v>2</v>
      </c>
      <c r="F91" s="8">
        <f t="shared" si="1"/>
        <v>832</v>
      </c>
      <c r="G91" s="8">
        <v>8313</v>
      </c>
      <c r="H91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40.948099999999997</v>
      </c>
      <c r="I91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91" s="10">
        <f>MarketingSpend[[#This Row],[Actual Revenue]]/MarketingSpend[[#This Row],[Spend]]</f>
        <v>1.4032933516106922E-2</v>
      </c>
      <c r="K91" s="20">
        <f>MarketingSpend[[#This Row],[Total Orders]]/MarketingSpend[[#This Row],[Lead]]</f>
        <v>1.201923076923077E-3</v>
      </c>
    </row>
    <row r="92" spans="1:11">
      <c r="A92" s="6">
        <v>45413</v>
      </c>
      <c r="B92" t="s">
        <v>147</v>
      </c>
      <c r="C92" t="s">
        <v>138</v>
      </c>
      <c r="D92" s="7">
        <v>1867</v>
      </c>
      <c r="E92" s="8">
        <v>2</v>
      </c>
      <c r="F92" s="8">
        <f t="shared" si="1"/>
        <v>358</v>
      </c>
      <c r="G92" s="8">
        <v>3576</v>
      </c>
      <c r="H92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0</v>
      </c>
      <c r="I92">
        <f>COUNTIFS(Cleaned_data[Order Month],TEXT(MarketingSpend[[#This Row],[Month]],"mmmm"),Cleaned_data[Marketing_Channel],MarketingSpend[[#This Row],[Marketing_Channel]],Cleaned_data[Region],MarketingSpend[[#This Row],[Region]])</f>
        <v>0</v>
      </c>
      <c r="J92" s="10">
        <f>MarketingSpend[[#This Row],[Actual Revenue]]/MarketingSpend[[#This Row],[Spend]]</f>
        <v>0</v>
      </c>
      <c r="K92" s="20">
        <f>MarketingSpend[[#This Row],[Total Orders]]/MarketingSpend[[#This Row],[Lead]]</f>
        <v>0</v>
      </c>
    </row>
    <row r="93" spans="1:11">
      <c r="A93" s="6">
        <v>45413</v>
      </c>
      <c r="B93" t="s">
        <v>100</v>
      </c>
      <c r="C93" t="s">
        <v>138</v>
      </c>
      <c r="D93" s="7">
        <v>2910</v>
      </c>
      <c r="E93" s="8">
        <v>3</v>
      </c>
      <c r="F93" s="8">
        <f t="shared" si="1"/>
        <v>602</v>
      </c>
      <c r="G93" s="8">
        <v>6020</v>
      </c>
      <c r="H93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1313.9448</v>
      </c>
      <c r="I93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93" s="10">
        <f>MarketingSpend[[#This Row],[Actual Revenue]]/MarketingSpend[[#This Row],[Spend]]</f>
        <v>0.45152742268041235</v>
      </c>
      <c r="K93" s="20">
        <f>MarketingSpend[[#This Row],[Total Orders]]/MarketingSpend[[#This Row],[Lead]]</f>
        <v>1.6611295681063123E-3</v>
      </c>
    </row>
    <row r="94" spans="1:11">
      <c r="A94" s="6">
        <v>45413</v>
      </c>
      <c r="B94" t="s">
        <v>79</v>
      </c>
      <c r="C94" t="s">
        <v>138</v>
      </c>
      <c r="D94" s="7">
        <v>4841</v>
      </c>
      <c r="E94" s="8">
        <v>1</v>
      </c>
      <c r="F94" s="8">
        <f t="shared" si="1"/>
        <v>923</v>
      </c>
      <c r="G94" s="8">
        <v>9225</v>
      </c>
      <c r="H94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0</v>
      </c>
      <c r="I94">
        <f>COUNTIFS(Cleaned_data[Order Month],TEXT(MarketingSpend[[#This Row],[Month]],"mmmm"),Cleaned_data[Marketing_Channel],MarketingSpend[[#This Row],[Marketing_Channel]],Cleaned_data[Region],MarketingSpend[[#This Row],[Region]])</f>
        <v>0</v>
      </c>
      <c r="J94" s="10">
        <f>MarketingSpend[[#This Row],[Actual Revenue]]/MarketingSpend[[#This Row],[Spend]]</f>
        <v>0</v>
      </c>
      <c r="K94" s="20">
        <f>MarketingSpend[[#This Row],[Total Orders]]/MarketingSpend[[#This Row],[Lead]]</f>
        <v>0</v>
      </c>
    </row>
    <row r="95" spans="1:11">
      <c r="A95" s="6">
        <v>45413</v>
      </c>
      <c r="B95" t="s">
        <v>130</v>
      </c>
      <c r="C95" t="s">
        <v>138</v>
      </c>
      <c r="D95" s="7">
        <v>1240</v>
      </c>
      <c r="E95" s="8">
        <v>3</v>
      </c>
      <c r="F95" s="8">
        <f t="shared" si="1"/>
        <v>223</v>
      </c>
      <c r="G95" s="8">
        <v>2222</v>
      </c>
      <c r="H95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706.84799999999996</v>
      </c>
      <c r="I95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95" s="10">
        <f>MarketingSpend[[#This Row],[Actual Revenue]]/MarketingSpend[[#This Row],[Spend]]</f>
        <v>0.57003870967741932</v>
      </c>
      <c r="K95" s="20">
        <f>MarketingSpend[[#This Row],[Total Orders]]/MarketingSpend[[#This Row],[Lead]]</f>
        <v>4.4843049327354259E-3</v>
      </c>
    </row>
    <row r="96" spans="1:11">
      <c r="A96" s="6">
        <v>45413</v>
      </c>
      <c r="B96" t="s">
        <v>90</v>
      </c>
      <c r="C96" t="s">
        <v>138</v>
      </c>
      <c r="D96" s="7">
        <v>2115</v>
      </c>
      <c r="E96" s="8">
        <v>5</v>
      </c>
      <c r="F96" s="8">
        <f t="shared" si="1"/>
        <v>378</v>
      </c>
      <c r="G96" s="8">
        <v>3773</v>
      </c>
      <c r="H96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2064.9492</v>
      </c>
      <c r="I96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96" s="10">
        <f>MarketingSpend[[#This Row],[Actual Revenue]]/MarketingSpend[[#This Row],[Spend]]</f>
        <v>0.97633531914893623</v>
      </c>
      <c r="K96" s="20">
        <f>MarketingSpend[[#This Row],[Total Orders]]/MarketingSpend[[#This Row],[Lead]]</f>
        <v>2.6455026455026454E-3</v>
      </c>
    </row>
    <row r="97" spans="1:11">
      <c r="A97" s="6">
        <v>45413</v>
      </c>
      <c r="B97" t="s">
        <v>147</v>
      </c>
      <c r="C97" t="s">
        <v>194</v>
      </c>
      <c r="D97" s="7">
        <v>1542</v>
      </c>
      <c r="E97" s="8">
        <v>1</v>
      </c>
      <c r="F97" s="8">
        <f t="shared" si="1"/>
        <v>336</v>
      </c>
      <c r="G97" s="8">
        <v>3359</v>
      </c>
      <c r="H97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2443.7136</v>
      </c>
      <c r="I97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97" s="10">
        <f>MarketingSpend[[#This Row],[Actual Revenue]]/MarketingSpend[[#This Row],[Spend]]</f>
        <v>1.5847688715953308</v>
      </c>
      <c r="K97" s="20">
        <f>MarketingSpend[[#This Row],[Total Orders]]/MarketingSpend[[#This Row],[Lead]]</f>
        <v>8.9285714285714281E-3</v>
      </c>
    </row>
    <row r="98" spans="1:11">
      <c r="A98" s="6">
        <v>45413</v>
      </c>
      <c r="B98" t="s">
        <v>100</v>
      </c>
      <c r="C98" t="s">
        <v>194</v>
      </c>
      <c r="D98" s="7">
        <v>2649</v>
      </c>
      <c r="E98" s="8">
        <v>5</v>
      </c>
      <c r="F98" s="8">
        <f t="shared" si="1"/>
        <v>538</v>
      </c>
      <c r="G98" s="8">
        <v>5380</v>
      </c>
      <c r="H98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2130.1161000000002</v>
      </c>
      <c r="I98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98" s="10">
        <f>MarketingSpend[[#This Row],[Actual Revenue]]/MarketingSpend[[#This Row],[Spend]]</f>
        <v>0.80412083805209522</v>
      </c>
      <c r="K98" s="20">
        <f>MarketingSpend[[#This Row],[Total Orders]]/MarketingSpend[[#This Row],[Lead]]</f>
        <v>7.4349442379182153E-3</v>
      </c>
    </row>
    <row r="99" spans="1:11">
      <c r="A99" s="6">
        <v>45413</v>
      </c>
      <c r="B99" t="s">
        <v>79</v>
      </c>
      <c r="C99" t="s">
        <v>194</v>
      </c>
      <c r="D99" s="7">
        <v>4574</v>
      </c>
      <c r="E99" s="8">
        <v>3</v>
      </c>
      <c r="F99" s="8">
        <f t="shared" si="1"/>
        <v>730</v>
      </c>
      <c r="G99" s="8">
        <v>7298</v>
      </c>
      <c r="H99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1903.1522000000002</v>
      </c>
      <c r="I99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99" s="10">
        <f>MarketingSpend[[#This Row],[Actual Revenue]]/MarketingSpend[[#This Row],[Spend]]</f>
        <v>0.41608049846961087</v>
      </c>
      <c r="K99" s="20">
        <f>MarketingSpend[[#This Row],[Total Orders]]/MarketingSpend[[#This Row],[Lead]]</f>
        <v>2.7397260273972603E-3</v>
      </c>
    </row>
    <row r="100" spans="1:11">
      <c r="A100" s="6">
        <v>45413</v>
      </c>
      <c r="B100" t="s">
        <v>130</v>
      </c>
      <c r="C100" t="s">
        <v>194</v>
      </c>
      <c r="D100" s="7">
        <v>1101</v>
      </c>
      <c r="E100" s="8">
        <v>4</v>
      </c>
      <c r="F100" s="8">
        <f t="shared" si="1"/>
        <v>248</v>
      </c>
      <c r="G100" s="8">
        <v>2476</v>
      </c>
      <c r="H100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62.924500000000002</v>
      </c>
      <c r="I100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100" s="10">
        <f>MarketingSpend[[#This Row],[Actual Revenue]]/MarketingSpend[[#This Row],[Spend]]</f>
        <v>5.7152134423251594E-2</v>
      </c>
      <c r="K100" s="20">
        <f>MarketingSpend[[#This Row],[Total Orders]]/MarketingSpend[[#This Row],[Lead]]</f>
        <v>4.0322580645161289E-3</v>
      </c>
    </row>
    <row r="101" spans="1:11">
      <c r="A101" s="6">
        <v>45413</v>
      </c>
      <c r="B101" t="s">
        <v>90</v>
      </c>
      <c r="C101" t="s">
        <v>194</v>
      </c>
      <c r="D101" s="7">
        <v>2321</v>
      </c>
      <c r="E101" s="8">
        <v>4</v>
      </c>
      <c r="F101" s="8">
        <f t="shared" si="1"/>
        <v>549</v>
      </c>
      <c r="G101" s="8">
        <v>5487</v>
      </c>
      <c r="H101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5354.5604000000003</v>
      </c>
      <c r="I101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101" s="10">
        <f>MarketingSpend[[#This Row],[Actual Revenue]]/MarketingSpend[[#This Row],[Spend]]</f>
        <v>2.3070057733735458</v>
      </c>
      <c r="K101" s="20">
        <f>MarketingSpend[[#This Row],[Total Orders]]/MarketingSpend[[#This Row],[Lead]]</f>
        <v>7.2859744990892532E-3</v>
      </c>
    </row>
    <row r="102" spans="1:11">
      <c r="A102" s="6">
        <v>45444</v>
      </c>
      <c r="B102" t="s">
        <v>147</v>
      </c>
      <c r="C102" t="s">
        <v>75</v>
      </c>
      <c r="D102" s="7">
        <v>1863</v>
      </c>
      <c r="E102" s="8">
        <v>2</v>
      </c>
      <c r="F102" s="8">
        <f t="shared" si="1"/>
        <v>465</v>
      </c>
      <c r="G102" s="8">
        <v>4644</v>
      </c>
      <c r="H102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1196.0502999999999</v>
      </c>
      <c r="I102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102" s="10">
        <f>MarketingSpend[[#This Row],[Actual Revenue]]/MarketingSpend[[#This Row],[Spend]]</f>
        <v>0.64200230810520664</v>
      </c>
      <c r="K102" s="20">
        <f>MarketingSpend[[#This Row],[Total Orders]]/MarketingSpend[[#This Row],[Lead]]</f>
        <v>4.3010752688172043E-3</v>
      </c>
    </row>
    <row r="103" spans="1:11">
      <c r="A103" s="6">
        <v>45444</v>
      </c>
      <c r="B103" t="s">
        <v>100</v>
      </c>
      <c r="C103" t="s">
        <v>75</v>
      </c>
      <c r="D103" s="7">
        <v>3887</v>
      </c>
      <c r="E103" s="8">
        <v>4</v>
      </c>
      <c r="F103" s="8">
        <f t="shared" si="1"/>
        <v>632</v>
      </c>
      <c r="G103" s="8">
        <v>6320</v>
      </c>
      <c r="H103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4213.6890000000003</v>
      </c>
      <c r="I103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103" s="10">
        <f>MarketingSpend[[#This Row],[Actual Revenue]]/MarketingSpend[[#This Row],[Spend]]</f>
        <v>1.0840465654746592</v>
      </c>
      <c r="K103" s="20">
        <f>MarketingSpend[[#This Row],[Total Orders]]/MarketingSpend[[#This Row],[Lead]]</f>
        <v>3.1645569620253164E-3</v>
      </c>
    </row>
    <row r="104" spans="1:11">
      <c r="A104" s="6">
        <v>45444</v>
      </c>
      <c r="B104" t="s">
        <v>79</v>
      </c>
      <c r="C104" t="s">
        <v>75</v>
      </c>
      <c r="D104" s="7">
        <v>5440</v>
      </c>
      <c r="E104" s="8">
        <v>2</v>
      </c>
      <c r="F104" s="8">
        <f t="shared" si="1"/>
        <v>1317</v>
      </c>
      <c r="G104" s="8">
        <v>13167</v>
      </c>
      <c r="H104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1914.5297999999998</v>
      </c>
      <c r="I104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104" s="10">
        <f>MarketingSpend[[#This Row],[Actual Revenue]]/MarketingSpend[[#This Row],[Spend]]</f>
        <v>0.35193562499999997</v>
      </c>
      <c r="K104" s="20">
        <f>MarketingSpend[[#This Row],[Total Orders]]/MarketingSpend[[#This Row],[Lead]]</f>
        <v>3.0372057706909645E-3</v>
      </c>
    </row>
    <row r="105" spans="1:11">
      <c r="A105" s="6">
        <v>45444</v>
      </c>
      <c r="B105" t="s">
        <v>130</v>
      </c>
      <c r="C105" t="s">
        <v>75</v>
      </c>
      <c r="D105" s="7">
        <v>1292</v>
      </c>
      <c r="E105" s="8">
        <v>5</v>
      </c>
      <c r="F105" s="8">
        <f t="shared" si="1"/>
        <v>324</v>
      </c>
      <c r="G105" s="8">
        <v>3234</v>
      </c>
      <c r="H105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0</v>
      </c>
      <c r="I105">
        <f>COUNTIFS(Cleaned_data[Order Month],TEXT(MarketingSpend[[#This Row],[Month]],"mmmm"),Cleaned_data[Marketing_Channel],MarketingSpend[[#This Row],[Marketing_Channel]],Cleaned_data[Region],MarketingSpend[[#This Row],[Region]])</f>
        <v>0</v>
      </c>
      <c r="J105" s="10">
        <f>MarketingSpend[[#This Row],[Actual Revenue]]/MarketingSpend[[#This Row],[Spend]]</f>
        <v>0</v>
      </c>
      <c r="K105" s="20">
        <f>MarketingSpend[[#This Row],[Total Orders]]/MarketingSpend[[#This Row],[Lead]]</f>
        <v>0</v>
      </c>
    </row>
    <row r="106" spans="1:11">
      <c r="A106" s="6">
        <v>45444</v>
      </c>
      <c r="B106" t="s">
        <v>90</v>
      </c>
      <c r="C106" t="s">
        <v>75</v>
      </c>
      <c r="D106" s="7">
        <v>2333</v>
      </c>
      <c r="E106" s="8">
        <v>4</v>
      </c>
      <c r="F106" s="8">
        <f t="shared" si="1"/>
        <v>610</v>
      </c>
      <c r="G106" s="8">
        <v>6095</v>
      </c>
      <c r="H106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278.32069999999999</v>
      </c>
      <c r="I106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106" s="10">
        <f>MarketingSpend[[#This Row],[Actual Revenue]]/MarketingSpend[[#This Row],[Spend]]</f>
        <v>0.11929734247749678</v>
      </c>
      <c r="K106" s="20">
        <f>MarketingSpend[[#This Row],[Total Orders]]/MarketingSpend[[#This Row],[Lead]]</f>
        <v>1.639344262295082E-3</v>
      </c>
    </row>
    <row r="107" spans="1:11">
      <c r="A107" s="6">
        <v>45444</v>
      </c>
      <c r="B107" t="s">
        <v>147</v>
      </c>
      <c r="C107" t="s">
        <v>126</v>
      </c>
      <c r="D107" s="7">
        <v>2070</v>
      </c>
      <c r="E107" s="8">
        <v>1</v>
      </c>
      <c r="F107" s="8">
        <f t="shared" si="1"/>
        <v>411</v>
      </c>
      <c r="G107" s="8">
        <v>4108</v>
      </c>
      <c r="H107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1903.9648</v>
      </c>
      <c r="I107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107" s="10">
        <f>MarketingSpend[[#This Row],[Actual Revenue]]/MarketingSpend[[#This Row],[Spend]]</f>
        <v>0.91978975845410627</v>
      </c>
      <c r="K107" s="20">
        <f>MarketingSpend[[#This Row],[Total Orders]]/MarketingSpend[[#This Row],[Lead]]</f>
        <v>4.8661800486618006E-3</v>
      </c>
    </row>
    <row r="108" spans="1:11">
      <c r="A108" s="6">
        <v>45444</v>
      </c>
      <c r="B108" t="s">
        <v>100</v>
      </c>
      <c r="C108" t="s">
        <v>126</v>
      </c>
      <c r="D108" s="7">
        <v>3589</v>
      </c>
      <c r="E108" s="8">
        <v>3</v>
      </c>
      <c r="F108" s="8">
        <f t="shared" si="1"/>
        <v>930</v>
      </c>
      <c r="G108" s="8">
        <v>9299</v>
      </c>
      <c r="H108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534.10040000000004</v>
      </c>
      <c r="I108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108" s="10">
        <f>MarketingSpend[[#This Row],[Actual Revenue]]/MarketingSpend[[#This Row],[Spend]]</f>
        <v>0.14881593758707162</v>
      </c>
      <c r="K108" s="20">
        <f>MarketingSpend[[#This Row],[Total Orders]]/MarketingSpend[[#This Row],[Lead]]</f>
        <v>2.1505376344086021E-3</v>
      </c>
    </row>
    <row r="109" spans="1:11">
      <c r="A109" s="6">
        <v>45444</v>
      </c>
      <c r="B109" t="s">
        <v>79</v>
      </c>
      <c r="C109" t="s">
        <v>126</v>
      </c>
      <c r="D109" s="7">
        <v>5705</v>
      </c>
      <c r="E109" s="8">
        <v>5</v>
      </c>
      <c r="F109" s="8">
        <f t="shared" si="1"/>
        <v>1182</v>
      </c>
      <c r="G109" s="8">
        <v>11813</v>
      </c>
      <c r="H109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4502.7583999999997</v>
      </c>
      <c r="I109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109" s="10">
        <f>MarketingSpend[[#This Row],[Actual Revenue]]/MarketingSpend[[#This Row],[Spend]]</f>
        <v>0.78926527607361963</v>
      </c>
      <c r="K109" s="20">
        <f>MarketingSpend[[#This Row],[Total Orders]]/MarketingSpend[[#This Row],[Lead]]</f>
        <v>1.6920473773265651E-3</v>
      </c>
    </row>
    <row r="110" spans="1:11">
      <c r="A110" s="6">
        <v>45444</v>
      </c>
      <c r="B110" t="s">
        <v>130</v>
      </c>
      <c r="C110" t="s">
        <v>126</v>
      </c>
      <c r="D110" s="7">
        <v>1409</v>
      </c>
      <c r="E110" s="8">
        <v>3</v>
      </c>
      <c r="F110" s="8">
        <f t="shared" si="1"/>
        <v>308</v>
      </c>
      <c r="G110" s="8">
        <v>3074</v>
      </c>
      <c r="H110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80.247799999999998</v>
      </c>
      <c r="I110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110" s="10">
        <f>MarketingSpend[[#This Row],[Actual Revenue]]/MarketingSpend[[#This Row],[Spend]]</f>
        <v>5.6953726046841728E-2</v>
      </c>
      <c r="K110" s="20">
        <f>MarketingSpend[[#This Row],[Total Orders]]/MarketingSpend[[#This Row],[Lead]]</f>
        <v>3.246753246753247E-3</v>
      </c>
    </row>
    <row r="111" spans="1:11">
      <c r="A111" s="6">
        <v>45444</v>
      </c>
      <c r="B111" t="s">
        <v>90</v>
      </c>
      <c r="C111" t="s">
        <v>126</v>
      </c>
      <c r="D111" s="7">
        <v>2589</v>
      </c>
      <c r="E111" s="8">
        <v>1</v>
      </c>
      <c r="F111" s="8">
        <f t="shared" si="1"/>
        <v>657</v>
      </c>
      <c r="G111" s="8">
        <v>6569</v>
      </c>
      <c r="H111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353.09370000000001</v>
      </c>
      <c r="I111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111" s="10">
        <f>MarketingSpend[[#This Row],[Actual Revenue]]/MarketingSpend[[#This Row],[Spend]]</f>
        <v>0.13638227114716106</v>
      </c>
      <c r="K111" s="20">
        <f>MarketingSpend[[#This Row],[Total Orders]]/MarketingSpend[[#This Row],[Lead]]</f>
        <v>4.5662100456621002E-3</v>
      </c>
    </row>
    <row r="112" spans="1:11">
      <c r="A112" s="6">
        <v>45444</v>
      </c>
      <c r="B112" t="s">
        <v>147</v>
      </c>
      <c r="C112" t="s">
        <v>138</v>
      </c>
      <c r="D112" s="7">
        <v>1711</v>
      </c>
      <c r="E112" s="8">
        <v>2</v>
      </c>
      <c r="F112" s="8">
        <f t="shared" si="1"/>
        <v>443</v>
      </c>
      <c r="G112" s="8">
        <v>4429</v>
      </c>
      <c r="H112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1248.5434</v>
      </c>
      <c r="I112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112" s="10">
        <f>MarketingSpend[[#This Row],[Actual Revenue]]/MarketingSpend[[#This Row],[Spend]]</f>
        <v>0.72971560490940968</v>
      </c>
      <c r="K112" s="20">
        <f>MarketingSpend[[#This Row],[Total Orders]]/MarketingSpend[[#This Row],[Lead]]</f>
        <v>4.5146726862302479E-3</v>
      </c>
    </row>
    <row r="113" spans="1:11">
      <c r="A113" s="6">
        <v>45444</v>
      </c>
      <c r="B113" t="s">
        <v>100</v>
      </c>
      <c r="C113" t="s">
        <v>138</v>
      </c>
      <c r="D113" s="7">
        <v>3143</v>
      </c>
      <c r="E113" s="8">
        <v>1</v>
      </c>
      <c r="F113" s="8">
        <f t="shared" si="1"/>
        <v>735</v>
      </c>
      <c r="G113" s="8">
        <v>7349</v>
      </c>
      <c r="H113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2837.1686</v>
      </c>
      <c r="I113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113" s="10">
        <f>MarketingSpend[[#This Row],[Actual Revenue]]/MarketingSpend[[#This Row],[Spend]]</f>
        <v>0.90269443207126943</v>
      </c>
      <c r="K113" s="20">
        <f>MarketingSpend[[#This Row],[Total Orders]]/MarketingSpend[[#This Row],[Lead]]</f>
        <v>4.0816326530612249E-3</v>
      </c>
    </row>
    <row r="114" spans="1:11">
      <c r="A114" s="6">
        <v>45444</v>
      </c>
      <c r="B114" t="s">
        <v>79</v>
      </c>
      <c r="C114" t="s">
        <v>138</v>
      </c>
      <c r="D114" s="7">
        <v>4449</v>
      </c>
      <c r="E114" s="8">
        <v>1</v>
      </c>
      <c r="F114" s="8">
        <f t="shared" si="1"/>
        <v>976</v>
      </c>
      <c r="G114" s="8">
        <v>9754</v>
      </c>
      <c r="H114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3380.8360000000007</v>
      </c>
      <c r="I114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114" s="10">
        <f>MarketingSpend[[#This Row],[Actual Revenue]]/MarketingSpend[[#This Row],[Spend]]</f>
        <v>0.75990919307709615</v>
      </c>
      <c r="K114" s="20">
        <f>MarketingSpend[[#This Row],[Total Orders]]/MarketingSpend[[#This Row],[Lead]]</f>
        <v>4.0983606557377051E-3</v>
      </c>
    </row>
    <row r="115" spans="1:11">
      <c r="A115" s="6">
        <v>45444</v>
      </c>
      <c r="B115" t="s">
        <v>130</v>
      </c>
      <c r="C115" t="s">
        <v>138</v>
      </c>
      <c r="D115" s="7">
        <v>1225</v>
      </c>
      <c r="E115" s="8">
        <v>4</v>
      </c>
      <c r="F115" s="8">
        <f t="shared" si="1"/>
        <v>169</v>
      </c>
      <c r="G115" s="8">
        <v>1688</v>
      </c>
      <c r="H115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441.08859999999999</v>
      </c>
      <c r="I115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115" s="10">
        <f>MarketingSpend[[#This Row],[Actual Revenue]]/MarketingSpend[[#This Row],[Spend]]</f>
        <v>0.36007232653061222</v>
      </c>
      <c r="K115" s="20">
        <f>MarketingSpend[[#This Row],[Total Orders]]/MarketingSpend[[#This Row],[Lead]]</f>
        <v>1.1834319526627219E-2</v>
      </c>
    </row>
    <row r="116" spans="1:11">
      <c r="A116" s="6">
        <v>45444</v>
      </c>
      <c r="B116" t="s">
        <v>90</v>
      </c>
      <c r="C116" t="s">
        <v>138</v>
      </c>
      <c r="D116" s="7">
        <v>2411</v>
      </c>
      <c r="E116" s="8">
        <v>5</v>
      </c>
      <c r="F116" s="8">
        <f t="shared" si="1"/>
        <v>422</v>
      </c>
      <c r="G116" s="8">
        <v>4216</v>
      </c>
      <c r="H116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1241.2329999999999</v>
      </c>
      <c r="I116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116" s="10">
        <f>MarketingSpend[[#This Row],[Actual Revenue]]/MarketingSpend[[#This Row],[Spend]]</f>
        <v>0.51482082123600159</v>
      </c>
      <c r="K116" s="20">
        <f>MarketingSpend[[#This Row],[Total Orders]]/MarketingSpend[[#This Row],[Lead]]</f>
        <v>4.7393364928909956E-3</v>
      </c>
    </row>
    <row r="117" spans="1:11">
      <c r="A117" s="6">
        <v>45444</v>
      </c>
      <c r="B117" t="s">
        <v>147</v>
      </c>
      <c r="C117" t="s">
        <v>194</v>
      </c>
      <c r="D117" s="7">
        <v>1735</v>
      </c>
      <c r="E117" s="8">
        <v>2</v>
      </c>
      <c r="F117" s="8">
        <f t="shared" si="1"/>
        <v>348</v>
      </c>
      <c r="G117" s="8">
        <v>3477</v>
      </c>
      <c r="H117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4146.6221999999998</v>
      </c>
      <c r="I117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117" s="10">
        <f>MarketingSpend[[#This Row],[Actual Revenue]]/MarketingSpend[[#This Row],[Spend]]</f>
        <v>2.3899839769452447</v>
      </c>
      <c r="K117" s="20">
        <f>MarketingSpend[[#This Row],[Total Orders]]/MarketingSpend[[#This Row],[Lead]]</f>
        <v>5.7471264367816091E-3</v>
      </c>
    </row>
    <row r="118" spans="1:11">
      <c r="A118" s="6">
        <v>45444</v>
      </c>
      <c r="B118" t="s">
        <v>100</v>
      </c>
      <c r="C118" t="s">
        <v>194</v>
      </c>
      <c r="D118" s="7">
        <v>2701</v>
      </c>
      <c r="E118" s="8">
        <v>5</v>
      </c>
      <c r="F118" s="8">
        <f t="shared" si="1"/>
        <v>615</v>
      </c>
      <c r="G118" s="8">
        <v>6144</v>
      </c>
      <c r="H118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2777.67</v>
      </c>
      <c r="I118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118" s="10">
        <f>MarketingSpend[[#This Row],[Actual Revenue]]/MarketingSpend[[#This Row],[Spend]]</f>
        <v>1.0283857830433174</v>
      </c>
      <c r="K118" s="20">
        <f>MarketingSpend[[#This Row],[Total Orders]]/MarketingSpend[[#This Row],[Lead]]</f>
        <v>3.2520325203252032E-3</v>
      </c>
    </row>
    <row r="119" spans="1:11">
      <c r="A119" s="6">
        <v>45444</v>
      </c>
      <c r="B119" t="s">
        <v>79</v>
      </c>
      <c r="C119" t="s">
        <v>194</v>
      </c>
      <c r="D119" s="7">
        <v>3914</v>
      </c>
      <c r="E119" s="8">
        <v>3</v>
      </c>
      <c r="F119" s="8">
        <f t="shared" si="1"/>
        <v>900</v>
      </c>
      <c r="G119" s="8">
        <v>8995</v>
      </c>
      <c r="H119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3441.4056</v>
      </c>
      <c r="I119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119" s="10">
        <f>MarketingSpend[[#This Row],[Actual Revenue]]/MarketingSpend[[#This Row],[Spend]]</f>
        <v>0.8792553909044456</v>
      </c>
      <c r="K119" s="20">
        <f>MarketingSpend[[#This Row],[Total Orders]]/MarketingSpend[[#This Row],[Lead]]</f>
        <v>2.2222222222222222E-3</v>
      </c>
    </row>
    <row r="120" spans="1:11">
      <c r="A120" s="6">
        <v>45444</v>
      </c>
      <c r="B120" t="s">
        <v>130</v>
      </c>
      <c r="C120" t="s">
        <v>194</v>
      </c>
      <c r="D120" s="7">
        <v>952</v>
      </c>
      <c r="E120" s="8">
        <v>5</v>
      </c>
      <c r="F120" s="8">
        <f t="shared" si="1"/>
        <v>219</v>
      </c>
      <c r="G120" s="8">
        <v>2186</v>
      </c>
      <c r="H120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0</v>
      </c>
      <c r="I120">
        <f>COUNTIFS(Cleaned_data[Order Month],TEXT(MarketingSpend[[#This Row],[Month]],"mmmm"),Cleaned_data[Marketing_Channel],MarketingSpend[[#This Row],[Marketing_Channel]],Cleaned_data[Region],MarketingSpend[[#This Row],[Region]])</f>
        <v>0</v>
      </c>
      <c r="J120" s="10">
        <f>MarketingSpend[[#This Row],[Actual Revenue]]/MarketingSpend[[#This Row],[Spend]]</f>
        <v>0</v>
      </c>
      <c r="K120" s="20">
        <f>MarketingSpend[[#This Row],[Total Orders]]/MarketingSpend[[#This Row],[Lead]]</f>
        <v>0</v>
      </c>
    </row>
    <row r="121" spans="1:11">
      <c r="A121" s="6">
        <v>45444</v>
      </c>
      <c r="B121" t="s">
        <v>90</v>
      </c>
      <c r="C121" t="s">
        <v>194</v>
      </c>
      <c r="D121" s="7">
        <v>2375</v>
      </c>
      <c r="E121" s="8">
        <v>3</v>
      </c>
      <c r="F121" s="8">
        <f t="shared" si="1"/>
        <v>583</v>
      </c>
      <c r="G121" s="8">
        <v>5825</v>
      </c>
      <c r="H121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605.71</v>
      </c>
      <c r="I121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121" s="10">
        <f>MarketingSpend[[#This Row],[Actual Revenue]]/MarketingSpend[[#This Row],[Spend]]</f>
        <v>0.25503578947368422</v>
      </c>
      <c r="K121" s="20">
        <f>MarketingSpend[[#This Row],[Total Orders]]/MarketingSpend[[#This Row],[Lead]]</f>
        <v>1.7152658662092624E-3</v>
      </c>
    </row>
    <row r="122" spans="1:11">
      <c r="A122" s="6">
        <v>45474</v>
      </c>
      <c r="B122" t="s">
        <v>147</v>
      </c>
      <c r="C122" t="s">
        <v>75</v>
      </c>
      <c r="D122" s="7">
        <v>1719</v>
      </c>
      <c r="E122" s="8">
        <v>5</v>
      </c>
      <c r="F122" s="8">
        <f t="shared" si="1"/>
        <v>349</v>
      </c>
      <c r="G122" s="8">
        <v>3481</v>
      </c>
      <c r="H122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1352.0564999999999</v>
      </c>
      <c r="I122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122" s="10">
        <f>MarketingSpend[[#This Row],[Actual Revenue]]/MarketingSpend[[#This Row],[Spend]]</f>
        <v>0.7865366492146596</v>
      </c>
      <c r="K122" s="20">
        <f>MarketingSpend[[#This Row],[Total Orders]]/MarketingSpend[[#This Row],[Lead]]</f>
        <v>2.8653295128939827E-3</v>
      </c>
    </row>
    <row r="123" spans="1:11">
      <c r="A123" s="6">
        <v>45474</v>
      </c>
      <c r="B123" t="s">
        <v>100</v>
      </c>
      <c r="C123" t="s">
        <v>75</v>
      </c>
      <c r="D123" s="7">
        <v>3212</v>
      </c>
      <c r="E123" s="8">
        <v>1</v>
      </c>
      <c r="F123" s="8">
        <f t="shared" si="1"/>
        <v>782</v>
      </c>
      <c r="G123" s="8">
        <v>7820</v>
      </c>
      <c r="H123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398.55719999999997</v>
      </c>
      <c r="I123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123" s="10">
        <f>MarketingSpend[[#This Row],[Actual Revenue]]/MarketingSpend[[#This Row],[Spend]]</f>
        <v>0.12408381070983809</v>
      </c>
      <c r="K123" s="20">
        <f>MarketingSpend[[#This Row],[Total Orders]]/MarketingSpend[[#This Row],[Lead]]</f>
        <v>2.5575447570332483E-3</v>
      </c>
    </row>
    <row r="124" spans="1:11">
      <c r="A124" s="6">
        <v>45474</v>
      </c>
      <c r="B124" t="s">
        <v>79</v>
      </c>
      <c r="C124" t="s">
        <v>75</v>
      </c>
      <c r="D124" s="7">
        <v>4781</v>
      </c>
      <c r="E124" s="8">
        <v>3</v>
      </c>
      <c r="F124" s="8">
        <f t="shared" si="1"/>
        <v>924</v>
      </c>
      <c r="G124" s="8">
        <v>9239</v>
      </c>
      <c r="H124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5855.5655000000006</v>
      </c>
      <c r="I124">
        <f>COUNTIFS(Cleaned_data[Order Month],TEXT(MarketingSpend[[#This Row],[Month]],"mmmm"),Cleaned_data[Marketing_Channel],MarketingSpend[[#This Row],[Marketing_Channel]],Cleaned_data[Region],MarketingSpend[[#This Row],[Region]])</f>
        <v>5</v>
      </c>
      <c r="J124" s="10">
        <f>MarketingSpend[[#This Row],[Actual Revenue]]/MarketingSpend[[#This Row],[Spend]]</f>
        <v>1.2247574775151644</v>
      </c>
      <c r="K124" s="20">
        <f>MarketingSpend[[#This Row],[Total Orders]]/MarketingSpend[[#This Row],[Lead]]</f>
        <v>5.411255411255411E-3</v>
      </c>
    </row>
    <row r="125" spans="1:11">
      <c r="A125" s="6">
        <v>45474</v>
      </c>
      <c r="B125" t="s">
        <v>130</v>
      </c>
      <c r="C125" t="s">
        <v>75</v>
      </c>
      <c r="D125" s="7">
        <v>1195</v>
      </c>
      <c r="E125" s="8">
        <v>5</v>
      </c>
      <c r="F125" s="8">
        <f t="shared" si="1"/>
        <v>331</v>
      </c>
      <c r="G125" s="8">
        <v>3310</v>
      </c>
      <c r="H125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342.05939999999998</v>
      </c>
      <c r="I125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125" s="10">
        <f>MarketingSpend[[#This Row],[Actual Revenue]]/MarketingSpend[[#This Row],[Spend]]</f>
        <v>0.28624217573221755</v>
      </c>
      <c r="K125" s="20">
        <f>MarketingSpend[[#This Row],[Total Orders]]/MarketingSpend[[#This Row],[Lead]]</f>
        <v>6.0422960725075529E-3</v>
      </c>
    </row>
    <row r="126" spans="1:11">
      <c r="A126" s="6">
        <v>45474</v>
      </c>
      <c r="B126" t="s">
        <v>90</v>
      </c>
      <c r="C126" t="s">
        <v>75</v>
      </c>
      <c r="D126" s="7">
        <v>2668</v>
      </c>
      <c r="E126" s="8">
        <v>4</v>
      </c>
      <c r="F126" s="8">
        <f t="shared" si="1"/>
        <v>536</v>
      </c>
      <c r="G126" s="8">
        <v>5356</v>
      </c>
      <c r="H126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176.39160000000001</v>
      </c>
      <c r="I126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126" s="10">
        <f>MarketingSpend[[#This Row],[Actual Revenue]]/MarketingSpend[[#This Row],[Spend]]</f>
        <v>6.6113793103448282E-2</v>
      </c>
      <c r="K126" s="20">
        <f>MarketingSpend[[#This Row],[Total Orders]]/MarketingSpend[[#This Row],[Lead]]</f>
        <v>1.8656716417910447E-3</v>
      </c>
    </row>
    <row r="127" spans="1:11">
      <c r="A127" s="6">
        <v>45474</v>
      </c>
      <c r="B127" t="s">
        <v>147</v>
      </c>
      <c r="C127" t="s">
        <v>126</v>
      </c>
      <c r="D127" s="7">
        <v>2414</v>
      </c>
      <c r="E127" s="8">
        <v>4</v>
      </c>
      <c r="F127" s="8">
        <f t="shared" si="1"/>
        <v>433</v>
      </c>
      <c r="G127" s="8">
        <v>4330</v>
      </c>
      <c r="H127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753.28070000000002</v>
      </c>
      <c r="I127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127" s="10">
        <f>MarketingSpend[[#This Row],[Actual Revenue]]/MarketingSpend[[#This Row],[Spend]]</f>
        <v>0.31204668599834301</v>
      </c>
      <c r="K127" s="20">
        <f>MarketingSpend[[#This Row],[Total Orders]]/MarketingSpend[[#This Row],[Lead]]</f>
        <v>6.9284064665127024E-3</v>
      </c>
    </row>
    <row r="128" spans="1:11">
      <c r="A128" s="6">
        <v>45474</v>
      </c>
      <c r="B128" t="s">
        <v>100</v>
      </c>
      <c r="C128" t="s">
        <v>126</v>
      </c>
      <c r="D128" s="7">
        <v>3207</v>
      </c>
      <c r="E128" s="8">
        <v>1</v>
      </c>
      <c r="F128" s="8">
        <f t="shared" si="1"/>
        <v>865</v>
      </c>
      <c r="G128" s="8">
        <v>8649</v>
      </c>
      <c r="H128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530.64750000000004</v>
      </c>
      <c r="I128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128" s="10">
        <f>MarketingSpend[[#This Row],[Actual Revenue]]/MarketingSpend[[#This Row],[Spend]]</f>
        <v>0.16546538821328347</v>
      </c>
      <c r="K128" s="20">
        <f>MarketingSpend[[#This Row],[Total Orders]]/MarketingSpend[[#This Row],[Lead]]</f>
        <v>3.4682080924855491E-3</v>
      </c>
    </row>
    <row r="129" spans="1:11">
      <c r="A129" s="6">
        <v>45474</v>
      </c>
      <c r="B129" t="s">
        <v>79</v>
      </c>
      <c r="C129" t="s">
        <v>126</v>
      </c>
      <c r="D129" s="7">
        <v>5587</v>
      </c>
      <c r="E129" s="8">
        <v>5</v>
      </c>
      <c r="F129" s="8">
        <f t="shared" si="1"/>
        <v>1113</v>
      </c>
      <c r="G129" s="8">
        <v>11127</v>
      </c>
      <c r="H129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2700.5113000000001</v>
      </c>
      <c r="I129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129" s="10">
        <f>MarketingSpend[[#This Row],[Actual Revenue]]/MarketingSpend[[#This Row],[Spend]]</f>
        <v>0.48335623769464831</v>
      </c>
      <c r="K129" s="20">
        <f>MarketingSpend[[#This Row],[Total Orders]]/MarketingSpend[[#This Row],[Lead]]</f>
        <v>1.7969451931716084E-3</v>
      </c>
    </row>
    <row r="130" spans="1:11">
      <c r="A130" s="6">
        <v>45474</v>
      </c>
      <c r="B130" t="s">
        <v>130</v>
      </c>
      <c r="C130" t="s">
        <v>126</v>
      </c>
      <c r="D130" s="7">
        <v>1477</v>
      </c>
      <c r="E130" s="8">
        <v>4</v>
      </c>
      <c r="F130" s="8">
        <f t="shared" ref="F130:F193" si="2">ROUNDUP(G130/10,0)</f>
        <v>241</v>
      </c>
      <c r="G130" s="8">
        <v>2401</v>
      </c>
      <c r="H130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2239.2565</v>
      </c>
      <c r="I130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130" s="10">
        <f>MarketingSpend[[#This Row],[Actual Revenue]]/MarketingSpend[[#This Row],[Spend]]</f>
        <v>1.5160842924847664</v>
      </c>
      <c r="K130" s="20">
        <f>MarketingSpend[[#This Row],[Total Orders]]/MarketingSpend[[#This Row],[Lead]]</f>
        <v>1.6597510373443983E-2</v>
      </c>
    </row>
    <row r="131" spans="1:11">
      <c r="A131" s="6">
        <v>45474</v>
      </c>
      <c r="B131" t="s">
        <v>90</v>
      </c>
      <c r="C131" t="s">
        <v>126</v>
      </c>
      <c r="D131" s="7">
        <v>2941</v>
      </c>
      <c r="E131" s="8">
        <v>1</v>
      </c>
      <c r="F131" s="8">
        <f t="shared" si="2"/>
        <v>798</v>
      </c>
      <c r="G131" s="8">
        <v>7971</v>
      </c>
      <c r="H131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2869.4551000000001</v>
      </c>
      <c r="I131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131" s="10">
        <f>MarketingSpend[[#This Row],[Actual Revenue]]/MarketingSpend[[#This Row],[Spend]]</f>
        <v>0.97567327439646379</v>
      </c>
      <c r="K131" s="20">
        <f>MarketingSpend[[#This Row],[Total Orders]]/MarketingSpend[[#This Row],[Lead]]</f>
        <v>5.0125313283208017E-3</v>
      </c>
    </row>
    <row r="132" spans="1:11">
      <c r="A132" s="6">
        <v>45474</v>
      </c>
      <c r="B132" t="s">
        <v>147</v>
      </c>
      <c r="C132" t="s">
        <v>138</v>
      </c>
      <c r="D132" s="7">
        <v>1839</v>
      </c>
      <c r="E132" s="8">
        <v>4</v>
      </c>
      <c r="F132" s="8">
        <f t="shared" si="2"/>
        <v>411</v>
      </c>
      <c r="G132" s="8">
        <v>4106</v>
      </c>
      <c r="H132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44.134999999999998</v>
      </c>
      <c r="I132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132" s="10">
        <f>MarketingSpend[[#This Row],[Actual Revenue]]/MarketingSpend[[#This Row],[Spend]]</f>
        <v>2.3999456226209897E-2</v>
      </c>
      <c r="K132" s="20">
        <f>MarketingSpend[[#This Row],[Total Orders]]/MarketingSpend[[#This Row],[Lead]]</f>
        <v>2.4330900243309003E-3</v>
      </c>
    </row>
    <row r="133" spans="1:11">
      <c r="A133" s="6">
        <v>45474</v>
      </c>
      <c r="B133" t="s">
        <v>100</v>
      </c>
      <c r="C133" t="s">
        <v>138</v>
      </c>
      <c r="D133" s="7">
        <v>2747</v>
      </c>
      <c r="E133" s="8">
        <v>3</v>
      </c>
      <c r="F133" s="8">
        <f t="shared" si="2"/>
        <v>872</v>
      </c>
      <c r="G133" s="8">
        <v>8717</v>
      </c>
      <c r="H133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852.702</v>
      </c>
      <c r="I133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133" s="10">
        <f>MarketingSpend[[#This Row],[Actual Revenue]]/MarketingSpend[[#This Row],[Spend]]</f>
        <v>0.31041208591190389</v>
      </c>
      <c r="K133" s="20">
        <f>MarketingSpend[[#This Row],[Total Orders]]/MarketingSpend[[#This Row],[Lead]]</f>
        <v>3.4403669724770644E-3</v>
      </c>
    </row>
    <row r="134" spans="1:11">
      <c r="A134" s="6">
        <v>45474</v>
      </c>
      <c r="B134" t="s">
        <v>79</v>
      </c>
      <c r="C134" t="s">
        <v>138</v>
      </c>
      <c r="D134" s="7">
        <v>5016</v>
      </c>
      <c r="E134" s="8">
        <v>5</v>
      </c>
      <c r="F134" s="8">
        <f t="shared" si="2"/>
        <v>1048</v>
      </c>
      <c r="G134" s="8">
        <v>10476</v>
      </c>
      <c r="H134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2114.8420000000001</v>
      </c>
      <c r="I134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134" s="10">
        <f>MarketingSpend[[#This Row],[Actual Revenue]]/MarketingSpend[[#This Row],[Spend]]</f>
        <v>0.42161921850079748</v>
      </c>
      <c r="K134" s="20">
        <f>MarketingSpend[[#This Row],[Total Orders]]/MarketingSpend[[#This Row],[Lead]]</f>
        <v>3.8167938931297708E-3</v>
      </c>
    </row>
    <row r="135" spans="1:11">
      <c r="A135" s="6">
        <v>45474</v>
      </c>
      <c r="B135" t="s">
        <v>130</v>
      </c>
      <c r="C135" t="s">
        <v>138</v>
      </c>
      <c r="D135" s="7">
        <v>957</v>
      </c>
      <c r="E135" s="8">
        <v>5</v>
      </c>
      <c r="F135" s="8">
        <f t="shared" si="2"/>
        <v>172</v>
      </c>
      <c r="G135" s="8">
        <v>1711</v>
      </c>
      <c r="H135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0</v>
      </c>
      <c r="I135">
        <f>COUNTIFS(Cleaned_data[Order Month],TEXT(MarketingSpend[[#This Row],[Month]],"mmmm"),Cleaned_data[Marketing_Channel],MarketingSpend[[#This Row],[Marketing_Channel]],Cleaned_data[Region],MarketingSpend[[#This Row],[Region]])</f>
        <v>0</v>
      </c>
      <c r="J135" s="10">
        <f>MarketingSpend[[#This Row],[Actual Revenue]]/MarketingSpend[[#This Row],[Spend]]</f>
        <v>0</v>
      </c>
      <c r="K135" s="20">
        <f>MarketingSpend[[#This Row],[Total Orders]]/MarketingSpend[[#This Row],[Lead]]</f>
        <v>0</v>
      </c>
    </row>
    <row r="136" spans="1:11">
      <c r="A136" s="6">
        <v>45474</v>
      </c>
      <c r="B136" t="s">
        <v>90</v>
      </c>
      <c r="C136" t="s">
        <v>138</v>
      </c>
      <c r="D136" s="7">
        <v>2059</v>
      </c>
      <c r="E136" s="8">
        <v>2</v>
      </c>
      <c r="F136" s="8">
        <f t="shared" si="2"/>
        <v>588</v>
      </c>
      <c r="G136" s="8">
        <v>5877</v>
      </c>
      <c r="H136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0</v>
      </c>
      <c r="I136">
        <f>COUNTIFS(Cleaned_data[Order Month],TEXT(MarketingSpend[[#This Row],[Month]],"mmmm"),Cleaned_data[Marketing_Channel],MarketingSpend[[#This Row],[Marketing_Channel]],Cleaned_data[Region],MarketingSpend[[#This Row],[Region]])</f>
        <v>0</v>
      </c>
      <c r="J136" s="10">
        <f>MarketingSpend[[#This Row],[Actual Revenue]]/MarketingSpend[[#This Row],[Spend]]</f>
        <v>0</v>
      </c>
      <c r="K136" s="20">
        <f>MarketingSpend[[#This Row],[Total Orders]]/MarketingSpend[[#This Row],[Lead]]</f>
        <v>0</v>
      </c>
    </row>
    <row r="137" spans="1:11">
      <c r="A137" s="6">
        <v>45474</v>
      </c>
      <c r="B137" t="s">
        <v>147</v>
      </c>
      <c r="C137" t="s">
        <v>194</v>
      </c>
      <c r="D137" s="7">
        <v>1807</v>
      </c>
      <c r="E137" s="8">
        <v>1</v>
      </c>
      <c r="F137" s="8">
        <f t="shared" si="2"/>
        <v>365</v>
      </c>
      <c r="G137" s="8">
        <v>3644</v>
      </c>
      <c r="H137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3692.393</v>
      </c>
      <c r="I137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137" s="10">
        <f>MarketingSpend[[#This Row],[Actual Revenue]]/MarketingSpend[[#This Row],[Spend]]</f>
        <v>2.0433829551743221</v>
      </c>
      <c r="K137" s="20">
        <f>MarketingSpend[[#This Row],[Total Orders]]/MarketingSpend[[#This Row],[Lead]]</f>
        <v>1.0958904109589041E-2</v>
      </c>
    </row>
    <row r="138" spans="1:11">
      <c r="A138" s="6">
        <v>45474</v>
      </c>
      <c r="B138" t="s">
        <v>100</v>
      </c>
      <c r="C138" t="s">
        <v>194</v>
      </c>
      <c r="D138" s="7">
        <v>3220</v>
      </c>
      <c r="E138" s="8">
        <v>1</v>
      </c>
      <c r="F138" s="8">
        <f t="shared" si="2"/>
        <v>456</v>
      </c>
      <c r="G138" s="8">
        <v>4555</v>
      </c>
      <c r="H138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1980.5930999999998</v>
      </c>
      <c r="I138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138" s="10">
        <f>MarketingSpend[[#This Row],[Actual Revenue]]/MarketingSpend[[#This Row],[Spend]]</f>
        <v>0.61509102484472045</v>
      </c>
      <c r="K138" s="20">
        <f>MarketingSpend[[#This Row],[Total Orders]]/MarketingSpend[[#This Row],[Lead]]</f>
        <v>6.5789473684210523E-3</v>
      </c>
    </row>
    <row r="139" spans="1:11">
      <c r="A139" s="6">
        <v>45474</v>
      </c>
      <c r="B139" t="s">
        <v>79</v>
      </c>
      <c r="C139" t="s">
        <v>194</v>
      </c>
      <c r="D139" s="7">
        <v>4547</v>
      </c>
      <c r="E139" s="8">
        <v>3</v>
      </c>
      <c r="F139" s="8">
        <f t="shared" si="2"/>
        <v>664</v>
      </c>
      <c r="G139" s="8">
        <v>6637</v>
      </c>
      <c r="H139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3810.9195</v>
      </c>
      <c r="I139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139" s="10">
        <f>MarketingSpend[[#This Row],[Actual Revenue]]/MarketingSpend[[#This Row],[Spend]]</f>
        <v>0.83811733010776335</v>
      </c>
      <c r="K139" s="20">
        <f>MarketingSpend[[#This Row],[Total Orders]]/MarketingSpend[[#This Row],[Lead]]</f>
        <v>3.0120481927710845E-3</v>
      </c>
    </row>
    <row r="140" spans="1:11">
      <c r="A140" s="6">
        <v>45474</v>
      </c>
      <c r="B140" t="s">
        <v>130</v>
      </c>
      <c r="C140" t="s">
        <v>194</v>
      </c>
      <c r="D140" s="7">
        <v>1112</v>
      </c>
      <c r="E140" s="8">
        <v>3</v>
      </c>
      <c r="F140" s="8">
        <f t="shared" si="2"/>
        <v>253</v>
      </c>
      <c r="G140" s="8">
        <v>2526</v>
      </c>
      <c r="H140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1458.5088000000001</v>
      </c>
      <c r="I140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140" s="10">
        <f>MarketingSpend[[#This Row],[Actual Revenue]]/MarketingSpend[[#This Row],[Spend]]</f>
        <v>1.3116086330935253</v>
      </c>
      <c r="K140" s="20">
        <f>MarketingSpend[[#This Row],[Total Orders]]/MarketingSpend[[#This Row],[Lead]]</f>
        <v>3.952569169960474E-3</v>
      </c>
    </row>
    <row r="141" spans="1:11">
      <c r="A141" s="6">
        <v>45474</v>
      </c>
      <c r="B141" t="s">
        <v>90</v>
      </c>
      <c r="C141" t="s">
        <v>194</v>
      </c>
      <c r="D141" s="7">
        <v>1881</v>
      </c>
      <c r="E141" s="8">
        <v>1</v>
      </c>
      <c r="F141" s="8">
        <f t="shared" si="2"/>
        <v>602</v>
      </c>
      <c r="G141" s="8">
        <v>6016</v>
      </c>
      <c r="H141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527.04840000000002</v>
      </c>
      <c r="I141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141" s="10">
        <f>MarketingSpend[[#This Row],[Actual Revenue]]/MarketingSpend[[#This Row],[Spend]]</f>
        <v>0.2801958532695375</v>
      </c>
      <c r="K141" s="20">
        <f>MarketingSpend[[#This Row],[Total Orders]]/MarketingSpend[[#This Row],[Lead]]</f>
        <v>3.3222591362126247E-3</v>
      </c>
    </row>
    <row r="142" spans="1:11">
      <c r="A142" s="6">
        <v>45505</v>
      </c>
      <c r="B142" t="s">
        <v>147</v>
      </c>
      <c r="C142" t="s">
        <v>75</v>
      </c>
      <c r="D142" s="7">
        <v>2117</v>
      </c>
      <c r="E142" s="8">
        <v>5</v>
      </c>
      <c r="F142" s="8">
        <f t="shared" si="2"/>
        <v>428</v>
      </c>
      <c r="G142" s="8">
        <v>4278</v>
      </c>
      <c r="H142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4020.9656</v>
      </c>
      <c r="I142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142" s="10">
        <f>MarketingSpend[[#This Row],[Actual Revenue]]/MarketingSpend[[#This Row],[Spend]]</f>
        <v>1.899369674067076</v>
      </c>
      <c r="K142" s="20">
        <f>MarketingSpend[[#This Row],[Total Orders]]/MarketingSpend[[#This Row],[Lead]]</f>
        <v>7.0093457943925233E-3</v>
      </c>
    </row>
    <row r="143" spans="1:11">
      <c r="A143" s="6">
        <v>45505</v>
      </c>
      <c r="B143" t="s">
        <v>100</v>
      </c>
      <c r="C143" t="s">
        <v>75</v>
      </c>
      <c r="D143" s="7">
        <v>3323</v>
      </c>
      <c r="E143" s="8">
        <v>3</v>
      </c>
      <c r="F143" s="8">
        <f t="shared" si="2"/>
        <v>882</v>
      </c>
      <c r="G143" s="8">
        <v>8812</v>
      </c>
      <c r="H143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0</v>
      </c>
      <c r="I143">
        <f>COUNTIFS(Cleaned_data[Order Month],TEXT(MarketingSpend[[#This Row],[Month]],"mmmm"),Cleaned_data[Marketing_Channel],MarketingSpend[[#This Row],[Marketing_Channel]],Cleaned_data[Region],MarketingSpend[[#This Row],[Region]])</f>
        <v>0</v>
      </c>
      <c r="J143" s="10">
        <f>MarketingSpend[[#This Row],[Actual Revenue]]/MarketingSpend[[#This Row],[Spend]]</f>
        <v>0</v>
      </c>
      <c r="K143" s="20">
        <f>MarketingSpend[[#This Row],[Total Orders]]/MarketingSpend[[#This Row],[Lead]]</f>
        <v>0</v>
      </c>
    </row>
    <row r="144" spans="1:11">
      <c r="A144" s="6">
        <v>45505</v>
      </c>
      <c r="B144" t="s">
        <v>79</v>
      </c>
      <c r="C144" t="s">
        <v>75</v>
      </c>
      <c r="D144" s="7">
        <v>4322</v>
      </c>
      <c r="E144" s="8">
        <v>5</v>
      </c>
      <c r="F144" s="8">
        <f t="shared" si="2"/>
        <v>917</v>
      </c>
      <c r="G144" s="8">
        <v>9164</v>
      </c>
      <c r="H144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4057.3750999999997</v>
      </c>
      <c r="I144">
        <f>COUNTIFS(Cleaned_data[Order Month],TEXT(MarketingSpend[[#This Row],[Month]],"mmmm"),Cleaned_data[Marketing_Channel],MarketingSpend[[#This Row],[Marketing_Channel]],Cleaned_data[Region],MarketingSpend[[#This Row],[Region]])</f>
        <v>5</v>
      </c>
      <c r="J144" s="10">
        <f>MarketingSpend[[#This Row],[Actual Revenue]]/MarketingSpend[[#This Row],[Spend]]</f>
        <v>0.93877258213789905</v>
      </c>
      <c r="K144" s="20">
        <f>MarketingSpend[[#This Row],[Total Orders]]/MarketingSpend[[#This Row],[Lead]]</f>
        <v>5.4525627044711015E-3</v>
      </c>
    </row>
    <row r="145" spans="1:11">
      <c r="A145" s="6">
        <v>45505</v>
      </c>
      <c r="B145" t="s">
        <v>130</v>
      </c>
      <c r="C145" t="s">
        <v>75</v>
      </c>
      <c r="D145" s="7">
        <v>1155</v>
      </c>
      <c r="E145" s="8">
        <v>5</v>
      </c>
      <c r="F145" s="8">
        <f t="shared" si="2"/>
        <v>200</v>
      </c>
      <c r="G145" s="8">
        <v>1994</v>
      </c>
      <c r="H145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-126.80670000000001</v>
      </c>
      <c r="I145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145" s="10">
        <f>MarketingSpend[[#This Row],[Actual Revenue]]/MarketingSpend[[#This Row],[Spend]]</f>
        <v>-0.10978935064935065</v>
      </c>
      <c r="K145" s="20">
        <f>MarketingSpend[[#This Row],[Total Orders]]/MarketingSpend[[#This Row],[Lead]]</f>
        <v>1.4999999999999999E-2</v>
      </c>
    </row>
    <row r="146" spans="1:11">
      <c r="A146" s="6">
        <v>45505</v>
      </c>
      <c r="B146" t="s">
        <v>90</v>
      </c>
      <c r="C146" t="s">
        <v>75</v>
      </c>
      <c r="D146" s="7">
        <v>3192</v>
      </c>
      <c r="E146" s="8">
        <v>5</v>
      </c>
      <c r="F146" s="8">
        <f t="shared" si="2"/>
        <v>779</v>
      </c>
      <c r="G146" s="8">
        <v>7790</v>
      </c>
      <c r="H146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1105.7440999999999</v>
      </c>
      <c r="I146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146" s="10">
        <f>MarketingSpend[[#This Row],[Actual Revenue]]/MarketingSpend[[#This Row],[Spend]]</f>
        <v>0.34641105889724305</v>
      </c>
      <c r="K146" s="20">
        <f>MarketingSpend[[#This Row],[Total Orders]]/MarketingSpend[[#This Row],[Lead]]</f>
        <v>2.5673940949935813E-3</v>
      </c>
    </row>
    <row r="147" spans="1:11">
      <c r="A147" s="6">
        <v>45505</v>
      </c>
      <c r="B147" t="s">
        <v>147</v>
      </c>
      <c r="C147" t="s">
        <v>126</v>
      </c>
      <c r="D147" s="7">
        <v>2081</v>
      </c>
      <c r="E147" s="8">
        <v>4</v>
      </c>
      <c r="F147" s="8">
        <f t="shared" si="2"/>
        <v>344</v>
      </c>
      <c r="G147" s="8">
        <v>3432</v>
      </c>
      <c r="H147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0</v>
      </c>
      <c r="I147">
        <f>COUNTIFS(Cleaned_data[Order Month],TEXT(MarketingSpend[[#This Row],[Month]],"mmmm"),Cleaned_data[Marketing_Channel],MarketingSpend[[#This Row],[Marketing_Channel]],Cleaned_data[Region],MarketingSpend[[#This Row],[Region]])</f>
        <v>0</v>
      </c>
      <c r="J147" s="10">
        <f>MarketingSpend[[#This Row],[Actual Revenue]]/MarketingSpend[[#This Row],[Spend]]</f>
        <v>0</v>
      </c>
      <c r="K147" s="20">
        <f>MarketingSpend[[#This Row],[Total Orders]]/MarketingSpend[[#This Row],[Lead]]</f>
        <v>0</v>
      </c>
    </row>
    <row r="148" spans="1:11">
      <c r="A148" s="6">
        <v>45505</v>
      </c>
      <c r="B148" t="s">
        <v>100</v>
      </c>
      <c r="C148" t="s">
        <v>126</v>
      </c>
      <c r="D148" s="7">
        <v>4266</v>
      </c>
      <c r="E148" s="8">
        <v>2</v>
      </c>
      <c r="F148" s="8">
        <f t="shared" si="2"/>
        <v>1004</v>
      </c>
      <c r="G148" s="8">
        <v>10033</v>
      </c>
      <c r="H148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0</v>
      </c>
      <c r="I148">
        <f>COUNTIFS(Cleaned_data[Order Month],TEXT(MarketingSpend[[#This Row],[Month]],"mmmm"),Cleaned_data[Marketing_Channel],MarketingSpend[[#This Row],[Marketing_Channel]],Cleaned_data[Region],MarketingSpend[[#This Row],[Region]])</f>
        <v>0</v>
      </c>
      <c r="J148" s="10">
        <f>MarketingSpend[[#This Row],[Actual Revenue]]/MarketingSpend[[#This Row],[Spend]]</f>
        <v>0</v>
      </c>
      <c r="K148" s="20">
        <f>MarketingSpend[[#This Row],[Total Orders]]/MarketingSpend[[#This Row],[Lead]]</f>
        <v>0</v>
      </c>
    </row>
    <row r="149" spans="1:11">
      <c r="A149" s="6">
        <v>45505</v>
      </c>
      <c r="B149" t="s">
        <v>79</v>
      </c>
      <c r="C149" t="s">
        <v>126</v>
      </c>
      <c r="D149" s="7">
        <v>5958</v>
      </c>
      <c r="E149" s="8">
        <v>1</v>
      </c>
      <c r="F149" s="8">
        <f t="shared" si="2"/>
        <v>1129</v>
      </c>
      <c r="G149" s="8">
        <v>11281</v>
      </c>
      <c r="H149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1311.4207000000001</v>
      </c>
      <c r="I149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149" s="10">
        <f>MarketingSpend[[#This Row],[Actual Revenue]]/MarketingSpend[[#This Row],[Spend]]</f>
        <v>0.2201108929170863</v>
      </c>
      <c r="K149" s="20">
        <f>MarketingSpend[[#This Row],[Total Orders]]/MarketingSpend[[#This Row],[Lead]]</f>
        <v>1.7714791851195749E-3</v>
      </c>
    </row>
    <row r="150" spans="1:11">
      <c r="A150" s="6">
        <v>45505</v>
      </c>
      <c r="B150" t="s">
        <v>130</v>
      </c>
      <c r="C150" t="s">
        <v>126</v>
      </c>
      <c r="D150" s="7">
        <v>1477</v>
      </c>
      <c r="E150" s="8">
        <v>4</v>
      </c>
      <c r="F150" s="8">
        <f t="shared" si="2"/>
        <v>243</v>
      </c>
      <c r="G150" s="8">
        <v>2426</v>
      </c>
      <c r="H150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7402.53</v>
      </c>
      <c r="I150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150" s="10">
        <f>MarketingSpend[[#This Row],[Actual Revenue]]/MarketingSpend[[#This Row],[Spend]]</f>
        <v>5.0118686526743401</v>
      </c>
      <c r="K150" s="20">
        <f>MarketingSpend[[#This Row],[Total Orders]]/MarketingSpend[[#This Row],[Lead]]</f>
        <v>1.2345679012345678E-2</v>
      </c>
    </row>
    <row r="151" spans="1:11">
      <c r="A151" s="6">
        <v>45505</v>
      </c>
      <c r="B151" t="s">
        <v>90</v>
      </c>
      <c r="C151" t="s">
        <v>126</v>
      </c>
      <c r="D151" s="7">
        <v>3212</v>
      </c>
      <c r="E151" s="8">
        <v>3</v>
      </c>
      <c r="F151" s="8">
        <f t="shared" si="2"/>
        <v>720</v>
      </c>
      <c r="G151" s="8">
        <v>7200</v>
      </c>
      <c r="H151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378.31120000000004</v>
      </c>
      <c r="I151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151" s="10">
        <f>MarketingSpend[[#This Row],[Actual Revenue]]/MarketingSpend[[#This Row],[Spend]]</f>
        <v>0.11778057285180574</v>
      </c>
      <c r="K151" s="20">
        <f>MarketingSpend[[#This Row],[Total Orders]]/MarketingSpend[[#This Row],[Lead]]</f>
        <v>2.7777777777777779E-3</v>
      </c>
    </row>
    <row r="152" spans="1:11">
      <c r="A152" s="6">
        <v>45505</v>
      </c>
      <c r="B152" t="s">
        <v>147</v>
      </c>
      <c r="C152" t="s">
        <v>138</v>
      </c>
      <c r="D152" s="7">
        <v>1576</v>
      </c>
      <c r="E152" s="8">
        <v>2</v>
      </c>
      <c r="F152" s="8">
        <f t="shared" si="2"/>
        <v>281</v>
      </c>
      <c r="G152" s="8">
        <v>2809</v>
      </c>
      <c r="H152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514.48980000000006</v>
      </c>
      <c r="I152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152" s="10">
        <f>MarketingSpend[[#This Row],[Actual Revenue]]/MarketingSpend[[#This Row],[Spend]]</f>
        <v>0.32645291878172594</v>
      </c>
      <c r="K152" s="20">
        <f>MarketingSpend[[#This Row],[Total Orders]]/MarketingSpend[[#This Row],[Lead]]</f>
        <v>3.5587188612099642E-3</v>
      </c>
    </row>
    <row r="153" spans="1:11">
      <c r="A153" s="6">
        <v>45505</v>
      </c>
      <c r="B153" t="s">
        <v>100</v>
      </c>
      <c r="C153" t="s">
        <v>138</v>
      </c>
      <c r="D153" s="7">
        <v>3224</v>
      </c>
      <c r="E153" s="8">
        <v>4</v>
      </c>
      <c r="F153" s="8">
        <f t="shared" si="2"/>
        <v>606</v>
      </c>
      <c r="G153" s="8">
        <v>6060</v>
      </c>
      <c r="H153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0</v>
      </c>
      <c r="I153">
        <f>COUNTIFS(Cleaned_data[Order Month],TEXT(MarketingSpend[[#This Row],[Month]],"mmmm"),Cleaned_data[Marketing_Channel],MarketingSpend[[#This Row],[Marketing_Channel]],Cleaned_data[Region],MarketingSpend[[#This Row],[Region]])</f>
        <v>0</v>
      </c>
      <c r="J153" s="10">
        <f>MarketingSpend[[#This Row],[Actual Revenue]]/MarketingSpend[[#This Row],[Spend]]</f>
        <v>0</v>
      </c>
      <c r="K153" s="20">
        <f>MarketingSpend[[#This Row],[Total Orders]]/MarketingSpend[[#This Row],[Lead]]</f>
        <v>0</v>
      </c>
    </row>
    <row r="154" spans="1:11">
      <c r="A154" s="6">
        <v>45505</v>
      </c>
      <c r="B154" t="s">
        <v>79</v>
      </c>
      <c r="C154" t="s">
        <v>138</v>
      </c>
      <c r="D154" s="7">
        <v>4642</v>
      </c>
      <c r="E154" s="8">
        <v>3</v>
      </c>
      <c r="F154" s="8">
        <f t="shared" si="2"/>
        <v>812</v>
      </c>
      <c r="G154" s="8">
        <v>8118</v>
      </c>
      <c r="H154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974.01700000000005</v>
      </c>
      <c r="I154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154" s="10">
        <f>MarketingSpend[[#This Row],[Actual Revenue]]/MarketingSpend[[#This Row],[Spend]]</f>
        <v>0.20982701421800948</v>
      </c>
      <c r="K154" s="20">
        <f>MarketingSpend[[#This Row],[Total Orders]]/MarketingSpend[[#This Row],[Lead]]</f>
        <v>2.4630541871921183E-3</v>
      </c>
    </row>
    <row r="155" spans="1:11">
      <c r="A155" s="6">
        <v>45505</v>
      </c>
      <c r="B155" t="s">
        <v>130</v>
      </c>
      <c r="C155" t="s">
        <v>138</v>
      </c>
      <c r="D155" s="7">
        <v>1161</v>
      </c>
      <c r="E155" s="8">
        <v>1</v>
      </c>
      <c r="F155" s="8">
        <f t="shared" si="2"/>
        <v>212</v>
      </c>
      <c r="G155" s="8">
        <v>2115</v>
      </c>
      <c r="H155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6714.3169999999991</v>
      </c>
      <c r="I155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155" s="10">
        <f>MarketingSpend[[#This Row],[Actual Revenue]]/MarketingSpend[[#This Row],[Spend]]</f>
        <v>5.7832187769164509</v>
      </c>
      <c r="K155" s="20">
        <f>MarketingSpend[[#This Row],[Total Orders]]/MarketingSpend[[#This Row],[Lead]]</f>
        <v>1.8867924528301886E-2</v>
      </c>
    </row>
    <row r="156" spans="1:11">
      <c r="A156" s="6">
        <v>45505</v>
      </c>
      <c r="B156" t="s">
        <v>90</v>
      </c>
      <c r="C156" t="s">
        <v>138</v>
      </c>
      <c r="D156" s="7">
        <v>2247</v>
      </c>
      <c r="E156" s="8">
        <v>5</v>
      </c>
      <c r="F156" s="8">
        <f t="shared" si="2"/>
        <v>603</v>
      </c>
      <c r="G156" s="8">
        <v>6024</v>
      </c>
      <c r="H156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1882.6659000000002</v>
      </c>
      <c r="I156">
        <f>COUNTIFS(Cleaned_data[Order Month],TEXT(MarketingSpend[[#This Row],[Month]],"mmmm"),Cleaned_data[Marketing_Channel],MarketingSpend[[#This Row],[Marketing_Channel]],Cleaned_data[Region],MarketingSpend[[#This Row],[Region]])</f>
        <v>5</v>
      </c>
      <c r="J156" s="10">
        <f>MarketingSpend[[#This Row],[Actual Revenue]]/MarketingSpend[[#This Row],[Spend]]</f>
        <v>0.83785754339118834</v>
      </c>
      <c r="K156" s="20">
        <f>MarketingSpend[[#This Row],[Total Orders]]/MarketingSpend[[#This Row],[Lead]]</f>
        <v>8.291873963515755E-3</v>
      </c>
    </row>
    <row r="157" spans="1:11">
      <c r="A157" s="6">
        <v>45505</v>
      </c>
      <c r="B157" t="s">
        <v>147</v>
      </c>
      <c r="C157" t="s">
        <v>194</v>
      </c>
      <c r="D157" s="7">
        <v>1415</v>
      </c>
      <c r="E157" s="8">
        <v>1</v>
      </c>
      <c r="F157" s="8">
        <f t="shared" si="2"/>
        <v>372</v>
      </c>
      <c r="G157" s="8">
        <v>3718</v>
      </c>
      <c r="H157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254.41910000000001</v>
      </c>
      <c r="I157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157" s="10">
        <f>MarketingSpend[[#This Row],[Actual Revenue]]/MarketingSpend[[#This Row],[Spend]]</f>
        <v>0.17980148409893995</v>
      </c>
      <c r="K157" s="20">
        <f>MarketingSpend[[#This Row],[Total Orders]]/MarketingSpend[[#This Row],[Lead]]</f>
        <v>2.6881720430107529E-3</v>
      </c>
    </row>
    <row r="158" spans="1:11">
      <c r="A158" s="6">
        <v>45505</v>
      </c>
      <c r="B158" t="s">
        <v>100</v>
      </c>
      <c r="C158" t="s">
        <v>194</v>
      </c>
      <c r="D158" s="7">
        <v>2584</v>
      </c>
      <c r="E158" s="8">
        <v>2</v>
      </c>
      <c r="F158" s="8">
        <f t="shared" si="2"/>
        <v>537</v>
      </c>
      <c r="G158" s="8">
        <v>5367</v>
      </c>
      <c r="H158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518.072</v>
      </c>
      <c r="I158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158" s="10">
        <f>MarketingSpend[[#This Row],[Actual Revenue]]/MarketingSpend[[#This Row],[Spend]]</f>
        <v>0.2004922600619195</v>
      </c>
      <c r="K158" s="20">
        <f>MarketingSpend[[#This Row],[Total Orders]]/MarketingSpend[[#This Row],[Lead]]</f>
        <v>5.5865921787709499E-3</v>
      </c>
    </row>
    <row r="159" spans="1:11">
      <c r="A159" s="6">
        <v>45505</v>
      </c>
      <c r="B159" t="s">
        <v>79</v>
      </c>
      <c r="C159" t="s">
        <v>194</v>
      </c>
      <c r="D159" s="7">
        <v>3588</v>
      </c>
      <c r="E159" s="8">
        <v>4</v>
      </c>
      <c r="F159" s="8">
        <f t="shared" si="2"/>
        <v>681</v>
      </c>
      <c r="G159" s="8">
        <v>6804</v>
      </c>
      <c r="H159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5288.3945999999996</v>
      </c>
      <c r="I159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159" s="10">
        <f>MarketingSpend[[#This Row],[Actual Revenue]]/MarketingSpend[[#This Row],[Spend]]</f>
        <v>1.4739115384615384</v>
      </c>
      <c r="K159" s="20">
        <f>MarketingSpend[[#This Row],[Total Orders]]/MarketingSpend[[#This Row],[Lead]]</f>
        <v>5.8737151248164461E-3</v>
      </c>
    </row>
    <row r="160" spans="1:11">
      <c r="A160" s="6">
        <v>45505</v>
      </c>
      <c r="B160" t="s">
        <v>130</v>
      </c>
      <c r="C160" t="s">
        <v>194</v>
      </c>
      <c r="D160" s="7">
        <v>824</v>
      </c>
      <c r="E160" s="8">
        <v>4</v>
      </c>
      <c r="F160" s="8">
        <f t="shared" si="2"/>
        <v>223</v>
      </c>
      <c r="G160" s="8">
        <v>2221</v>
      </c>
      <c r="H160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0</v>
      </c>
      <c r="I160">
        <f>COUNTIFS(Cleaned_data[Order Month],TEXT(MarketingSpend[[#This Row],[Month]],"mmmm"),Cleaned_data[Marketing_Channel],MarketingSpend[[#This Row],[Marketing_Channel]],Cleaned_data[Region],MarketingSpend[[#This Row],[Region]])</f>
        <v>0</v>
      </c>
      <c r="J160" s="10">
        <f>MarketingSpend[[#This Row],[Actual Revenue]]/MarketingSpend[[#This Row],[Spend]]</f>
        <v>0</v>
      </c>
      <c r="K160" s="20">
        <f>MarketingSpend[[#This Row],[Total Orders]]/MarketingSpend[[#This Row],[Lead]]</f>
        <v>0</v>
      </c>
    </row>
    <row r="161" spans="1:11">
      <c r="A161" s="6">
        <v>45505</v>
      </c>
      <c r="B161" t="s">
        <v>90</v>
      </c>
      <c r="C161" t="s">
        <v>194</v>
      </c>
      <c r="D161" s="7">
        <v>2485</v>
      </c>
      <c r="E161" s="8">
        <v>3</v>
      </c>
      <c r="F161" s="8">
        <f t="shared" si="2"/>
        <v>636</v>
      </c>
      <c r="G161" s="8">
        <v>6351</v>
      </c>
      <c r="H161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1308.6394</v>
      </c>
      <c r="I161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161" s="10">
        <f>MarketingSpend[[#This Row],[Actual Revenue]]/MarketingSpend[[#This Row],[Spend]]</f>
        <v>0.52661545271629784</v>
      </c>
      <c r="K161" s="20">
        <f>MarketingSpend[[#This Row],[Total Orders]]/MarketingSpend[[#This Row],[Lead]]</f>
        <v>6.2893081761006293E-3</v>
      </c>
    </row>
    <row r="162" spans="1:11">
      <c r="A162" s="6">
        <v>45536</v>
      </c>
      <c r="B162" t="s">
        <v>147</v>
      </c>
      <c r="C162" t="s">
        <v>75</v>
      </c>
      <c r="D162" s="7">
        <v>1823</v>
      </c>
      <c r="E162" s="8">
        <v>1</v>
      </c>
      <c r="F162" s="8">
        <f t="shared" si="2"/>
        <v>501</v>
      </c>
      <c r="G162" s="8">
        <v>5010</v>
      </c>
      <c r="H162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806.82680000000005</v>
      </c>
      <c r="I162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162" s="10">
        <f>MarketingSpend[[#This Row],[Actual Revenue]]/MarketingSpend[[#This Row],[Spend]]</f>
        <v>0.4425818979703785</v>
      </c>
      <c r="K162" s="20">
        <f>MarketingSpend[[#This Row],[Total Orders]]/MarketingSpend[[#This Row],[Lead]]</f>
        <v>7.9840319361277438E-3</v>
      </c>
    </row>
    <row r="163" spans="1:11">
      <c r="A163" s="6">
        <v>45536</v>
      </c>
      <c r="B163" t="s">
        <v>100</v>
      </c>
      <c r="C163" t="s">
        <v>75</v>
      </c>
      <c r="D163" s="7">
        <v>3184</v>
      </c>
      <c r="E163" s="8">
        <v>4</v>
      </c>
      <c r="F163" s="8">
        <f t="shared" si="2"/>
        <v>782</v>
      </c>
      <c r="G163" s="8">
        <v>7814</v>
      </c>
      <c r="H163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0</v>
      </c>
      <c r="I163">
        <f>COUNTIFS(Cleaned_data[Order Month],TEXT(MarketingSpend[[#This Row],[Month]],"mmmm"),Cleaned_data[Marketing_Channel],MarketingSpend[[#This Row],[Marketing_Channel]],Cleaned_data[Region],MarketingSpend[[#This Row],[Region]])</f>
        <v>0</v>
      </c>
      <c r="J163" s="10">
        <f>MarketingSpend[[#This Row],[Actual Revenue]]/MarketingSpend[[#This Row],[Spend]]</f>
        <v>0</v>
      </c>
      <c r="K163" s="20">
        <f>MarketingSpend[[#This Row],[Total Orders]]/MarketingSpend[[#This Row],[Lead]]</f>
        <v>0</v>
      </c>
    </row>
    <row r="164" spans="1:11">
      <c r="A164" s="6">
        <v>45536</v>
      </c>
      <c r="B164" t="s">
        <v>79</v>
      </c>
      <c r="C164" t="s">
        <v>75</v>
      </c>
      <c r="D164" s="7">
        <v>4491</v>
      </c>
      <c r="E164" s="8">
        <v>4</v>
      </c>
      <c r="F164" s="8">
        <f t="shared" si="2"/>
        <v>798</v>
      </c>
      <c r="G164" s="8">
        <v>7978</v>
      </c>
      <c r="H164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957.25049999999987</v>
      </c>
      <c r="I164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164" s="10">
        <f>MarketingSpend[[#This Row],[Actual Revenue]]/MarketingSpend[[#This Row],[Spend]]</f>
        <v>0.21314863059452235</v>
      </c>
      <c r="K164" s="20">
        <f>MarketingSpend[[#This Row],[Total Orders]]/MarketingSpend[[#This Row],[Lead]]</f>
        <v>3.7593984962406013E-3</v>
      </c>
    </row>
    <row r="165" spans="1:11">
      <c r="A165" s="6">
        <v>45536</v>
      </c>
      <c r="B165" t="s">
        <v>130</v>
      </c>
      <c r="C165" t="s">
        <v>75</v>
      </c>
      <c r="D165" s="7">
        <v>1193</v>
      </c>
      <c r="E165" s="8">
        <v>3</v>
      </c>
      <c r="F165" s="8">
        <f t="shared" si="2"/>
        <v>192</v>
      </c>
      <c r="G165" s="8">
        <v>1911</v>
      </c>
      <c r="H165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1064.0170000000001</v>
      </c>
      <c r="I165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165" s="10">
        <f>MarketingSpend[[#This Row],[Actual Revenue]]/MarketingSpend[[#This Row],[Spend]]</f>
        <v>0.89188348700754405</v>
      </c>
      <c r="K165" s="20">
        <f>MarketingSpend[[#This Row],[Total Orders]]/MarketingSpend[[#This Row],[Lead]]</f>
        <v>2.0833333333333332E-2</v>
      </c>
    </row>
    <row r="166" spans="1:11">
      <c r="A166" s="6">
        <v>45536</v>
      </c>
      <c r="B166" t="s">
        <v>90</v>
      </c>
      <c r="C166" t="s">
        <v>75</v>
      </c>
      <c r="D166" s="7">
        <v>2521</v>
      </c>
      <c r="E166" s="8">
        <v>4</v>
      </c>
      <c r="F166" s="8">
        <f t="shared" si="2"/>
        <v>762</v>
      </c>
      <c r="G166" s="8">
        <v>7613</v>
      </c>
      <c r="H166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1021.8425999999999</v>
      </c>
      <c r="I166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166" s="10">
        <f>MarketingSpend[[#This Row],[Actual Revenue]]/MarketingSpend[[#This Row],[Spend]]</f>
        <v>0.40533224910749699</v>
      </c>
      <c r="K166" s="20">
        <f>MarketingSpend[[#This Row],[Total Orders]]/MarketingSpend[[#This Row],[Lead]]</f>
        <v>5.2493438320209973E-3</v>
      </c>
    </row>
    <row r="167" spans="1:11">
      <c r="A167" s="6">
        <v>45536</v>
      </c>
      <c r="B167" t="s">
        <v>147</v>
      </c>
      <c r="C167" t="s">
        <v>126</v>
      </c>
      <c r="D167" s="7">
        <v>2229</v>
      </c>
      <c r="E167" s="8">
        <v>2</v>
      </c>
      <c r="F167" s="8">
        <f t="shared" si="2"/>
        <v>427</v>
      </c>
      <c r="G167" s="8">
        <v>4261</v>
      </c>
      <c r="H167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2131.1120000000001</v>
      </c>
      <c r="I167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167" s="10">
        <f>MarketingSpend[[#This Row],[Actual Revenue]]/MarketingSpend[[#This Row],[Spend]]</f>
        <v>0.95608434275459853</v>
      </c>
      <c r="K167" s="20">
        <f>MarketingSpend[[#This Row],[Total Orders]]/MarketingSpend[[#This Row],[Lead]]</f>
        <v>7.0257611241217799E-3</v>
      </c>
    </row>
    <row r="168" spans="1:11">
      <c r="A168" s="6">
        <v>45536</v>
      </c>
      <c r="B168" t="s">
        <v>100</v>
      </c>
      <c r="C168" t="s">
        <v>126</v>
      </c>
      <c r="D168" s="7">
        <v>3270</v>
      </c>
      <c r="E168" s="8">
        <v>1</v>
      </c>
      <c r="F168" s="8">
        <f t="shared" si="2"/>
        <v>950</v>
      </c>
      <c r="G168" s="8">
        <v>9497</v>
      </c>
      <c r="H168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1226.3829000000001</v>
      </c>
      <c r="I168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168" s="10">
        <f>MarketingSpend[[#This Row],[Actual Revenue]]/MarketingSpend[[#This Row],[Spend]]</f>
        <v>0.37504064220183486</v>
      </c>
      <c r="K168" s="20">
        <f>MarketingSpend[[#This Row],[Total Orders]]/MarketingSpend[[#This Row],[Lead]]</f>
        <v>4.2105263157894736E-3</v>
      </c>
    </row>
    <row r="169" spans="1:11">
      <c r="A169" s="6">
        <v>45536</v>
      </c>
      <c r="B169" t="s">
        <v>79</v>
      </c>
      <c r="C169" t="s">
        <v>126</v>
      </c>
      <c r="D169" s="7">
        <v>5270</v>
      </c>
      <c r="E169" s="8">
        <v>3</v>
      </c>
      <c r="F169" s="8">
        <f t="shared" si="2"/>
        <v>1312</v>
      </c>
      <c r="G169" s="8">
        <v>13112</v>
      </c>
      <c r="H169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1514.4115999999999</v>
      </c>
      <c r="I169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169" s="10">
        <f>MarketingSpend[[#This Row],[Actual Revenue]]/MarketingSpend[[#This Row],[Spend]]</f>
        <v>0.28736462998102463</v>
      </c>
      <c r="K169" s="20">
        <f>MarketingSpend[[#This Row],[Total Orders]]/MarketingSpend[[#This Row],[Lead]]</f>
        <v>3.0487804878048782E-3</v>
      </c>
    </row>
    <row r="170" spans="1:11">
      <c r="A170" s="6">
        <v>45536</v>
      </c>
      <c r="B170" t="s">
        <v>130</v>
      </c>
      <c r="C170" t="s">
        <v>126</v>
      </c>
      <c r="D170" s="7">
        <v>1266</v>
      </c>
      <c r="E170" s="8">
        <v>4</v>
      </c>
      <c r="F170" s="8">
        <f t="shared" si="2"/>
        <v>230</v>
      </c>
      <c r="G170" s="8">
        <v>2299</v>
      </c>
      <c r="H170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1897.3403000000001</v>
      </c>
      <c r="I170">
        <f>COUNTIFS(Cleaned_data[Order Month],TEXT(MarketingSpend[[#This Row],[Month]],"mmmm"),Cleaned_data[Marketing_Channel],MarketingSpend[[#This Row],[Marketing_Channel]],Cleaned_data[Region],MarketingSpend[[#This Row],[Region]])</f>
        <v>6</v>
      </c>
      <c r="J170" s="10">
        <f>MarketingSpend[[#This Row],[Actual Revenue]]/MarketingSpend[[#This Row],[Spend]]</f>
        <v>1.4986890205371248</v>
      </c>
      <c r="K170" s="20">
        <f>MarketingSpend[[#This Row],[Total Orders]]/MarketingSpend[[#This Row],[Lead]]</f>
        <v>2.6086956521739129E-2</v>
      </c>
    </row>
    <row r="171" spans="1:11">
      <c r="A171" s="6">
        <v>45536</v>
      </c>
      <c r="B171" t="s">
        <v>90</v>
      </c>
      <c r="C171" t="s">
        <v>126</v>
      </c>
      <c r="D171" s="7">
        <v>2627</v>
      </c>
      <c r="E171" s="8">
        <v>1</v>
      </c>
      <c r="F171" s="8">
        <f t="shared" si="2"/>
        <v>660</v>
      </c>
      <c r="G171" s="8">
        <v>6595</v>
      </c>
      <c r="H171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0</v>
      </c>
      <c r="I171">
        <f>COUNTIFS(Cleaned_data[Order Month],TEXT(MarketingSpend[[#This Row],[Month]],"mmmm"),Cleaned_data[Marketing_Channel],MarketingSpend[[#This Row],[Marketing_Channel]],Cleaned_data[Region],MarketingSpend[[#This Row],[Region]])</f>
        <v>0</v>
      </c>
      <c r="J171" s="10">
        <f>MarketingSpend[[#This Row],[Actual Revenue]]/MarketingSpend[[#This Row],[Spend]]</f>
        <v>0</v>
      </c>
      <c r="K171" s="20">
        <f>MarketingSpend[[#This Row],[Total Orders]]/MarketingSpend[[#This Row],[Lead]]</f>
        <v>0</v>
      </c>
    </row>
    <row r="172" spans="1:11">
      <c r="A172" s="6">
        <v>45536</v>
      </c>
      <c r="B172" t="s">
        <v>147</v>
      </c>
      <c r="C172" t="s">
        <v>138</v>
      </c>
      <c r="D172" s="7">
        <v>1567</v>
      </c>
      <c r="E172" s="8">
        <v>3</v>
      </c>
      <c r="F172" s="8">
        <f t="shared" si="2"/>
        <v>341</v>
      </c>
      <c r="G172" s="8">
        <v>3409</v>
      </c>
      <c r="H172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0</v>
      </c>
      <c r="I172">
        <f>COUNTIFS(Cleaned_data[Order Month],TEXT(MarketingSpend[[#This Row],[Month]],"mmmm"),Cleaned_data[Marketing_Channel],MarketingSpend[[#This Row],[Marketing_Channel]],Cleaned_data[Region],MarketingSpend[[#This Row],[Region]])</f>
        <v>0</v>
      </c>
      <c r="J172" s="10">
        <f>MarketingSpend[[#This Row],[Actual Revenue]]/MarketingSpend[[#This Row],[Spend]]</f>
        <v>0</v>
      </c>
      <c r="K172" s="20">
        <f>MarketingSpend[[#This Row],[Total Orders]]/MarketingSpend[[#This Row],[Lead]]</f>
        <v>0</v>
      </c>
    </row>
    <row r="173" spans="1:11">
      <c r="A173" s="6">
        <v>45536</v>
      </c>
      <c r="B173" t="s">
        <v>100</v>
      </c>
      <c r="C173" t="s">
        <v>138</v>
      </c>
      <c r="D173" s="7">
        <v>3424</v>
      </c>
      <c r="E173" s="8">
        <v>5</v>
      </c>
      <c r="F173" s="8">
        <f t="shared" si="2"/>
        <v>735</v>
      </c>
      <c r="G173" s="8">
        <v>7342</v>
      </c>
      <c r="H173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855.03719999999998</v>
      </c>
      <c r="I173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173" s="10">
        <f>MarketingSpend[[#This Row],[Actual Revenue]]/MarketingSpend[[#This Row],[Spend]]</f>
        <v>0.24971880841121494</v>
      </c>
      <c r="K173" s="20">
        <f>MarketingSpend[[#This Row],[Total Orders]]/MarketingSpend[[#This Row],[Lead]]</f>
        <v>2.7210884353741495E-3</v>
      </c>
    </row>
    <row r="174" spans="1:11">
      <c r="A174" s="6">
        <v>45536</v>
      </c>
      <c r="B174" t="s">
        <v>79</v>
      </c>
      <c r="C174" t="s">
        <v>138</v>
      </c>
      <c r="D174" s="7">
        <v>4740</v>
      </c>
      <c r="E174" s="8">
        <v>3</v>
      </c>
      <c r="F174" s="8">
        <f t="shared" si="2"/>
        <v>909</v>
      </c>
      <c r="G174" s="8">
        <v>9089</v>
      </c>
      <c r="H174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434.69970000000001</v>
      </c>
      <c r="I174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174" s="10">
        <f>MarketingSpend[[#This Row],[Actual Revenue]]/MarketingSpend[[#This Row],[Spend]]</f>
        <v>9.1708797468354433E-2</v>
      </c>
      <c r="K174" s="20">
        <f>MarketingSpend[[#This Row],[Total Orders]]/MarketingSpend[[#This Row],[Lead]]</f>
        <v>2.2002200220022001E-3</v>
      </c>
    </row>
    <row r="175" spans="1:11">
      <c r="A175" s="6">
        <v>45536</v>
      </c>
      <c r="B175" t="s">
        <v>130</v>
      </c>
      <c r="C175" t="s">
        <v>138</v>
      </c>
      <c r="D175" s="7">
        <v>1218</v>
      </c>
      <c r="E175" s="8">
        <v>5</v>
      </c>
      <c r="F175" s="8">
        <f t="shared" si="2"/>
        <v>197</v>
      </c>
      <c r="G175" s="8">
        <v>1970</v>
      </c>
      <c r="H175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3986.3404</v>
      </c>
      <c r="I175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175" s="10">
        <f>MarketingSpend[[#This Row],[Actual Revenue]]/MarketingSpend[[#This Row],[Spend]]</f>
        <v>3.2728574712643677</v>
      </c>
      <c r="K175" s="20">
        <f>MarketingSpend[[#This Row],[Total Orders]]/MarketingSpend[[#This Row],[Lead]]</f>
        <v>2.030456852791878E-2</v>
      </c>
    </row>
    <row r="176" spans="1:11">
      <c r="A176" s="6">
        <v>45536</v>
      </c>
      <c r="B176" t="s">
        <v>90</v>
      </c>
      <c r="C176" t="s">
        <v>138</v>
      </c>
      <c r="D176" s="7">
        <v>2283</v>
      </c>
      <c r="E176" s="8">
        <v>5</v>
      </c>
      <c r="F176" s="8">
        <f t="shared" si="2"/>
        <v>489</v>
      </c>
      <c r="G176" s="8">
        <v>4881</v>
      </c>
      <c r="H176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6345.4921000000013</v>
      </c>
      <c r="I176">
        <f>COUNTIFS(Cleaned_data[Order Month],TEXT(MarketingSpend[[#This Row],[Month]],"mmmm"),Cleaned_data[Marketing_Channel],MarketingSpend[[#This Row],[Marketing_Channel]],Cleaned_data[Region],MarketingSpend[[#This Row],[Region]])</f>
        <v>6</v>
      </c>
      <c r="J176" s="10">
        <f>MarketingSpend[[#This Row],[Actual Revenue]]/MarketingSpend[[#This Row],[Spend]]</f>
        <v>2.7794533946561546</v>
      </c>
      <c r="K176" s="20">
        <f>MarketingSpend[[#This Row],[Total Orders]]/MarketingSpend[[#This Row],[Lead]]</f>
        <v>1.2269938650306749E-2</v>
      </c>
    </row>
    <row r="177" spans="1:11">
      <c r="A177" s="6">
        <v>45536</v>
      </c>
      <c r="B177" t="s">
        <v>147</v>
      </c>
      <c r="C177" t="s">
        <v>194</v>
      </c>
      <c r="D177" s="7">
        <v>1506</v>
      </c>
      <c r="E177" s="8">
        <v>1</v>
      </c>
      <c r="F177" s="8">
        <f t="shared" si="2"/>
        <v>308</v>
      </c>
      <c r="G177" s="8">
        <v>3073</v>
      </c>
      <c r="H177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1000.9173</v>
      </c>
      <c r="I177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177" s="10">
        <f>MarketingSpend[[#This Row],[Actual Revenue]]/MarketingSpend[[#This Row],[Spend]]</f>
        <v>0.6646197211155378</v>
      </c>
      <c r="K177" s="20">
        <f>MarketingSpend[[#This Row],[Total Orders]]/MarketingSpend[[#This Row],[Lead]]</f>
        <v>3.246753246753247E-3</v>
      </c>
    </row>
    <row r="178" spans="1:11">
      <c r="A178" s="6">
        <v>45536</v>
      </c>
      <c r="B178" t="s">
        <v>100</v>
      </c>
      <c r="C178" t="s">
        <v>194</v>
      </c>
      <c r="D178" s="7">
        <v>3029</v>
      </c>
      <c r="E178" s="8">
        <v>5</v>
      </c>
      <c r="F178" s="8">
        <f t="shared" si="2"/>
        <v>508</v>
      </c>
      <c r="G178" s="8">
        <v>5078</v>
      </c>
      <c r="H178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1520.1864</v>
      </c>
      <c r="I178">
        <f>COUNTIFS(Cleaned_data[Order Month],TEXT(MarketingSpend[[#This Row],[Month]],"mmmm"),Cleaned_data[Marketing_Channel],MarketingSpend[[#This Row],[Marketing_Channel]],Cleaned_data[Region],MarketingSpend[[#This Row],[Region]])</f>
        <v>5</v>
      </c>
      <c r="J178" s="10">
        <f>MarketingSpend[[#This Row],[Actual Revenue]]/MarketingSpend[[#This Row],[Spend]]</f>
        <v>0.5018773192472763</v>
      </c>
      <c r="K178" s="20">
        <f>MarketingSpend[[#This Row],[Total Orders]]/MarketingSpend[[#This Row],[Lead]]</f>
        <v>9.8425196850393699E-3</v>
      </c>
    </row>
    <row r="179" spans="1:11">
      <c r="A179" s="6">
        <v>45536</v>
      </c>
      <c r="B179" t="s">
        <v>79</v>
      </c>
      <c r="C179" t="s">
        <v>194</v>
      </c>
      <c r="D179" s="7">
        <v>4814</v>
      </c>
      <c r="E179" s="8">
        <v>3</v>
      </c>
      <c r="F179" s="8">
        <f t="shared" si="2"/>
        <v>774</v>
      </c>
      <c r="G179" s="8">
        <v>7735</v>
      </c>
      <c r="H179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0</v>
      </c>
      <c r="I179">
        <f>COUNTIFS(Cleaned_data[Order Month],TEXT(MarketingSpend[[#This Row],[Month]],"mmmm"),Cleaned_data[Marketing_Channel],MarketingSpend[[#This Row],[Marketing_Channel]],Cleaned_data[Region],MarketingSpend[[#This Row],[Region]])</f>
        <v>0</v>
      </c>
      <c r="J179" s="10">
        <f>MarketingSpend[[#This Row],[Actual Revenue]]/MarketingSpend[[#This Row],[Spend]]</f>
        <v>0</v>
      </c>
      <c r="K179" s="20">
        <f>MarketingSpend[[#This Row],[Total Orders]]/MarketingSpend[[#This Row],[Lead]]</f>
        <v>0</v>
      </c>
    </row>
    <row r="180" spans="1:11">
      <c r="A180" s="6">
        <v>45536</v>
      </c>
      <c r="B180" t="s">
        <v>130</v>
      </c>
      <c r="C180" t="s">
        <v>194</v>
      </c>
      <c r="D180" s="7">
        <v>827</v>
      </c>
      <c r="E180" s="8">
        <v>4</v>
      </c>
      <c r="F180" s="8">
        <f t="shared" si="2"/>
        <v>187</v>
      </c>
      <c r="G180" s="8">
        <v>1864</v>
      </c>
      <c r="H180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0</v>
      </c>
      <c r="I180">
        <f>COUNTIFS(Cleaned_data[Order Month],TEXT(MarketingSpend[[#This Row],[Month]],"mmmm"),Cleaned_data[Marketing_Channel],MarketingSpend[[#This Row],[Marketing_Channel]],Cleaned_data[Region],MarketingSpend[[#This Row],[Region]])</f>
        <v>0</v>
      </c>
      <c r="J180" s="10">
        <f>MarketingSpend[[#This Row],[Actual Revenue]]/MarketingSpend[[#This Row],[Spend]]</f>
        <v>0</v>
      </c>
      <c r="K180" s="20">
        <f>MarketingSpend[[#This Row],[Total Orders]]/MarketingSpend[[#This Row],[Lead]]</f>
        <v>0</v>
      </c>
    </row>
    <row r="181" spans="1:11">
      <c r="A181" s="6">
        <v>45536</v>
      </c>
      <c r="B181" t="s">
        <v>90</v>
      </c>
      <c r="C181" t="s">
        <v>194</v>
      </c>
      <c r="D181" s="7">
        <v>2558</v>
      </c>
      <c r="E181" s="8">
        <v>4</v>
      </c>
      <c r="F181" s="8">
        <f t="shared" si="2"/>
        <v>386</v>
      </c>
      <c r="G181" s="8">
        <v>3855</v>
      </c>
      <c r="H181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9431.3785999999982</v>
      </c>
      <c r="I181">
        <f>COUNTIFS(Cleaned_data[Order Month],TEXT(MarketingSpend[[#This Row],[Month]],"mmmm"),Cleaned_data[Marketing_Channel],MarketingSpend[[#This Row],[Marketing_Channel]],Cleaned_data[Region],MarketingSpend[[#This Row],[Region]])</f>
        <v>5</v>
      </c>
      <c r="J181" s="10">
        <f>MarketingSpend[[#This Row],[Actual Revenue]]/MarketingSpend[[#This Row],[Spend]]</f>
        <v>3.6870127443315082</v>
      </c>
      <c r="K181" s="20">
        <f>MarketingSpend[[#This Row],[Total Orders]]/MarketingSpend[[#This Row],[Lead]]</f>
        <v>1.2953367875647668E-2</v>
      </c>
    </row>
    <row r="182" spans="1:11">
      <c r="A182" s="6">
        <v>45566</v>
      </c>
      <c r="B182" t="s">
        <v>147</v>
      </c>
      <c r="C182" t="s">
        <v>75</v>
      </c>
      <c r="D182" s="7">
        <v>1873</v>
      </c>
      <c r="E182" s="8">
        <v>5</v>
      </c>
      <c r="F182" s="8">
        <f t="shared" si="2"/>
        <v>380</v>
      </c>
      <c r="G182" s="8">
        <v>3793</v>
      </c>
      <c r="H182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1208.2836</v>
      </c>
      <c r="I182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182" s="10">
        <f>MarketingSpend[[#This Row],[Actual Revenue]]/MarketingSpend[[#This Row],[Spend]]</f>
        <v>0.64510603310197545</v>
      </c>
      <c r="K182" s="20">
        <f>MarketingSpend[[#This Row],[Total Orders]]/MarketingSpend[[#This Row],[Lead]]</f>
        <v>5.263157894736842E-3</v>
      </c>
    </row>
    <row r="183" spans="1:11">
      <c r="A183" s="6">
        <v>45566</v>
      </c>
      <c r="B183" t="s">
        <v>100</v>
      </c>
      <c r="C183" t="s">
        <v>75</v>
      </c>
      <c r="D183" s="7">
        <v>3502</v>
      </c>
      <c r="E183" s="8">
        <v>1</v>
      </c>
      <c r="F183" s="8">
        <f t="shared" si="2"/>
        <v>910</v>
      </c>
      <c r="G183" s="8">
        <v>9094</v>
      </c>
      <c r="H183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552.2287</v>
      </c>
      <c r="I183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183" s="10">
        <f>MarketingSpend[[#This Row],[Actual Revenue]]/MarketingSpend[[#This Row],[Spend]]</f>
        <v>0.15768952027412908</v>
      </c>
      <c r="K183" s="20">
        <f>MarketingSpend[[#This Row],[Total Orders]]/MarketingSpend[[#This Row],[Lead]]</f>
        <v>2.1978021978021978E-3</v>
      </c>
    </row>
    <row r="184" spans="1:11">
      <c r="A184" s="6">
        <v>45566</v>
      </c>
      <c r="B184" t="s">
        <v>79</v>
      </c>
      <c r="C184" t="s">
        <v>75</v>
      </c>
      <c r="D184" s="7">
        <v>4824</v>
      </c>
      <c r="E184" s="8">
        <v>2</v>
      </c>
      <c r="F184" s="8">
        <f t="shared" si="2"/>
        <v>968</v>
      </c>
      <c r="G184" s="8">
        <v>9674</v>
      </c>
      <c r="H184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0</v>
      </c>
      <c r="I184">
        <f>COUNTIFS(Cleaned_data[Order Month],TEXT(MarketingSpend[[#This Row],[Month]],"mmmm"),Cleaned_data[Marketing_Channel],MarketingSpend[[#This Row],[Marketing_Channel]],Cleaned_data[Region],MarketingSpend[[#This Row],[Region]])</f>
        <v>0</v>
      </c>
      <c r="J184" s="10">
        <f>MarketingSpend[[#This Row],[Actual Revenue]]/MarketingSpend[[#This Row],[Spend]]</f>
        <v>0</v>
      </c>
      <c r="K184" s="20">
        <f>MarketingSpend[[#This Row],[Total Orders]]/MarketingSpend[[#This Row],[Lead]]</f>
        <v>0</v>
      </c>
    </row>
    <row r="185" spans="1:11">
      <c r="A185" s="6">
        <v>45566</v>
      </c>
      <c r="B185" t="s">
        <v>130</v>
      </c>
      <c r="C185" t="s">
        <v>75</v>
      </c>
      <c r="D185" s="7">
        <v>1045</v>
      </c>
      <c r="E185" s="8">
        <v>2</v>
      </c>
      <c r="F185" s="8">
        <f t="shared" si="2"/>
        <v>275</v>
      </c>
      <c r="G185" s="8">
        <v>2745</v>
      </c>
      <c r="H185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652.67959999999994</v>
      </c>
      <c r="I185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185" s="10">
        <f>MarketingSpend[[#This Row],[Actual Revenue]]/MarketingSpend[[#This Row],[Spend]]</f>
        <v>0.62457377990430618</v>
      </c>
      <c r="K185" s="20">
        <f>MarketingSpend[[#This Row],[Total Orders]]/MarketingSpend[[#This Row],[Lead]]</f>
        <v>1.090909090909091E-2</v>
      </c>
    </row>
    <row r="186" spans="1:11">
      <c r="A186" s="6">
        <v>45566</v>
      </c>
      <c r="B186" t="s">
        <v>90</v>
      </c>
      <c r="C186" t="s">
        <v>75</v>
      </c>
      <c r="D186" s="7">
        <v>2571</v>
      </c>
      <c r="E186" s="8">
        <v>2</v>
      </c>
      <c r="F186" s="8">
        <f t="shared" si="2"/>
        <v>440</v>
      </c>
      <c r="G186" s="8">
        <v>4399</v>
      </c>
      <c r="H186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4394.7895000000008</v>
      </c>
      <c r="I186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186" s="10">
        <f>MarketingSpend[[#This Row],[Actual Revenue]]/MarketingSpend[[#This Row],[Spend]]</f>
        <v>1.7093697005056401</v>
      </c>
      <c r="K186" s="20">
        <f>MarketingSpend[[#This Row],[Total Orders]]/MarketingSpend[[#This Row],[Lead]]</f>
        <v>6.8181818181818179E-3</v>
      </c>
    </row>
    <row r="187" spans="1:11">
      <c r="A187" s="6">
        <v>45566</v>
      </c>
      <c r="B187" t="s">
        <v>147</v>
      </c>
      <c r="C187" t="s">
        <v>126</v>
      </c>
      <c r="D187" s="7">
        <v>2047</v>
      </c>
      <c r="E187" s="8">
        <v>1</v>
      </c>
      <c r="F187" s="8">
        <f t="shared" si="2"/>
        <v>523</v>
      </c>
      <c r="G187" s="8">
        <v>5230</v>
      </c>
      <c r="H187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1315.9754</v>
      </c>
      <c r="I187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187" s="10">
        <f>MarketingSpend[[#This Row],[Actual Revenue]]/MarketingSpend[[#This Row],[Spend]]</f>
        <v>0.64288001954079144</v>
      </c>
      <c r="K187" s="20">
        <f>MarketingSpend[[#This Row],[Total Orders]]/MarketingSpend[[#This Row],[Lead]]</f>
        <v>5.7361376673040155E-3</v>
      </c>
    </row>
    <row r="188" spans="1:11">
      <c r="A188" s="6">
        <v>45566</v>
      </c>
      <c r="B188" t="s">
        <v>100</v>
      </c>
      <c r="C188" t="s">
        <v>126</v>
      </c>
      <c r="D188" s="7">
        <v>4229</v>
      </c>
      <c r="E188" s="8">
        <v>1</v>
      </c>
      <c r="F188" s="8">
        <f t="shared" si="2"/>
        <v>695</v>
      </c>
      <c r="G188" s="8">
        <v>6948</v>
      </c>
      <c r="H188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0</v>
      </c>
      <c r="I188">
        <f>COUNTIFS(Cleaned_data[Order Month],TEXT(MarketingSpend[[#This Row],[Month]],"mmmm"),Cleaned_data[Marketing_Channel],MarketingSpend[[#This Row],[Marketing_Channel]],Cleaned_data[Region],MarketingSpend[[#This Row],[Region]])</f>
        <v>0</v>
      </c>
      <c r="J188" s="10">
        <f>MarketingSpend[[#This Row],[Actual Revenue]]/MarketingSpend[[#This Row],[Spend]]</f>
        <v>0</v>
      </c>
      <c r="K188" s="20">
        <f>MarketingSpend[[#This Row],[Total Orders]]/MarketingSpend[[#This Row],[Lead]]</f>
        <v>0</v>
      </c>
    </row>
    <row r="189" spans="1:11">
      <c r="A189" s="6">
        <v>45566</v>
      </c>
      <c r="B189" t="s">
        <v>79</v>
      </c>
      <c r="C189" t="s">
        <v>126</v>
      </c>
      <c r="D189" s="7">
        <v>6014</v>
      </c>
      <c r="E189" s="8">
        <v>1</v>
      </c>
      <c r="F189" s="8">
        <f t="shared" si="2"/>
        <v>885</v>
      </c>
      <c r="G189" s="8">
        <v>8846</v>
      </c>
      <c r="H189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2854.9637000000002</v>
      </c>
      <c r="I189">
        <f>COUNTIFS(Cleaned_data[Order Month],TEXT(MarketingSpend[[#This Row],[Month]],"mmmm"),Cleaned_data[Marketing_Channel],MarketingSpend[[#This Row],[Marketing_Channel]],Cleaned_data[Region],MarketingSpend[[#This Row],[Region]])</f>
        <v>5</v>
      </c>
      <c r="J189" s="10">
        <f>MarketingSpend[[#This Row],[Actual Revenue]]/MarketingSpend[[#This Row],[Spend]]</f>
        <v>0.47471960425673432</v>
      </c>
      <c r="K189" s="20">
        <f>MarketingSpend[[#This Row],[Total Orders]]/MarketingSpend[[#This Row],[Lead]]</f>
        <v>5.6497175141242938E-3</v>
      </c>
    </row>
    <row r="190" spans="1:11">
      <c r="A190" s="6">
        <v>45566</v>
      </c>
      <c r="B190" t="s">
        <v>130</v>
      </c>
      <c r="C190" t="s">
        <v>126</v>
      </c>
      <c r="D190" s="7">
        <v>1445</v>
      </c>
      <c r="E190" s="8">
        <v>3</v>
      </c>
      <c r="F190" s="8">
        <f t="shared" si="2"/>
        <v>313</v>
      </c>
      <c r="G190" s="8">
        <v>3128</v>
      </c>
      <c r="H190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11971.0524</v>
      </c>
      <c r="I190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190" s="10">
        <f>MarketingSpend[[#This Row],[Actual Revenue]]/MarketingSpend[[#This Row],[Spend]]</f>
        <v>8.2844653287197243</v>
      </c>
      <c r="K190" s="20">
        <f>MarketingSpend[[#This Row],[Total Orders]]/MarketingSpend[[#This Row],[Lead]]</f>
        <v>9.5846645367412137E-3</v>
      </c>
    </row>
    <row r="191" spans="1:11">
      <c r="A191" s="6">
        <v>45566</v>
      </c>
      <c r="B191" t="s">
        <v>90</v>
      </c>
      <c r="C191" t="s">
        <v>126</v>
      </c>
      <c r="D191" s="7">
        <v>3430</v>
      </c>
      <c r="E191" s="8">
        <v>5</v>
      </c>
      <c r="F191" s="8">
        <f t="shared" si="2"/>
        <v>545</v>
      </c>
      <c r="G191" s="8">
        <v>5443</v>
      </c>
      <c r="H191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4061.8985000000002</v>
      </c>
      <c r="I191">
        <f>COUNTIFS(Cleaned_data[Order Month],TEXT(MarketingSpend[[#This Row],[Month]],"mmmm"),Cleaned_data[Marketing_Channel],MarketingSpend[[#This Row],[Marketing_Channel]],Cleaned_data[Region],MarketingSpend[[#This Row],[Region]])</f>
        <v>6</v>
      </c>
      <c r="J191" s="10">
        <f>MarketingSpend[[#This Row],[Actual Revenue]]/MarketingSpend[[#This Row],[Spend]]</f>
        <v>1.1842269679300292</v>
      </c>
      <c r="K191" s="20">
        <f>MarketingSpend[[#This Row],[Total Orders]]/MarketingSpend[[#This Row],[Lead]]</f>
        <v>1.1009174311926606E-2</v>
      </c>
    </row>
    <row r="192" spans="1:11">
      <c r="A192" s="6">
        <v>45566</v>
      </c>
      <c r="B192" t="s">
        <v>147</v>
      </c>
      <c r="C192" t="s">
        <v>138</v>
      </c>
      <c r="D192" s="7">
        <v>1935</v>
      </c>
      <c r="E192" s="8">
        <v>5</v>
      </c>
      <c r="F192" s="8">
        <f t="shared" si="2"/>
        <v>345</v>
      </c>
      <c r="G192" s="8">
        <v>3442</v>
      </c>
      <c r="H192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950.73310000000015</v>
      </c>
      <c r="I192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192" s="10">
        <f>MarketingSpend[[#This Row],[Actual Revenue]]/MarketingSpend[[#This Row],[Spend]]</f>
        <v>0.49133493540051687</v>
      </c>
      <c r="K192" s="20">
        <f>MarketingSpend[[#This Row],[Total Orders]]/MarketingSpend[[#This Row],[Lead]]</f>
        <v>5.7971014492753624E-3</v>
      </c>
    </row>
    <row r="193" spans="1:11">
      <c r="A193" s="6">
        <v>45566</v>
      </c>
      <c r="B193" t="s">
        <v>100</v>
      </c>
      <c r="C193" t="s">
        <v>138</v>
      </c>
      <c r="D193" s="7">
        <v>2637</v>
      </c>
      <c r="E193" s="8">
        <v>5</v>
      </c>
      <c r="F193" s="8">
        <f t="shared" si="2"/>
        <v>738</v>
      </c>
      <c r="G193" s="8">
        <v>7377</v>
      </c>
      <c r="H193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540.88819999999998</v>
      </c>
      <c r="I193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193" s="10">
        <f>MarketingSpend[[#This Row],[Actual Revenue]]/MarketingSpend[[#This Row],[Spend]]</f>
        <v>0.20511497914296548</v>
      </c>
      <c r="K193" s="20">
        <f>MarketingSpend[[#This Row],[Total Orders]]/MarketingSpend[[#This Row],[Lead]]</f>
        <v>2.7100271002710027E-3</v>
      </c>
    </row>
    <row r="194" spans="1:11">
      <c r="A194" s="6">
        <v>45566</v>
      </c>
      <c r="B194" t="s">
        <v>79</v>
      </c>
      <c r="C194" t="s">
        <v>138</v>
      </c>
      <c r="D194" s="7">
        <v>3871</v>
      </c>
      <c r="E194" s="8">
        <v>1</v>
      </c>
      <c r="F194" s="8">
        <f t="shared" ref="F194:F257" si="3">ROUNDUP(G194/10,0)</f>
        <v>1088</v>
      </c>
      <c r="G194" s="8">
        <v>10878</v>
      </c>
      <c r="H194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661.47169999999994</v>
      </c>
      <c r="I194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194" s="10">
        <f>MarketingSpend[[#This Row],[Actual Revenue]]/MarketingSpend[[#This Row],[Spend]]</f>
        <v>0.17087876517695685</v>
      </c>
      <c r="K194" s="20">
        <f>MarketingSpend[[#This Row],[Total Orders]]/MarketingSpend[[#This Row],[Lead]]</f>
        <v>1.838235294117647E-3</v>
      </c>
    </row>
    <row r="195" spans="1:11">
      <c r="A195" s="6">
        <v>45566</v>
      </c>
      <c r="B195" t="s">
        <v>130</v>
      </c>
      <c r="C195" t="s">
        <v>138</v>
      </c>
      <c r="D195" s="7">
        <v>1152</v>
      </c>
      <c r="E195" s="8">
        <v>5</v>
      </c>
      <c r="F195" s="8">
        <f t="shared" si="3"/>
        <v>270</v>
      </c>
      <c r="G195" s="8">
        <v>2691</v>
      </c>
      <c r="H195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1207.3575999999998</v>
      </c>
      <c r="I195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195" s="10">
        <f>MarketingSpend[[#This Row],[Actual Revenue]]/MarketingSpend[[#This Row],[Spend]]</f>
        <v>1.0480534722222221</v>
      </c>
      <c r="K195" s="20">
        <f>MarketingSpend[[#This Row],[Total Orders]]/MarketingSpend[[#This Row],[Lead]]</f>
        <v>1.1111111111111112E-2</v>
      </c>
    </row>
    <row r="196" spans="1:11">
      <c r="A196" s="6">
        <v>45566</v>
      </c>
      <c r="B196" t="s">
        <v>90</v>
      </c>
      <c r="C196" t="s">
        <v>138</v>
      </c>
      <c r="D196" s="7">
        <v>2329</v>
      </c>
      <c r="E196" s="8">
        <v>3</v>
      </c>
      <c r="F196" s="8">
        <f t="shared" si="3"/>
        <v>466</v>
      </c>
      <c r="G196" s="8">
        <v>4651</v>
      </c>
      <c r="H196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2478.9637000000002</v>
      </c>
      <c r="I196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196" s="10">
        <f>MarketingSpend[[#This Row],[Actual Revenue]]/MarketingSpend[[#This Row],[Spend]]</f>
        <v>1.0643897380850151</v>
      </c>
      <c r="K196" s="20">
        <f>MarketingSpend[[#This Row],[Total Orders]]/MarketingSpend[[#This Row],[Lead]]</f>
        <v>8.5836909871244635E-3</v>
      </c>
    </row>
    <row r="197" spans="1:11">
      <c r="A197" s="6">
        <v>45566</v>
      </c>
      <c r="B197" t="s">
        <v>147</v>
      </c>
      <c r="C197" t="s">
        <v>194</v>
      </c>
      <c r="D197" s="7">
        <v>1402</v>
      </c>
      <c r="E197" s="8">
        <v>5</v>
      </c>
      <c r="F197" s="8">
        <f t="shared" si="3"/>
        <v>393</v>
      </c>
      <c r="G197" s="8">
        <v>3928</v>
      </c>
      <c r="H197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5939.2199999999993</v>
      </c>
      <c r="I197">
        <f>COUNTIFS(Cleaned_data[Order Month],TEXT(MarketingSpend[[#This Row],[Month]],"mmmm"),Cleaned_data[Marketing_Channel],MarketingSpend[[#This Row],[Marketing_Channel]],Cleaned_data[Region],MarketingSpend[[#This Row],[Region]])</f>
        <v>7</v>
      </c>
      <c r="J197" s="10">
        <f>MarketingSpend[[#This Row],[Actual Revenue]]/MarketingSpend[[#This Row],[Spend]]</f>
        <v>4.2362482168330953</v>
      </c>
      <c r="K197" s="20">
        <f>MarketingSpend[[#This Row],[Total Orders]]/MarketingSpend[[#This Row],[Lead]]</f>
        <v>1.7811704834605598E-2</v>
      </c>
    </row>
    <row r="198" spans="1:11">
      <c r="A198" s="6">
        <v>45566</v>
      </c>
      <c r="B198" t="s">
        <v>100</v>
      </c>
      <c r="C198" t="s">
        <v>194</v>
      </c>
      <c r="D198" s="7">
        <v>3375</v>
      </c>
      <c r="E198" s="8">
        <v>2</v>
      </c>
      <c r="F198" s="8">
        <f t="shared" si="3"/>
        <v>607</v>
      </c>
      <c r="G198" s="8">
        <v>6062</v>
      </c>
      <c r="H198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1243.1628000000001</v>
      </c>
      <c r="I198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198" s="10">
        <f>MarketingSpend[[#This Row],[Actual Revenue]]/MarketingSpend[[#This Row],[Spend]]</f>
        <v>0.36834453333333333</v>
      </c>
      <c r="K198" s="20">
        <f>MarketingSpend[[#This Row],[Total Orders]]/MarketingSpend[[#This Row],[Lead]]</f>
        <v>1.6474464579901153E-3</v>
      </c>
    </row>
    <row r="199" spans="1:11">
      <c r="A199" s="6">
        <v>45566</v>
      </c>
      <c r="B199" t="s">
        <v>79</v>
      </c>
      <c r="C199" t="s">
        <v>194</v>
      </c>
      <c r="D199" s="7">
        <v>4800</v>
      </c>
      <c r="E199" s="8">
        <v>3</v>
      </c>
      <c r="F199" s="8">
        <f t="shared" si="3"/>
        <v>935</v>
      </c>
      <c r="G199" s="8">
        <v>9348</v>
      </c>
      <c r="H199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5835.7957000000006</v>
      </c>
      <c r="I199">
        <f>COUNTIFS(Cleaned_data[Order Month],TEXT(MarketingSpend[[#This Row],[Month]],"mmmm"),Cleaned_data[Marketing_Channel],MarketingSpend[[#This Row],[Marketing_Channel]],Cleaned_data[Region],MarketingSpend[[#This Row],[Region]])</f>
        <v>5</v>
      </c>
      <c r="J199" s="10">
        <f>MarketingSpend[[#This Row],[Actual Revenue]]/MarketingSpend[[#This Row],[Spend]]</f>
        <v>1.2157907708333335</v>
      </c>
      <c r="K199" s="20">
        <f>MarketingSpend[[#This Row],[Total Orders]]/MarketingSpend[[#This Row],[Lead]]</f>
        <v>5.3475935828877002E-3</v>
      </c>
    </row>
    <row r="200" spans="1:11">
      <c r="A200" s="6">
        <v>45566</v>
      </c>
      <c r="B200" t="s">
        <v>130</v>
      </c>
      <c r="C200" t="s">
        <v>194</v>
      </c>
      <c r="D200" s="7">
        <v>1117</v>
      </c>
      <c r="E200" s="8">
        <v>4</v>
      </c>
      <c r="F200" s="8">
        <f t="shared" si="3"/>
        <v>263</v>
      </c>
      <c r="G200" s="8">
        <v>2628</v>
      </c>
      <c r="H200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980.74789999999985</v>
      </c>
      <c r="I200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200" s="10">
        <f>MarketingSpend[[#This Row],[Actual Revenue]]/MarketingSpend[[#This Row],[Spend]]</f>
        <v>0.87801960608773488</v>
      </c>
      <c r="K200" s="20">
        <f>MarketingSpend[[#This Row],[Total Orders]]/MarketingSpend[[#This Row],[Lead]]</f>
        <v>7.6045627376425855E-3</v>
      </c>
    </row>
    <row r="201" spans="1:11">
      <c r="A201" s="6">
        <v>45566</v>
      </c>
      <c r="B201" t="s">
        <v>90</v>
      </c>
      <c r="C201" t="s">
        <v>194</v>
      </c>
      <c r="D201" s="7">
        <v>2505</v>
      </c>
      <c r="E201" s="8">
        <v>5</v>
      </c>
      <c r="F201" s="8">
        <f t="shared" si="3"/>
        <v>491</v>
      </c>
      <c r="G201" s="8">
        <v>4902</v>
      </c>
      <c r="H201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6366.0365999999995</v>
      </c>
      <c r="I201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201" s="10">
        <f>MarketingSpend[[#This Row],[Actual Revenue]]/MarketingSpend[[#This Row],[Spend]]</f>
        <v>2.5413319760479038</v>
      </c>
      <c r="K201" s="20">
        <f>MarketingSpend[[#This Row],[Total Orders]]/MarketingSpend[[#This Row],[Lead]]</f>
        <v>6.1099796334012219E-3</v>
      </c>
    </row>
    <row r="202" spans="1:11">
      <c r="A202" s="6">
        <v>45597</v>
      </c>
      <c r="B202" t="s">
        <v>147</v>
      </c>
      <c r="C202" t="s">
        <v>75</v>
      </c>
      <c r="D202" s="7">
        <v>2156</v>
      </c>
      <c r="E202" s="8">
        <v>2</v>
      </c>
      <c r="F202" s="8">
        <f t="shared" si="3"/>
        <v>549</v>
      </c>
      <c r="G202" s="8">
        <v>5486</v>
      </c>
      <c r="H202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1692.8458000000001</v>
      </c>
      <c r="I202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202" s="10">
        <f>MarketingSpend[[#This Row],[Actual Revenue]]/MarketingSpend[[#This Row],[Spend]]</f>
        <v>0.78517894248608533</v>
      </c>
      <c r="K202" s="20">
        <f>MarketingSpend[[#This Row],[Total Orders]]/MarketingSpend[[#This Row],[Lead]]</f>
        <v>3.6429872495446266E-3</v>
      </c>
    </row>
    <row r="203" spans="1:11">
      <c r="A203" s="6">
        <v>45597</v>
      </c>
      <c r="B203" t="s">
        <v>100</v>
      </c>
      <c r="C203" t="s">
        <v>75</v>
      </c>
      <c r="D203" s="7">
        <v>3861</v>
      </c>
      <c r="E203" s="8">
        <v>1</v>
      </c>
      <c r="F203" s="8">
        <f t="shared" si="3"/>
        <v>857</v>
      </c>
      <c r="G203" s="8">
        <v>8568</v>
      </c>
      <c r="H203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510.5727</v>
      </c>
      <c r="I203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203" s="10">
        <f>MarketingSpend[[#This Row],[Actual Revenue]]/MarketingSpend[[#This Row],[Spend]]</f>
        <v>0.13223846153846153</v>
      </c>
      <c r="K203" s="20">
        <f>MarketingSpend[[#This Row],[Total Orders]]/MarketingSpend[[#This Row],[Lead]]</f>
        <v>1.1668611435239206E-3</v>
      </c>
    </row>
    <row r="204" spans="1:11">
      <c r="A204" s="6">
        <v>45597</v>
      </c>
      <c r="B204" t="s">
        <v>79</v>
      </c>
      <c r="C204" t="s">
        <v>75</v>
      </c>
      <c r="D204" s="7">
        <v>5885</v>
      </c>
      <c r="E204" s="8">
        <v>3</v>
      </c>
      <c r="F204" s="8">
        <f t="shared" si="3"/>
        <v>1130</v>
      </c>
      <c r="G204" s="8">
        <v>11298</v>
      </c>
      <c r="H204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624.98810000000003</v>
      </c>
      <c r="I204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204" s="10">
        <f>MarketingSpend[[#This Row],[Actual Revenue]]/MarketingSpend[[#This Row],[Spend]]</f>
        <v>0.10620018691588785</v>
      </c>
      <c r="K204" s="20">
        <f>MarketingSpend[[#This Row],[Total Orders]]/MarketingSpend[[#This Row],[Lead]]</f>
        <v>1.7699115044247787E-3</v>
      </c>
    </row>
    <row r="205" spans="1:11">
      <c r="A205" s="6">
        <v>45597</v>
      </c>
      <c r="B205" t="s">
        <v>130</v>
      </c>
      <c r="C205" t="s">
        <v>75</v>
      </c>
      <c r="D205" s="7">
        <v>1059</v>
      </c>
      <c r="E205" s="8">
        <v>5</v>
      </c>
      <c r="F205" s="8">
        <f t="shared" si="3"/>
        <v>315</v>
      </c>
      <c r="G205" s="8">
        <v>3144</v>
      </c>
      <c r="H205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2087.4714999999997</v>
      </c>
      <c r="I205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205" s="10">
        <f>MarketingSpend[[#This Row],[Actual Revenue]]/MarketingSpend[[#This Row],[Spend]]</f>
        <v>1.971172332389046</v>
      </c>
      <c r="K205" s="20">
        <f>MarketingSpend[[#This Row],[Total Orders]]/MarketingSpend[[#This Row],[Lead]]</f>
        <v>1.2698412698412698E-2</v>
      </c>
    </row>
    <row r="206" spans="1:11">
      <c r="A206" s="6">
        <v>45597</v>
      </c>
      <c r="B206" t="s">
        <v>90</v>
      </c>
      <c r="C206" t="s">
        <v>75</v>
      </c>
      <c r="D206" s="7">
        <v>2352</v>
      </c>
      <c r="E206" s="8">
        <v>2</v>
      </c>
      <c r="F206" s="8">
        <f t="shared" si="3"/>
        <v>694</v>
      </c>
      <c r="G206" s="8">
        <v>6937</v>
      </c>
      <c r="H206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361.18759999999997</v>
      </c>
      <c r="I206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206" s="10">
        <f>MarketingSpend[[#This Row],[Actual Revenue]]/MarketingSpend[[#This Row],[Spend]]</f>
        <v>0.15356615646258504</v>
      </c>
      <c r="K206" s="20">
        <f>MarketingSpend[[#This Row],[Total Orders]]/MarketingSpend[[#This Row],[Lead]]</f>
        <v>2.881844380403458E-3</v>
      </c>
    </row>
    <row r="207" spans="1:11">
      <c r="A207" s="6">
        <v>45597</v>
      </c>
      <c r="B207" t="s">
        <v>147</v>
      </c>
      <c r="C207" t="s">
        <v>126</v>
      </c>
      <c r="D207" s="7">
        <v>1923</v>
      </c>
      <c r="E207" s="8">
        <v>5</v>
      </c>
      <c r="F207" s="8">
        <f t="shared" si="3"/>
        <v>429</v>
      </c>
      <c r="G207" s="8">
        <v>4281</v>
      </c>
      <c r="H207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0</v>
      </c>
      <c r="I207">
        <f>COUNTIFS(Cleaned_data[Order Month],TEXT(MarketingSpend[[#This Row],[Month]],"mmmm"),Cleaned_data[Marketing_Channel],MarketingSpend[[#This Row],[Marketing_Channel]],Cleaned_data[Region],MarketingSpend[[#This Row],[Region]])</f>
        <v>0</v>
      </c>
      <c r="J207" s="10">
        <f>MarketingSpend[[#This Row],[Actual Revenue]]/MarketingSpend[[#This Row],[Spend]]</f>
        <v>0</v>
      </c>
      <c r="K207" s="20">
        <f>MarketingSpend[[#This Row],[Total Orders]]/MarketingSpend[[#This Row],[Lead]]</f>
        <v>0</v>
      </c>
    </row>
    <row r="208" spans="1:11">
      <c r="A208" s="6">
        <v>45597</v>
      </c>
      <c r="B208" t="s">
        <v>100</v>
      </c>
      <c r="C208" t="s">
        <v>126</v>
      </c>
      <c r="D208" s="7">
        <v>3526</v>
      </c>
      <c r="E208" s="8">
        <v>4</v>
      </c>
      <c r="F208" s="8">
        <f t="shared" si="3"/>
        <v>601</v>
      </c>
      <c r="G208" s="8">
        <v>6006</v>
      </c>
      <c r="H208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176.93089999999998</v>
      </c>
      <c r="I208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208" s="10">
        <f>MarketingSpend[[#This Row],[Actual Revenue]]/MarketingSpend[[#This Row],[Spend]]</f>
        <v>5.0178927963698237E-2</v>
      </c>
      <c r="K208" s="20">
        <f>MarketingSpend[[#This Row],[Total Orders]]/MarketingSpend[[#This Row],[Lead]]</f>
        <v>1.6638935108153079E-3</v>
      </c>
    </row>
    <row r="209" spans="1:11">
      <c r="A209" s="6">
        <v>45597</v>
      </c>
      <c r="B209" t="s">
        <v>79</v>
      </c>
      <c r="C209" t="s">
        <v>126</v>
      </c>
      <c r="D209" s="7">
        <v>5167</v>
      </c>
      <c r="E209" s="8">
        <v>3</v>
      </c>
      <c r="F209" s="8">
        <f t="shared" si="3"/>
        <v>1339</v>
      </c>
      <c r="G209" s="8">
        <v>13390</v>
      </c>
      <c r="H209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2596.2885000000001</v>
      </c>
      <c r="I209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209" s="10">
        <f>MarketingSpend[[#This Row],[Actual Revenue]]/MarketingSpend[[#This Row],[Spend]]</f>
        <v>0.50247503386878267</v>
      </c>
      <c r="K209" s="20">
        <f>MarketingSpend[[#This Row],[Total Orders]]/MarketingSpend[[#This Row],[Lead]]</f>
        <v>7.468259895444362E-4</v>
      </c>
    </row>
    <row r="210" spans="1:11">
      <c r="A210" s="6">
        <v>45597</v>
      </c>
      <c r="B210" t="s">
        <v>130</v>
      </c>
      <c r="C210" t="s">
        <v>126</v>
      </c>
      <c r="D210" s="7">
        <v>1117</v>
      </c>
      <c r="E210" s="8">
        <v>5</v>
      </c>
      <c r="F210" s="8">
        <f t="shared" si="3"/>
        <v>261</v>
      </c>
      <c r="G210" s="8">
        <v>2609</v>
      </c>
      <c r="H210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2062.8591000000001</v>
      </c>
      <c r="I210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210" s="10">
        <f>MarketingSpend[[#This Row],[Actual Revenue]]/MarketingSpend[[#This Row],[Spend]]</f>
        <v>1.8467852282900628</v>
      </c>
      <c r="K210" s="20">
        <f>MarketingSpend[[#This Row],[Total Orders]]/MarketingSpend[[#This Row],[Lead]]</f>
        <v>1.1494252873563218E-2</v>
      </c>
    </row>
    <row r="211" spans="1:11">
      <c r="A211" s="6">
        <v>45597</v>
      </c>
      <c r="B211" t="s">
        <v>90</v>
      </c>
      <c r="C211" t="s">
        <v>126</v>
      </c>
      <c r="D211" s="7">
        <v>2860</v>
      </c>
      <c r="E211" s="8">
        <v>3</v>
      </c>
      <c r="F211" s="8">
        <f t="shared" si="3"/>
        <v>479</v>
      </c>
      <c r="G211" s="8">
        <v>4784</v>
      </c>
      <c r="H211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1078.3788</v>
      </c>
      <c r="I211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211" s="10">
        <f>MarketingSpend[[#This Row],[Actual Revenue]]/MarketingSpend[[#This Row],[Spend]]</f>
        <v>0.37705552447552448</v>
      </c>
      <c r="K211" s="20">
        <f>MarketingSpend[[#This Row],[Total Orders]]/MarketingSpend[[#This Row],[Lead]]</f>
        <v>4.1753653444676405E-3</v>
      </c>
    </row>
    <row r="212" spans="1:11">
      <c r="A212" s="6">
        <v>45597</v>
      </c>
      <c r="B212" t="s">
        <v>147</v>
      </c>
      <c r="C212" t="s">
        <v>138</v>
      </c>
      <c r="D212" s="7">
        <v>1641</v>
      </c>
      <c r="E212" s="8">
        <v>1</v>
      </c>
      <c r="F212" s="8">
        <f t="shared" si="3"/>
        <v>468</v>
      </c>
      <c r="G212" s="8">
        <v>4675</v>
      </c>
      <c r="H212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3937.7734</v>
      </c>
      <c r="I212">
        <f>COUNTIFS(Cleaned_data[Order Month],TEXT(MarketingSpend[[#This Row],[Month]],"mmmm"),Cleaned_data[Marketing_Channel],MarketingSpend[[#This Row],[Marketing_Channel]],Cleaned_data[Region],MarketingSpend[[#This Row],[Region]])</f>
        <v>7</v>
      </c>
      <c r="J212" s="10">
        <f>MarketingSpend[[#This Row],[Actual Revenue]]/MarketingSpend[[#This Row],[Spend]]</f>
        <v>2.3996181596587447</v>
      </c>
      <c r="K212" s="20">
        <f>MarketingSpend[[#This Row],[Total Orders]]/MarketingSpend[[#This Row],[Lead]]</f>
        <v>1.4957264957264958E-2</v>
      </c>
    </row>
    <row r="213" spans="1:11">
      <c r="A213" s="6">
        <v>45597</v>
      </c>
      <c r="B213" t="s">
        <v>100</v>
      </c>
      <c r="C213" t="s">
        <v>138</v>
      </c>
      <c r="D213" s="7">
        <v>2964</v>
      </c>
      <c r="E213" s="8">
        <v>3</v>
      </c>
      <c r="F213" s="8">
        <f t="shared" si="3"/>
        <v>600</v>
      </c>
      <c r="G213" s="8">
        <v>5997</v>
      </c>
      <c r="H213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1721.1442</v>
      </c>
      <c r="I213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213" s="10">
        <f>MarketingSpend[[#This Row],[Actual Revenue]]/MarketingSpend[[#This Row],[Spend]]</f>
        <v>0.58068292847503378</v>
      </c>
      <c r="K213" s="20">
        <f>MarketingSpend[[#This Row],[Total Orders]]/MarketingSpend[[#This Row],[Lead]]</f>
        <v>5.0000000000000001E-3</v>
      </c>
    </row>
    <row r="214" spans="1:11">
      <c r="A214" s="6">
        <v>45597</v>
      </c>
      <c r="B214" t="s">
        <v>79</v>
      </c>
      <c r="C214" t="s">
        <v>138</v>
      </c>
      <c r="D214" s="7">
        <v>4995</v>
      </c>
      <c r="E214" s="8">
        <v>4</v>
      </c>
      <c r="F214" s="8">
        <f t="shared" si="3"/>
        <v>966</v>
      </c>
      <c r="G214" s="8">
        <v>9655</v>
      </c>
      <c r="H214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1560.8093999999999</v>
      </c>
      <c r="I214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214" s="10">
        <f>MarketingSpend[[#This Row],[Actual Revenue]]/MarketingSpend[[#This Row],[Spend]]</f>
        <v>0.31247435435435433</v>
      </c>
      <c r="K214" s="20">
        <f>MarketingSpend[[#This Row],[Total Orders]]/MarketingSpend[[#This Row],[Lead]]</f>
        <v>2.070393374741201E-3</v>
      </c>
    </row>
    <row r="215" spans="1:11">
      <c r="A215" s="6">
        <v>45597</v>
      </c>
      <c r="B215" t="s">
        <v>130</v>
      </c>
      <c r="C215" t="s">
        <v>138</v>
      </c>
      <c r="D215" s="7">
        <v>888</v>
      </c>
      <c r="E215" s="8">
        <v>4</v>
      </c>
      <c r="F215" s="8">
        <f t="shared" si="3"/>
        <v>220</v>
      </c>
      <c r="G215" s="8">
        <v>2199</v>
      </c>
      <c r="H215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106.62400000000001</v>
      </c>
      <c r="I215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215" s="10">
        <f>MarketingSpend[[#This Row],[Actual Revenue]]/MarketingSpend[[#This Row],[Spend]]</f>
        <v>0.12007207207207209</v>
      </c>
      <c r="K215" s="20">
        <f>MarketingSpend[[#This Row],[Total Orders]]/MarketingSpend[[#This Row],[Lead]]</f>
        <v>4.5454545454545452E-3</v>
      </c>
    </row>
    <row r="216" spans="1:11">
      <c r="A216" s="6">
        <v>45597</v>
      </c>
      <c r="B216" t="s">
        <v>90</v>
      </c>
      <c r="C216" t="s">
        <v>138</v>
      </c>
      <c r="D216" s="7">
        <v>2048</v>
      </c>
      <c r="E216" s="8">
        <v>2</v>
      </c>
      <c r="F216" s="8">
        <f t="shared" si="3"/>
        <v>637</v>
      </c>
      <c r="G216" s="8">
        <v>6370</v>
      </c>
      <c r="H216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0</v>
      </c>
      <c r="I216">
        <f>COUNTIFS(Cleaned_data[Order Month],TEXT(MarketingSpend[[#This Row],[Month]],"mmmm"),Cleaned_data[Marketing_Channel],MarketingSpend[[#This Row],[Marketing_Channel]],Cleaned_data[Region],MarketingSpend[[#This Row],[Region]])</f>
        <v>0</v>
      </c>
      <c r="J216" s="10">
        <f>MarketingSpend[[#This Row],[Actual Revenue]]/MarketingSpend[[#This Row],[Spend]]</f>
        <v>0</v>
      </c>
      <c r="K216" s="20">
        <f>MarketingSpend[[#This Row],[Total Orders]]/MarketingSpend[[#This Row],[Lead]]</f>
        <v>0</v>
      </c>
    </row>
    <row r="217" spans="1:11">
      <c r="A217" s="6">
        <v>45597</v>
      </c>
      <c r="B217" t="s">
        <v>147</v>
      </c>
      <c r="C217" t="s">
        <v>194</v>
      </c>
      <c r="D217" s="7">
        <v>1802</v>
      </c>
      <c r="E217" s="8">
        <v>3</v>
      </c>
      <c r="F217" s="8">
        <f t="shared" si="3"/>
        <v>344</v>
      </c>
      <c r="G217" s="8">
        <v>3434</v>
      </c>
      <c r="H217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192.58359999999999</v>
      </c>
      <c r="I217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217" s="10">
        <f>MarketingSpend[[#This Row],[Actual Revenue]]/MarketingSpend[[#This Row],[Spend]]</f>
        <v>0.10687214206437291</v>
      </c>
      <c r="K217" s="20">
        <f>MarketingSpend[[#This Row],[Total Orders]]/MarketingSpend[[#This Row],[Lead]]</f>
        <v>2.9069767441860465E-3</v>
      </c>
    </row>
    <row r="218" spans="1:11">
      <c r="A218" s="6">
        <v>45597</v>
      </c>
      <c r="B218" t="s">
        <v>100</v>
      </c>
      <c r="C218" t="s">
        <v>194</v>
      </c>
      <c r="D218" s="7">
        <v>2853</v>
      </c>
      <c r="E218" s="8">
        <v>5</v>
      </c>
      <c r="F218" s="8">
        <f t="shared" si="3"/>
        <v>711</v>
      </c>
      <c r="G218" s="8">
        <v>7108</v>
      </c>
      <c r="H218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530.94299999999998</v>
      </c>
      <c r="I218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218" s="10">
        <f>MarketingSpend[[#This Row],[Actual Revenue]]/MarketingSpend[[#This Row],[Spend]]</f>
        <v>0.18609989484752892</v>
      </c>
      <c r="K218" s="20">
        <f>MarketingSpend[[#This Row],[Total Orders]]/MarketingSpend[[#This Row],[Lead]]</f>
        <v>2.8129395218002813E-3</v>
      </c>
    </row>
    <row r="219" spans="1:11">
      <c r="A219" s="6">
        <v>45597</v>
      </c>
      <c r="B219" t="s">
        <v>79</v>
      </c>
      <c r="C219" t="s">
        <v>194</v>
      </c>
      <c r="D219" s="7">
        <v>4050</v>
      </c>
      <c r="E219" s="8">
        <v>2</v>
      </c>
      <c r="F219" s="8">
        <f t="shared" si="3"/>
        <v>974</v>
      </c>
      <c r="G219" s="8">
        <v>9731</v>
      </c>
      <c r="H219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1945.9956999999999</v>
      </c>
      <c r="I219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219" s="10">
        <f>MarketingSpend[[#This Row],[Actual Revenue]]/MarketingSpend[[#This Row],[Spend]]</f>
        <v>0.48049276543209873</v>
      </c>
      <c r="K219" s="20">
        <f>MarketingSpend[[#This Row],[Total Orders]]/MarketingSpend[[#This Row],[Lead]]</f>
        <v>2.0533880903490761E-3</v>
      </c>
    </row>
    <row r="220" spans="1:11">
      <c r="A220" s="6">
        <v>45597</v>
      </c>
      <c r="B220" t="s">
        <v>130</v>
      </c>
      <c r="C220" t="s">
        <v>194</v>
      </c>
      <c r="D220" s="7">
        <v>1113</v>
      </c>
      <c r="E220" s="8">
        <v>3</v>
      </c>
      <c r="F220" s="8">
        <f t="shared" si="3"/>
        <v>222</v>
      </c>
      <c r="G220" s="8">
        <v>2218</v>
      </c>
      <c r="H220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1365.4718</v>
      </c>
      <c r="I220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220" s="10">
        <f>MarketingSpend[[#This Row],[Actual Revenue]]/MarketingSpend[[#This Row],[Spend]]</f>
        <v>1.2268389937106918</v>
      </c>
      <c r="K220" s="20">
        <f>MarketingSpend[[#This Row],[Total Orders]]/MarketingSpend[[#This Row],[Lead]]</f>
        <v>1.3513513513513514E-2</v>
      </c>
    </row>
    <row r="221" spans="1:11">
      <c r="A221" s="6">
        <v>45597</v>
      </c>
      <c r="B221" t="s">
        <v>90</v>
      </c>
      <c r="C221" t="s">
        <v>194</v>
      </c>
      <c r="D221" s="7">
        <v>2417</v>
      </c>
      <c r="E221" s="8">
        <v>3</v>
      </c>
      <c r="F221" s="8">
        <f t="shared" si="3"/>
        <v>439</v>
      </c>
      <c r="G221" s="8">
        <v>4381</v>
      </c>
      <c r="H221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936.60440000000006</v>
      </c>
      <c r="I221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221" s="10">
        <f>MarketingSpend[[#This Row],[Actual Revenue]]/MarketingSpend[[#This Row],[Spend]]</f>
        <v>0.38750699213901535</v>
      </c>
      <c r="K221" s="20">
        <f>MarketingSpend[[#This Row],[Total Orders]]/MarketingSpend[[#This Row],[Lead]]</f>
        <v>6.8337129840546698E-3</v>
      </c>
    </row>
    <row r="222" spans="1:11">
      <c r="A222" s="6">
        <v>45627</v>
      </c>
      <c r="B222" t="s">
        <v>147</v>
      </c>
      <c r="C222" t="s">
        <v>75</v>
      </c>
      <c r="D222" s="7">
        <v>2320</v>
      </c>
      <c r="E222" s="8">
        <v>5</v>
      </c>
      <c r="F222" s="8">
        <f t="shared" si="3"/>
        <v>355</v>
      </c>
      <c r="G222" s="8">
        <v>3549</v>
      </c>
      <c r="H222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1733.3786999999998</v>
      </c>
      <c r="I222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222" s="10">
        <f>MarketingSpend[[#This Row],[Actual Revenue]]/MarketingSpend[[#This Row],[Spend]]</f>
        <v>0.74714599137931026</v>
      </c>
      <c r="K222" s="20">
        <f>MarketingSpend[[#This Row],[Total Orders]]/MarketingSpend[[#This Row],[Lead]]</f>
        <v>5.6338028169014088E-3</v>
      </c>
    </row>
    <row r="223" spans="1:11">
      <c r="A223" s="6">
        <v>45627</v>
      </c>
      <c r="B223" t="s">
        <v>100</v>
      </c>
      <c r="C223" t="s">
        <v>75</v>
      </c>
      <c r="D223" s="7">
        <v>3574</v>
      </c>
      <c r="E223" s="8">
        <v>2</v>
      </c>
      <c r="F223" s="8">
        <f t="shared" si="3"/>
        <v>661</v>
      </c>
      <c r="G223" s="8">
        <v>6604</v>
      </c>
      <c r="H223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5855.8780000000006</v>
      </c>
      <c r="I223">
        <f>COUNTIFS(Cleaned_data[Order Month],TEXT(MarketingSpend[[#This Row],[Month]],"mmmm"),Cleaned_data[Marketing_Channel],MarketingSpend[[#This Row],[Marketing_Channel]],Cleaned_data[Region],MarketingSpend[[#This Row],[Region]])</f>
        <v>5</v>
      </c>
      <c r="J223" s="10">
        <f>MarketingSpend[[#This Row],[Actual Revenue]]/MarketingSpend[[#This Row],[Spend]]</f>
        <v>1.6384661443760493</v>
      </c>
      <c r="K223" s="20">
        <f>MarketingSpend[[#This Row],[Total Orders]]/MarketingSpend[[#This Row],[Lead]]</f>
        <v>7.5642965204236008E-3</v>
      </c>
    </row>
    <row r="224" spans="1:11">
      <c r="A224" s="6">
        <v>45627</v>
      </c>
      <c r="B224" t="s">
        <v>79</v>
      </c>
      <c r="C224" t="s">
        <v>75</v>
      </c>
      <c r="D224" s="7">
        <v>4754</v>
      </c>
      <c r="E224" s="8">
        <v>5</v>
      </c>
      <c r="F224" s="8">
        <f t="shared" si="3"/>
        <v>1250</v>
      </c>
      <c r="G224" s="8">
        <v>12496</v>
      </c>
      <c r="H224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2162.2354</v>
      </c>
      <c r="I224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224" s="10">
        <f>MarketingSpend[[#This Row],[Actual Revenue]]/MarketingSpend[[#This Row],[Spend]]</f>
        <v>0.45482444257467397</v>
      </c>
      <c r="K224" s="20">
        <f>MarketingSpend[[#This Row],[Total Orders]]/MarketingSpend[[#This Row],[Lead]]</f>
        <v>2.3999999999999998E-3</v>
      </c>
    </row>
    <row r="225" spans="1:11">
      <c r="A225" s="6">
        <v>45627</v>
      </c>
      <c r="B225" t="s">
        <v>130</v>
      </c>
      <c r="C225" t="s">
        <v>75</v>
      </c>
      <c r="D225" s="7">
        <v>1321</v>
      </c>
      <c r="E225" s="8">
        <v>1</v>
      </c>
      <c r="F225" s="8">
        <f t="shared" si="3"/>
        <v>235</v>
      </c>
      <c r="G225" s="8">
        <v>2341</v>
      </c>
      <c r="H225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0</v>
      </c>
      <c r="I225">
        <f>COUNTIFS(Cleaned_data[Order Month],TEXT(MarketingSpend[[#This Row],[Month]],"mmmm"),Cleaned_data[Marketing_Channel],MarketingSpend[[#This Row],[Marketing_Channel]],Cleaned_data[Region],MarketingSpend[[#This Row],[Region]])</f>
        <v>0</v>
      </c>
      <c r="J225" s="10">
        <f>MarketingSpend[[#This Row],[Actual Revenue]]/MarketingSpend[[#This Row],[Spend]]</f>
        <v>0</v>
      </c>
      <c r="K225" s="20">
        <f>MarketingSpend[[#This Row],[Total Orders]]/MarketingSpend[[#This Row],[Lead]]</f>
        <v>0</v>
      </c>
    </row>
    <row r="226" spans="1:11">
      <c r="A226" s="6">
        <v>45627</v>
      </c>
      <c r="B226" t="s">
        <v>90</v>
      </c>
      <c r="C226" t="s">
        <v>75</v>
      </c>
      <c r="D226" s="7">
        <v>2571</v>
      </c>
      <c r="E226" s="8">
        <v>4</v>
      </c>
      <c r="F226" s="8">
        <f t="shared" si="3"/>
        <v>614</v>
      </c>
      <c r="G226" s="8">
        <v>6133</v>
      </c>
      <c r="H226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461.78800000000001</v>
      </c>
      <c r="I226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226" s="10">
        <f>MarketingSpend[[#This Row],[Actual Revenue]]/MarketingSpend[[#This Row],[Spend]]</f>
        <v>0.1796141579152081</v>
      </c>
      <c r="K226" s="20">
        <f>MarketingSpend[[#This Row],[Total Orders]]/MarketingSpend[[#This Row],[Lead]]</f>
        <v>6.5146579804560263E-3</v>
      </c>
    </row>
    <row r="227" spans="1:11">
      <c r="A227" s="6">
        <v>45627</v>
      </c>
      <c r="B227" t="s">
        <v>147</v>
      </c>
      <c r="C227" t="s">
        <v>126</v>
      </c>
      <c r="D227" s="7">
        <v>2052</v>
      </c>
      <c r="E227" s="8">
        <v>4</v>
      </c>
      <c r="F227" s="8">
        <f t="shared" si="3"/>
        <v>394</v>
      </c>
      <c r="G227" s="8">
        <v>3938</v>
      </c>
      <c r="H227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2985.5232999999994</v>
      </c>
      <c r="I227">
        <f>COUNTIFS(Cleaned_data[Order Month],TEXT(MarketingSpend[[#This Row],[Month]],"mmmm"),Cleaned_data[Marketing_Channel],MarketingSpend[[#This Row],[Marketing_Channel]],Cleaned_data[Region],MarketingSpend[[#This Row],[Region]])</f>
        <v>6</v>
      </c>
      <c r="J227" s="10">
        <f>MarketingSpend[[#This Row],[Actual Revenue]]/MarketingSpend[[#This Row],[Spend]]</f>
        <v>1.4549333820662764</v>
      </c>
      <c r="K227" s="20">
        <f>MarketingSpend[[#This Row],[Total Orders]]/MarketingSpend[[#This Row],[Lead]]</f>
        <v>1.5228426395939087E-2</v>
      </c>
    </row>
    <row r="228" spans="1:11">
      <c r="A228" s="6">
        <v>45627</v>
      </c>
      <c r="B228" t="s">
        <v>100</v>
      </c>
      <c r="C228" t="s">
        <v>126</v>
      </c>
      <c r="D228" s="7">
        <v>3588</v>
      </c>
      <c r="E228" s="8">
        <v>5</v>
      </c>
      <c r="F228" s="8">
        <f t="shared" si="3"/>
        <v>845</v>
      </c>
      <c r="G228" s="8">
        <v>8447</v>
      </c>
      <c r="H228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1283.1402</v>
      </c>
      <c r="I228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228" s="10">
        <f>MarketingSpend[[#This Row],[Actual Revenue]]/MarketingSpend[[#This Row],[Spend]]</f>
        <v>0.35761989966555185</v>
      </c>
      <c r="K228" s="20">
        <f>MarketingSpend[[#This Row],[Total Orders]]/MarketingSpend[[#This Row],[Lead]]</f>
        <v>2.3668639053254438E-3</v>
      </c>
    </row>
    <row r="229" spans="1:11">
      <c r="A229" s="6">
        <v>45627</v>
      </c>
      <c r="B229" t="s">
        <v>79</v>
      </c>
      <c r="C229" t="s">
        <v>126</v>
      </c>
      <c r="D229" s="7">
        <v>4725</v>
      </c>
      <c r="E229" s="8">
        <v>2</v>
      </c>
      <c r="F229" s="8">
        <f t="shared" si="3"/>
        <v>1216</v>
      </c>
      <c r="G229" s="8">
        <v>12153</v>
      </c>
      <c r="H229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2467.2460000000001</v>
      </c>
      <c r="I229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229" s="10">
        <f>MarketingSpend[[#This Row],[Actual Revenue]]/MarketingSpend[[#This Row],[Spend]]</f>
        <v>0.52216846560846564</v>
      </c>
      <c r="K229" s="20">
        <f>MarketingSpend[[#This Row],[Total Orders]]/MarketingSpend[[#This Row],[Lead]]</f>
        <v>3.2894736842105261E-3</v>
      </c>
    </row>
    <row r="230" spans="1:11">
      <c r="A230" s="6">
        <v>45627</v>
      </c>
      <c r="B230" t="s">
        <v>130</v>
      </c>
      <c r="C230" t="s">
        <v>126</v>
      </c>
      <c r="D230" s="7">
        <v>1102</v>
      </c>
      <c r="E230" s="8">
        <v>1</v>
      </c>
      <c r="F230" s="8">
        <f t="shared" si="3"/>
        <v>308</v>
      </c>
      <c r="G230" s="8">
        <v>3077</v>
      </c>
      <c r="H230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323.72339999999997</v>
      </c>
      <c r="I230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230" s="10">
        <f>MarketingSpend[[#This Row],[Actual Revenue]]/MarketingSpend[[#This Row],[Spend]]</f>
        <v>0.29375989110707801</v>
      </c>
      <c r="K230" s="20">
        <f>MarketingSpend[[#This Row],[Total Orders]]/MarketingSpend[[#This Row],[Lead]]</f>
        <v>6.4935064935064939E-3</v>
      </c>
    </row>
    <row r="231" spans="1:11">
      <c r="A231" s="6">
        <v>45627</v>
      </c>
      <c r="B231" t="s">
        <v>90</v>
      </c>
      <c r="C231" t="s">
        <v>126</v>
      </c>
      <c r="D231" s="7">
        <v>2806</v>
      </c>
      <c r="E231" s="8">
        <v>1</v>
      </c>
      <c r="F231" s="8">
        <f t="shared" si="3"/>
        <v>746</v>
      </c>
      <c r="G231" s="8">
        <v>7460</v>
      </c>
      <c r="H231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1612.4452000000001</v>
      </c>
      <c r="I231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231" s="10">
        <f>MarketingSpend[[#This Row],[Actual Revenue]]/MarketingSpend[[#This Row],[Spend]]</f>
        <v>0.57464191019244482</v>
      </c>
      <c r="K231" s="20">
        <f>MarketingSpend[[#This Row],[Total Orders]]/MarketingSpend[[#This Row],[Lead]]</f>
        <v>4.0214477211796247E-3</v>
      </c>
    </row>
    <row r="232" spans="1:11">
      <c r="A232" s="6">
        <v>45627</v>
      </c>
      <c r="B232" t="s">
        <v>147</v>
      </c>
      <c r="C232" t="s">
        <v>138</v>
      </c>
      <c r="D232" s="7">
        <v>1832</v>
      </c>
      <c r="E232" s="8">
        <v>1</v>
      </c>
      <c r="F232" s="8">
        <f t="shared" si="3"/>
        <v>386</v>
      </c>
      <c r="G232" s="8">
        <v>3859</v>
      </c>
      <c r="H232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0</v>
      </c>
      <c r="I232">
        <f>COUNTIFS(Cleaned_data[Order Month],TEXT(MarketingSpend[[#This Row],[Month]],"mmmm"),Cleaned_data[Marketing_Channel],MarketingSpend[[#This Row],[Marketing_Channel]],Cleaned_data[Region],MarketingSpend[[#This Row],[Region]])</f>
        <v>0</v>
      </c>
      <c r="J232" s="10">
        <f>MarketingSpend[[#This Row],[Actual Revenue]]/MarketingSpend[[#This Row],[Spend]]</f>
        <v>0</v>
      </c>
      <c r="K232" s="20">
        <f>MarketingSpend[[#This Row],[Total Orders]]/MarketingSpend[[#This Row],[Lead]]</f>
        <v>0</v>
      </c>
    </row>
    <row r="233" spans="1:11">
      <c r="A233" s="6">
        <v>45627</v>
      </c>
      <c r="B233" t="s">
        <v>100</v>
      </c>
      <c r="C233" t="s">
        <v>138</v>
      </c>
      <c r="D233" s="7">
        <v>2583</v>
      </c>
      <c r="E233" s="8">
        <v>2</v>
      </c>
      <c r="F233" s="8">
        <f t="shared" si="3"/>
        <v>862</v>
      </c>
      <c r="G233" s="8">
        <v>8611</v>
      </c>
      <c r="H233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2348.4780000000001</v>
      </c>
      <c r="I233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233" s="10">
        <f>MarketingSpend[[#This Row],[Actual Revenue]]/MarketingSpend[[#This Row],[Spend]]</f>
        <v>0.909205574912892</v>
      </c>
      <c r="K233" s="20">
        <f>MarketingSpend[[#This Row],[Total Orders]]/MarketingSpend[[#This Row],[Lead]]</f>
        <v>2.3201856148491878E-3</v>
      </c>
    </row>
    <row r="234" spans="1:11">
      <c r="A234" s="6">
        <v>45627</v>
      </c>
      <c r="B234" t="s">
        <v>79</v>
      </c>
      <c r="C234" t="s">
        <v>138</v>
      </c>
      <c r="D234" s="7">
        <v>4784</v>
      </c>
      <c r="E234" s="8">
        <v>5</v>
      </c>
      <c r="F234" s="8">
        <f t="shared" si="3"/>
        <v>1158</v>
      </c>
      <c r="G234" s="8">
        <v>11574</v>
      </c>
      <c r="H234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1126.0126</v>
      </c>
      <c r="I234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234" s="10">
        <f>MarketingSpend[[#This Row],[Actual Revenue]]/MarketingSpend[[#This Row],[Spend]]</f>
        <v>0.23537052675585285</v>
      </c>
      <c r="K234" s="20">
        <f>MarketingSpend[[#This Row],[Total Orders]]/MarketingSpend[[#This Row],[Lead]]</f>
        <v>8.6355785837651119E-4</v>
      </c>
    </row>
    <row r="235" spans="1:11">
      <c r="A235" s="6">
        <v>45627</v>
      </c>
      <c r="B235" t="s">
        <v>130</v>
      </c>
      <c r="C235" t="s">
        <v>138</v>
      </c>
      <c r="D235" s="7">
        <v>953</v>
      </c>
      <c r="E235" s="8">
        <v>1</v>
      </c>
      <c r="F235" s="8">
        <f t="shared" si="3"/>
        <v>269</v>
      </c>
      <c r="G235" s="8">
        <v>2681</v>
      </c>
      <c r="H235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522.53779999999995</v>
      </c>
      <c r="I235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235" s="10">
        <f>MarketingSpend[[#This Row],[Actual Revenue]]/MarketingSpend[[#This Row],[Spend]]</f>
        <v>0.54830828961175226</v>
      </c>
      <c r="K235" s="20">
        <f>MarketingSpend[[#This Row],[Total Orders]]/MarketingSpend[[#This Row],[Lead]]</f>
        <v>3.7174721189591076E-3</v>
      </c>
    </row>
    <row r="236" spans="1:11">
      <c r="A236" s="6">
        <v>45627</v>
      </c>
      <c r="B236" t="s">
        <v>90</v>
      </c>
      <c r="C236" t="s">
        <v>138</v>
      </c>
      <c r="D236" s="7">
        <v>2386</v>
      </c>
      <c r="E236" s="8">
        <v>3</v>
      </c>
      <c r="F236" s="8">
        <f t="shared" si="3"/>
        <v>604</v>
      </c>
      <c r="G236" s="8">
        <v>6036</v>
      </c>
      <c r="H236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134.05350000000001</v>
      </c>
      <c r="I236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236" s="10">
        <f>MarketingSpend[[#This Row],[Actual Revenue]]/MarketingSpend[[#This Row],[Spend]]</f>
        <v>5.6183361274098918E-2</v>
      </c>
      <c r="K236" s="20">
        <f>MarketingSpend[[#This Row],[Total Orders]]/MarketingSpend[[#This Row],[Lead]]</f>
        <v>1.6556291390728477E-3</v>
      </c>
    </row>
    <row r="237" spans="1:11">
      <c r="A237" s="6">
        <v>45627</v>
      </c>
      <c r="B237" t="s">
        <v>147</v>
      </c>
      <c r="C237" t="s">
        <v>194</v>
      </c>
      <c r="D237" s="7">
        <v>1478</v>
      </c>
      <c r="E237" s="8">
        <v>1</v>
      </c>
      <c r="F237" s="8">
        <f t="shared" si="3"/>
        <v>365</v>
      </c>
      <c r="G237" s="8">
        <v>3649</v>
      </c>
      <c r="H237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531.09</v>
      </c>
      <c r="I237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237" s="10">
        <f>MarketingSpend[[#This Row],[Actual Revenue]]/MarketingSpend[[#This Row],[Spend]]</f>
        <v>0.3593301759133965</v>
      </c>
      <c r="K237" s="20">
        <f>MarketingSpend[[#This Row],[Total Orders]]/MarketingSpend[[#This Row],[Lead]]</f>
        <v>2.7397260273972603E-3</v>
      </c>
    </row>
    <row r="238" spans="1:11">
      <c r="A238" s="6">
        <v>45627</v>
      </c>
      <c r="B238" t="s">
        <v>100</v>
      </c>
      <c r="C238" t="s">
        <v>194</v>
      </c>
      <c r="D238" s="7">
        <v>2513</v>
      </c>
      <c r="E238" s="8">
        <v>2</v>
      </c>
      <c r="F238" s="8">
        <f t="shared" si="3"/>
        <v>574</v>
      </c>
      <c r="G238" s="8">
        <v>5733</v>
      </c>
      <c r="H238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322.51310000000001</v>
      </c>
      <c r="I238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238" s="10">
        <f>MarketingSpend[[#This Row],[Actual Revenue]]/MarketingSpend[[#This Row],[Spend]]</f>
        <v>0.12833788300835655</v>
      </c>
      <c r="K238" s="20">
        <f>MarketingSpend[[#This Row],[Total Orders]]/MarketingSpend[[#This Row],[Lead]]</f>
        <v>3.4843205574912892E-3</v>
      </c>
    </row>
    <row r="239" spans="1:11">
      <c r="A239" s="6">
        <v>45627</v>
      </c>
      <c r="B239" t="s">
        <v>79</v>
      </c>
      <c r="C239" t="s">
        <v>194</v>
      </c>
      <c r="D239" s="7">
        <v>4085</v>
      </c>
      <c r="E239" s="8">
        <v>4</v>
      </c>
      <c r="F239" s="8">
        <f t="shared" si="3"/>
        <v>844</v>
      </c>
      <c r="G239" s="8">
        <v>8440</v>
      </c>
      <c r="H239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1387.2329</v>
      </c>
      <c r="I239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239" s="10">
        <f>MarketingSpend[[#This Row],[Actual Revenue]]/MarketingSpend[[#This Row],[Spend]]</f>
        <v>0.33959189718482252</v>
      </c>
      <c r="K239" s="20">
        <f>MarketingSpend[[#This Row],[Total Orders]]/MarketingSpend[[#This Row],[Lead]]</f>
        <v>4.7393364928909956E-3</v>
      </c>
    </row>
    <row r="240" spans="1:11">
      <c r="A240" s="6">
        <v>45627</v>
      </c>
      <c r="B240" t="s">
        <v>130</v>
      </c>
      <c r="C240" t="s">
        <v>194</v>
      </c>
      <c r="D240" s="7">
        <v>852</v>
      </c>
      <c r="E240" s="8">
        <v>5</v>
      </c>
      <c r="F240" s="8">
        <f t="shared" si="3"/>
        <v>181</v>
      </c>
      <c r="G240" s="8">
        <v>1810</v>
      </c>
      <c r="H240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5183.1049999999996</v>
      </c>
      <c r="I240">
        <f>COUNTIFS(Cleaned_data[Order Month],TEXT(MarketingSpend[[#This Row],[Month]],"mmmm"),Cleaned_data[Marketing_Channel],MarketingSpend[[#This Row],[Marketing_Channel]],Cleaned_data[Region],MarketingSpend[[#This Row],[Region]])</f>
        <v>6</v>
      </c>
      <c r="J240" s="10">
        <f>MarketingSpend[[#This Row],[Actual Revenue]]/MarketingSpend[[#This Row],[Spend]]</f>
        <v>6.0834565727699523</v>
      </c>
      <c r="K240" s="20">
        <f>MarketingSpend[[#This Row],[Total Orders]]/MarketingSpend[[#This Row],[Lead]]</f>
        <v>3.3149171270718231E-2</v>
      </c>
    </row>
    <row r="241" spans="1:11">
      <c r="A241" s="6">
        <v>45627</v>
      </c>
      <c r="B241" t="s">
        <v>90</v>
      </c>
      <c r="C241" t="s">
        <v>194</v>
      </c>
      <c r="D241" s="7">
        <v>1908</v>
      </c>
      <c r="E241" s="8">
        <v>1</v>
      </c>
      <c r="F241" s="8">
        <f t="shared" si="3"/>
        <v>483</v>
      </c>
      <c r="G241" s="8">
        <v>4823</v>
      </c>
      <c r="H241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674.52299999999991</v>
      </c>
      <c r="I241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241" s="10">
        <f>MarketingSpend[[#This Row],[Actual Revenue]]/MarketingSpend[[#This Row],[Spend]]</f>
        <v>0.35352358490566033</v>
      </c>
      <c r="K241" s="20">
        <f>MarketingSpend[[#This Row],[Total Orders]]/MarketingSpend[[#This Row],[Lead]]</f>
        <v>2.070393374741201E-3</v>
      </c>
    </row>
    <row r="242" spans="1:11">
      <c r="A242" s="6">
        <v>45658</v>
      </c>
      <c r="B242" t="s">
        <v>147</v>
      </c>
      <c r="C242" t="s">
        <v>75</v>
      </c>
      <c r="D242" s="7">
        <v>2314</v>
      </c>
      <c r="E242" s="8">
        <v>5</v>
      </c>
      <c r="F242" s="8">
        <f t="shared" si="3"/>
        <v>321</v>
      </c>
      <c r="G242" s="8">
        <v>3205</v>
      </c>
      <c r="H242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7562.1118999999999</v>
      </c>
      <c r="I242">
        <f>COUNTIFS(Cleaned_data[Order Month],TEXT(MarketingSpend[[#This Row],[Month]],"mmmm"),Cleaned_data[Marketing_Channel],MarketingSpend[[#This Row],[Marketing_Channel]],Cleaned_data[Region],MarketingSpend[[#This Row],[Region]])</f>
        <v>5</v>
      </c>
      <c r="J242" s="10">
        <f>MarketingSpend[[#This Row],[Actual Revenue]]/MarketingSpend[[#This Row],[Spend]]</f>
        <v>3.2679826707000865</v>
      </c>
      <c r="K242" s="20">
        <f>MarketingSpend[[#This Row],[Total Orders]]/MarketingSpend[[#This Row],[Lead]]</f>
        <v>1.5576323987538941E-2</v>
      </c>
    </row>
    <row r="243" spans="1:11">
      <c r="A243" s="6">
        <v>45658</v>
      </c>
      <c r="B243" t="s">
        <v>100</v>
      </c>
      <c r="C243" t="s">
        <v>75</v>
      </c>
      <c r="D243" s="7">
        <v>3172</v>
      </c>
      <c r="E243" s="8">
        <v>5</v>
      </c>
      <c r="F243" s="8">
        <f t="shared" si="3"/>
        <v>661</v>
      </c>
      <c r="G243" s="8">
        <v>6603</v>
      </c>
      <c r="H243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4501.0895</v>
      </c>
      <c r="I243">
        <f>COUNTIFS(Cleaned_data[Order Month],TEXT(MarketingSpend[[#This Row],[Month]],"mmmm"),Cleaned_data[Marketing_Channel],MarketingSpend[[#This Row],[Marketing_Channel]],Cleaned_data[Region],MarketingSpend[[#This Row],[Region]])</f>
        <v>5</v>
      </c>
      <c r="J243" s="10">
        <f>MarketingSpend[[#This Row],[Actual Revenue]]/MarketingSpend[[#This Row],[Spend]]</f>
        <v>1.4190067780580076</v>
      </c>
      <c r="K243" s="20">
        <f>MarketingSpend[[#This Row],[Total Orders]]/MarketingSpend[[#This Row],[Lead]]</f>
        <v>7.5642965204236008E-3</v>
      </c>
    </row>
    <row r="244" spans="1:11">
      <c r="A244" s="6">
        <v>45658</v>
      </c>
      <c r="B244" t="s">
        <v>79</v>
      </c>
      <c r="C244" t="s">
        <v>75</v>
      </c>
      <c r="D244" s="7">
        <v>4422</v>
      </c>
      <c r="E244" s="8">
        <v>1</v>
      </c>
      <c r="F244" s="8">
        <f t="shared" si="3"/>
        <v>1001</v>
      </c>
      <c r="G244" s="8">
        <v>10003</v>
      </c>
      <c r="H244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3519.3328999999999</v>
      </c>
      <c r="I244">
        <f>COUNTIFS(Cleaned_data[Order Month],TEXT(MarketingSpend[[#This Row],[Month]],"mmmm"),Cleaned_data[Marketing_Channel],MarketingSpend[[#This Row],[Marketing_Channel]],Cleaned_data[Region],MarketingSpend[[#This Row],[Region]])</f>
        <v>6</v>
      </c>
      <c r="J244" s="10">
        <f>MarketingSpend[[#This Row],[Actual Revenue]]/MarketingSpend[[#This Row],[Spend]]</f>
        <v>0.79586904115784707</v>
      </c>
      <c r="K244" s="20">
        <f>MarketingSpend[[#This Row],[Total Orders]]/MarketingSpend[[#This Row],[Lead]]</f>
        <v>5.994005994005994E-3</v>
      </c>
    </row>
    <row r="245" spans="1:11">
      <c r="A245" s="6">
        <v>45658</v>
      </c>
      <c r="B245" t="s">
        <v>130</v>
      </c>
      <c r="C245" t="s">
        <v>75</v>
      </c>
      <c r="D245" s="7">
        <v>1322</v>
      </c>
      <c r="E245" s="8">
        <v>5</v>
      </c>
      <c r="F245" s="8">
        <f t="shared" si="3"/>
        <v>337</v>
      </c>
      <c r="G245" s="8">
        <v>3369</v>
      </c>
      <c r="H245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132.76490000000001</v>
      </c>
      <c r="I245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245" s="10">
        <f>MarketingSpend[[#This Row],[Actual Revenue]]/MarketingSpend[[#This Row],[Spend]]</f>
        <v>0.10042730711043873</v>
      </c>
      <c r="K245" s="20">
        <f>MarketingSpend[[#This Row],[Total Orders]]/MarketingSpend[[#This Row],[Lead]]</f>
        <v>2.967359050445104E-3</v>
      </c>
    </row>
    <row r="246" spans="1:11">
      <c r="A246" s="6">
        <v>45658</v>
      </c>
      <c r="B246" t="s">
        <v>90</v>
      </c>
      <c r="C246" t="s">
        <v>75</v>
      </c>
      <c r="D246" s="7">
        <v>2305</v>
      </c>
      <c r="E246" s="8">
        <v>3</v>
      </c>
      <c r="F246" s="8">
        <f t="shared" si="3"/>
        <v>758</v>
      </c>
      <c r="G246" s="8">
        <v>7580</v>
      </c>
      <c r="H246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1686.2080000000001</v>
      </c>
      <c r="I246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246" s="10">
        <f>MarketingSpend[[#This Row],[Actual Revenue]]/MarketingSpend[[#This Row],[Spend]]</f>
        <v>0.731543600867679</v>
      </c>
      <c r="K246" s="20">
        <f>MarketingSpend[[#This Row],[Total Orders]]/MarketingSpend[[#This Row],[Lead]]</f>
        <v>3.9577836411609502E-3</v>
      </c>
    </row>
    <row r="247" spans="1:11">
      <c r="A247" s="6">
        <v>45658</v>
      </c>
      <c r="B247" t="s">
        <v>147</v>
      </c>
      <c r="C247" t="s">
        <v>126</v>
      </c>
      <c r="D247" s="7">
        <v>1933</v>
      </c>
      <c r="E247" s="8">
        <v>1</v>
      </c>
      <c r="F247" s="8">
        <f t="shared" si="3"/>
        <v>522</v>
      </c>
      <c r="G247" s="8">
        <v>5211</v>
      </c>
      <c r="H247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2297.8256999999999</v>
      </c>
      <c r="I247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247" s="10">
        <f>MarketingSpend[[#This Row],[Actual Revenue]]/MarketingSpend[[#This Row],[Spend]]</f>
        <v>1.1887354888773927</v>
      </c>
      <c r="K247" s="20">
        <f>MarketingSpend[[#This Row],[Total Orders]]/MarketingSpend[[#This Row],[Lead]]</f>
        <v>5.7471264367816091E-3</v>
      </c>
    </row>
    <row r="248" spans="1:11">
      <c r="A248" s="6">
        <v>45658</v>
      </c>
      <c r="B248" t="s">
        <v>100</v>
      </c>
      <c r="C248" t="s">
        <v>126</v>
      </c>
      <c r="D248" s="7">
        <v>4380</v>
      </c>
      <c r="E248" s="8">
        <v>4</v>
      </c>
      <c r="F248" s="8">
        <f t="shared" si="3"/>
        <v>761</v>
      </c>
      <c r="G248" s="8">
        <v>7606</v>
      </c>
      <c r="H248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2780.8192000000004</v>
      </c>
      <c r="I248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248" s="10">
        <f>MarketingSpend[[#This Row],[Actual Revenue]]/MarketingSpend[[#This Row],[Spend]]</f>
        <v>0.63489022831050235</v>
      </c>
      <c r="K248" s="20">
        <f>MarketingSpend[[#This Row],[Total Orders]]/MarketingSpend[[#This Row],[Lead]]</f>
        <v>2.6281208935611039E-3</v>
      </c>
    </row>
    <row r="249" spans="1:11">
      <c r="A249" s="6">
        <v>45658</v>
      </c>
      <c r="B249" t="s">
        <v>79</v>
      </c>
      <c r="C249" t="s">
        <v>126</v>
      </c>
      <c r="D249" s="7">
        <v>5674</v>
      </c>
      <c r="E249" s="8">
        <v>1</v>
      </c>
      <c r="F249" s="8">
        <f t="shared" si="3"/>
        <v>863</v>
      </c>
      <c r="G249" s="8">
        <v>8623</v>
      </c>
      <c r="H249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0</v>
      </c>
      <c r="I249">
        <f>COUNTIFS(Cleaned_data[Order Month],TEXT(MarketingSpend[[#This Row],[Month]],"mmmm"),Cleaned_data[Marketing_Channel],MarketingSpend[[#This Row],[Marketing_Channel]],Cleaned_data[Region],MarketingSpend[[#This Row],[Region]])</f>
        <v>0</v>
      </c>
      <c r="J249" s="10">
        <f>MarketingSpend[[#This Row],[Actual Revenue]]/MarketingSpend[[#This Row],[Spend]]</f>
        <v>0</v>
      </c>
      <c r="K249" s="20">
        <f>MarketingSpend[[#This Row],[Total Orders]]/MarketingSpend[[#This Row],[Lead]]</f>
        <v>0</v>
      </c>
    </row>
    <row r="250" spans="1:11">
      <c r="A250" s="6">
        <v>45658</v>
      </c>
      <c r="B250" t="s">
        <v>130</v>
      </c>
      <c r="C250" t="s">
        <v>126</v>
      </c>
      <c r="D250" s="7">
        <v>1502</v>
      </c>
      <c r="E250" s="8">
        <v>2</v>
      </c>
      <c r="F250" s="8">
        <f t="shared" si="3"/>
        <v>275</v>
      </c>
      <c r="G250" s="8">
        <v>2746</v>
      </c>
      <c r="H250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1795.4297999999999</v>
      </c>
      <c r="I250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250" s="10">
        <f>MarketingSpend[[#This Row],[Actual Revenue]]/MarketingSpend[[#This Row],[Spend]]</f>
        <v>1.1953593874833555</v>
      </c>
      <c r="K250" s="20">
        <f>MarketingSpend[[#This Row],[Total Orders]]/MarketingSpend[[#This Row],[Lead]]</f>
        <v>7.2727272727272727E-3</v>
      </c>
    </row>
    <row r="251" spans="1:11">
      <c r="A251" s="6">
        <v>45658</v>
      </c>
      <c r="B251" t="s">
        <v>90</v>
      </c>
      <c r="C251" t="s">
        <v>126</v>
      </c>
      <c r="D251" s="7">
        <v>2969</v>
      </c>
      <c r="E251" s="8">
        <v>3</v>
      </c>
      <c r="F251" s="8">
        <f t="shared" si="3"/>
        <v>732</v>
      </c>
      <c r="G251" s="8">
        <v>7312</v>
      </c>
      <c r="H251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502.17509999999999</v>
      </c>
      <c r="I251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251" s="10">
        <f>MarketingSpend[[#This Row],[Actual Revenue]]/MarketingSpend[[#This Row],[Spend]]</f>
        <v>0.16913947457056247</v>
      </c>
      <c r="K251" s="20">
        <f>MarketingSpend[[#This Row],[Total Orders]]/MarketingSpend[[#This Row],[Lead]]</f>
        <v>1.366120218579235E-3</v>
      </c>
    </row>
    <row r="252" spans="1:11">
      <c r="A252" s="6">
        <v>45658</v>
      </c>
      <c r="B252" t="s">
        <v>147</v>
      </c>
      <c r="C252" t="s">
        <v>138</v>
      </c>
      <c r="D252" s="7">
        <v>1971</v>
      </c>
      <c r="E252" s="8">
        <v>1</v>
      </c>
      <c r="F252" s="8">
        <f t="shared" si="3"/>
        <v>319</v>
      </c>
      <c r="G252" s="8">
        <v>3184</v>
      </c>
      <c r="H252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1251.3680999999999</v>
      </c>
      <c r="I252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252" s="10">
        <f>MarketingSpend[[#This Row],[Actual Revenue]]/MarketingSpend[[#This Row],[Spend]]</f>
        <v>0.63488995433789952</v>
      </c>
      <c r="K252" s="20">
        <f>MarketingSpend[[#This Row],[Total Orders]]/MarketingSpend[[#This Row],[Lead]]</f>
        <v>1.2539184952978056E-2</v>
      </c>
    </row>
    <row r="253" spans="1:11">
      <c r="A253" s="6">
        <v>45658</v>
      </c>
      <c r="B253" t="s">
        <v>100</v>
      </c>
      <c r="C253" t="s">
        <v>138</v>
      </c>
      <c r="D253" s="7">
        <v>2659</v>
      </c>
      <c r="E253" s="8">
        <v>2</v>
      </c>
      <c r="F253" s="8">
        <f t="shared" si="3"/>
        <v>768</v>
      </c>
      <c r="G253" s="8">
        <v>7671</v>
      </c>
      <c r="H253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219.999</v>
      </c>
      <c r="I253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253" s="10">
        <f>MarketingSpend[[#This Row],[Actual Revenue]]/MarketingSpend[[#This Row],[Spend]]</f>
        <v>8.2737495298984581E-2</v>
      </c>
      <c r="K253" s="20">
        <f>MarketingSpend[[#This Row],[Total Orders]]/MarketingSpend[[#This Row],[Lead]]</f>
        <v>2.6041666666666665E-3</v>
      </c>
    </row>
    <row r="254" spans="1:11">
      <c r="A254" s="6">
        <v>45658</v>
      </c>
      <c r="B254" t="s">
        <v>79</v>
      </c>
      <c r="C254" t="s">
        <v>138</v>
      </c>
      <c r="D254" s="7">
        <v>3881</v>
      </c>
      <c r="E254" s="8">
        <v>2</v>
      </c>
      <c r="F254" s="8">
        <f t="shared" si="3"/>
        <v>768</v>
      </c>
      <c r="G254" s="8">
        <v>7679</v>
      </c>
      <c r="H254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3818.6195000000002</v>
      </c>
      <c r="I254">
        <f>COUNTIFS(Cleaned_data[Order Month],TEXT(MarketingSpend[[#This Row],[Month]],"mmmm"),Cleaned_data[Marketing_Channel],MarketingSpend[[#This Row],[Marketing_Channel]],Cleaned_data[Region],MarketingSpend[[#This Row],[Region]])</f>
        <v>6</v>
      </c>
      <c r="J254" s="10">
        <f>MarketingSpend[[#This Row],[Actual Revenue]]/MarketingSpend[[#This Row],[Spend]]</f>
        <v>0.9839266941509921</v>
      </c>
      <c r="K254" s="20">
        <f>MarketingSpend[[#This Row],[Total Orders]]/MarketingSpend[[#This Row],[Lead]]</f>
        <v>7.8125E-3</v>
      </c>
    </row>
    <row r="255" spans="1:11">
      <c r="A255" s="6">
        <v>45658</v>
      </c>
      <c r="B255" t="s">
        <v>130</v>
      </c>
      <c r="C255" t="s">
        <v>138</v>
      </c>
      <c r="D255" s="7">
        <v>903</v>
      </c>
      <c r="E255" s="8">
        <v>3</v>
      </c>
      <c r="F255" s="8">
        <f t="shared" si="3"/>
        <v>186</v>
      </c>
      <c r="G255" s="8">
        <v>1856</v>
      </c>
      <c r="H255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1800.7259999999999</v>
      </c>
      <c r="I255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255" s="10">
        <f>MarketingSpend[[#This Row],[Actual Revenue]]/MarketingSpend[[#This Row],[Spend]]</f>
        <v>1.994159468438538</v>
      </c>
      <c r="K255" s="20">
        <f>MarketingSpend[[#This Row],[Total Orders]]/MarketingSpend[[#This Row],[Lead]]</f>
        <v>1.0752688172043012E-2</v>
      </c>
    </row>
    <row r="256" spans="1:11">
      <c r="A256" s="6">
        <v>45658</v>
      </c>
      <c r="B256" t="s">
        <v>90</v>
      </c>
      <c r="C256" t="s">
        <v>138</v>
      </c>
      <c r="D256" s="7">
        <v>2033</v>
      </c>
      <c r="E256" s="8">
        <v>4</v>
      </c>
      <c r="F256" s="8">
        <f t="shared" si="3"/>
        <v>463</v>
      </c>
      <c r="G256" s="8">
        <v>4624</v>
      </c>
      <c r="H256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601.8119999999999</v>
      </c>
      <c r="I256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256" s="10">
        <f>MarketingSpend[[#This Row],[Actual Revenue]]/MarketingSpend[[#This Row],[Spend]]</f>
        <v>0.29602164289227739</v>
      </c>
      <c r="K256" s="20">
        <f>MarketingSpend[[#This Row],[Total Orders]]/MarketingSpend[[#This Row],[Lead]]</f>
        <v>2.1598272138228943E-3</v>
      </c>
    </row>
    <row r="257" spans="1:11">
      <c r="A257" s="6">
        <v>45658</v>
      </c>
      <c r="B257" t="s">
        <v>147</v>
      </c>
      <c r="C257" t="s">
        <v>194</v>
      </c>
      <c r="D257" s="7">
        <v>1821</v>
      </c>
      <c r="E257" s="8">
        <v>5</v>
      </c>
      <c r="F257" s="8">
        <f t="shared" si="3"/>
        <v>410</v>
      </c>
      <c r="G257" s="8">
        <v>4091</v>
      </c>
      <c r="H257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1420.6406999999999</v>
      </c>
      <c r="I257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257" s="10">
        <f>MarketingSpend[[#This Row],[Actual Revenue]]/MarketingSpend[[#This Row],[Spend]]</f>
        <v>0.78014316309719933</v>
      </c>
      <c r="K257" s="20">
        <f>MarketingSpend[[#This Row],[Total Orders]]/MarketingSpend[[#This Row],[Lead]]</f>
        <v>9.7560975609756097E-3</v>
      </c>
    </row>
    <row r="258" spans="1:11">
      <c r="A258" s="6">
        <v>45658</v>
      </c>
      <c r="B258" t="s">
        <v>100</v>
      </c>
      <c r="C258" t="s">
        <v>194</v>
      </c>
      <c r="D258" s="7">
        <v>2851</v>
      </c>
      <c r="E258" s="8">
        <v>1</v>
      </c>
      <c r="F258" s="8">
        <f t="shared" ref="F258:F321" si="4">ROUNDUP(G258/10,0)</f>
        <v>582</v>
      </c>
      <c r="G258" s="8">
        <v>5817</v>
      </c>
      <c r="H258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5515.9955999999993</v>
      </c>
      <c r="I258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258" s="10">
        <f>MarketingSpend[[#This Row],[Actual Revenue]]/MarketingSpend[[#This Row],[Spend]]</f>
        <v>1.9347581901087336</v>
      </c>
      <c r="K258" s="20">
        <f>MarketingSpend[[#This Row],[Total Orders]]/MarketingSpend[[#This Row],[Lead]]</f>
        <v>5.1546391752577319E-3</v>
      </c>
    </row>
    <row r="259" spans="1:11">
      <c r="A259" s="6">
        <v>45658</v>
      </c>
      <c r="B259" t="s">
        <v>79</v>
      </c>
      <c r="C259" t="s">
        <v>194</v>
      </c>
      <c r="D259" s="7">
        <v>3700</v>
      </c>
      <c r="E259" s="8">
        <v>3</v>
      </c>
      <c r="F259" s="8">
        <f t="shared" si="4"/>
        <v>861</v>
      </c>
      <c r="G259" s="8">
        <v>8601</v>
      </c>
      <c r="H259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997.1653</v>
      </c>
      <c r="I259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259" s="10">
        <f>MarketingSpend[[#This Row],[Actual Revenue]]/MarketingSpend[[#This Row],[Spend]]</f>
        <v>0.26950413513513516</v>
      </c>
      <c r="K259" s="20">
        <f>MarketingSpend[[#This Row],[Total Orders]]/MarketingSpend[[#This Row],[Lead]]</f>
        <v>2.3228803716608595E-3</v>
      </c>
    </row>
    <row r="260" spans="1:11">
      <c r="A260" s="6">
        <v>45658</v>
      </c>
      <c r="B260" t="s">
        <v>130</v>
      </c>
      <c r="C260" t="s">
        <v>194</v>
      </c>
      <c r="D260" s="7">
        <v>1142</v>
      </c>
      <c r="E260" s="8">
        <v>3</v>
      </c>
      <c r="F260" s="8">
        <f t="shared" si="4"/>
        <v>245</v>
      </c>
      <c r="G260" s="8">
        <v>2450</v>
      </c>
      <c r="H260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1313.8907999999999</v>
      </c>
      <c r="I260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260" s="10">
        <f>MarketingSpend[[#This Row],[Actual Revenue]]/MarketingSpend[[#This Row],[Spend]]</f>
        <v>1.1505173380035025</v>
      </c>
      <c r="K260" s="20">
        <f>MarketingSpend[[#This Row],[Total Orders]]/MarketingSpend[[#This Row],[Lead]]</f>
        <v>1.2244897959183673E-2</v>
      </c>
    </row>
    <row r="261" spans="1:11">
      <c r="A261" s="6">
        <v>45658</v>
      </c>
      <c r="B261" t="s">
        <v>90</v>
      </c>
      <c r="C261" t="s">
        <v>194</v>
      </c>
      <c r="D261" s="7">
        <v>1983</v>
      </c>
      <c r="E261" s="8">
        <v>5</v>
      </c>
      <c r="F261" s="8">
        <f t="shared" si="4"/>
        <v>418</v>
      </c>
      <c r="G261" s="8">
        <v>4174</v>
      </c>
      <c r="H261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5960.174</v>
      </c>
      <c r="I261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261" s="10">
        <f>MarketingSpend[[#This Row],[Actual Revenue]]/MarketingSpend[[#This Row],[Spend]]</f>
        <v>3.0056348966212809</v>
      </c>
      <c r="K261" s="20">
        <f>MarketingSpend[[#This Row],[Total Orders]]/MarketingSpend[[#This Row],[Lead]]</f>
        <v>4.7846889952153108E-3</v>
      </c>
    </row>
    <row r="262" spans="1:11">
      <c r="A262" s="6">
        <v>45689</v>
      </c>
      <c r="B262" t="s">
        <v>147</v>
      </c>
      <c r="C262" t="s">
        <v>75</v>
      </c>
      <c r="D262" s="7">
        <v>1745</v>
      </c>
      <c r="E262" s="8">
        <v>3</v>
      </c>
      <c r="F262" s="8">
        <f t="shared" si="4"/>
        <v>417</v>
      </c>
      <c r="G262" s="8">
        <v>4163</v>
      </c>
      <c r="H262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3473.04</v>
      </c>
      <c r="I262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262" s="10">
        <f>MarketingSpend[[#This Row],[Actual Revenue]]/MarketingSpend[[#This Row],[Spend]]</f>
        <v>1.9902808022922636</v>
      </c>
      <c r="K262" s="20">
        <f>MarketingSpend[[#This Row],[Total Orders]]/MarketingSpend[[#This Row],[Lead]]</f>
        <v>2.3980815347721821E-3</v>
      </c>
    </row>
    <row r="263" spans="1:11">
      <c r="A263" s="6">
        <v>45689</v>
      </c>
      <c r="B263" t="s">
        <v>100</v>
      </c>
      <c r="C263" t="s">
        <v>75</v>
      </c>
      <c r="D263" s="7">
        <v>3027</v>
      </c>
      <c r="E263" s="8">
        <v>5</v>
      </c>
      <c r="F263" s="8">
        <f t="shared" si="4"/>
        <v>824</v>
      </c>
      <c r="G263" s="8">
        <v>8233</v>
      </c>
      <c r="H263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1138.2705000000001</v>
      </c>
      <c r="I263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263" s="10">
        <f>MarketingSpend[[#This Row],[Actual Revenue]]/MarketingSpend[[#This Row],[Spend]]</f>
        <v>0.37603914767096136</v>
      </c>
      <c r="K263" s="20">
        <f>MarketingSpend[[#This Row],[Total Orders]]/MarketingSpend[[#This Row],[Lead]]</f>
        <v>3.6407766990291263E-3</v>
      </c>
    </row>
    <row r="264" spans="1:11">
      <c r="A264" s="6">
        <v>45689</v>
      </c>
      <c r="B264" t="s">
        <v>79</v>
      </c>
      <c r="C264" t="s">
        <v>75</v>
      </c>
      <c r="D264" s="7">
        <v>4349</v>
      </c>
      <c r="E264" s="8">
        <v>2</v>
      </c>
      <c r="F264" s="8">
        <f t="shared" si="4"/>
        <v>1292</v>
      </c>
      <c r="G264" s="8">
        <v>12919</v>
      </c>
      <c r="H264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2622.116</v>
      </c>
      <c r="I264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264" s="10">
        <f>MarketingSpend[[#This Row],[Actual Revenue]]/MarketingSpend[[#This Row],[Spend]]</f>
        <v>0.60292389054955164</v>
      </c>
      <c r="K264" s="20">
        <f>MarketingSpend[[#This Row],[Total Orders]]/MarketingSpend[[#This Row],[Lead]]</f>
        <v>3.0959752321981426E-3</v>
      </c>
    </row>
    <row r="265" spans="1:11">
      <c r="A265" s="6">
        <v>45689</v>
      </c>
      <c r="B265" t="s">
        <v>130</v>
      </c>
      <c r="C265" t="s">
        <v>75</v>
      </c>
      <c r="D265" s="7">
        <v>1146</v>
      </c>
      <c r="E265" s="8">
        <v>1</v>
      </c>
      <c r="F265" s="8">
        <f t="shared" si="4"/>
        <v>334</v>
      </c>
      <c r="G265" s="8">
        <v>3335</v>
      </c>
      <c r="H265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1917.5065</v>
      </c>
      <c r="I265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265" s="10">
        <f>MarketingSpend[[#This Row],[Actual Revenue]]/MarketingSpend[[#This Row],[Spend]]</f>
        <v>1.6732168411867365</v>
      </c>
      <c r="K265" s="20">
        <f>MarketingSpend[[#This Row],[Total Orders]]/MarketingSpend[[#This Row],[Lead]]</f>
        <v>1.1976047904191617E-2</v>
      </c>
    </row>
    <row r="266" spans="1:11">
      <c r="A266" s="6">
        <v>45689</v>
      </c>
      <c r="B266" t="s">
        <v>90</v>
      </c>
      <c r="C266" t="s">
        <v>75</v>
      </c>
      <c r="D266" s="7">
        <v>2435</v>
      </c>
      <c r="E266" s="8">
        <v>5</v>
      </c>
      <c r="F266" s="8">
        <f t="shared" si="4"/>
        <v>622</v>
      </c>
      <c r="G266" s="8">
        <v>6212</v>
      </c>
      <c r="H266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1626.4171999999999</v>
      </c>
      <c r="I266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266" s="10">
        <f>MarketingSpend[[#This Row],[Actual Revenue]]/MarketingSpend[[#This Row],[Spend]]</f>
        <v>0.66793314168377815</v>
      </c>
      <c r="K266" s="20">
        <f>MarketingSpend[[#This Row],[Total Orders]]/MarketingSpend[[#This Row],[Lead]]</f>
        <v>6.4308681672025723E-3</v>
      </c>
    </row>
    <row r="267" spans="1:11">
      <c r="A267" s="6">
        <v>45689</v>
      </c>
      <c r="B267" t="s">
        <v>147</v>
      </c>
      <c r="C267" t="s">
        <v>126</v>
      </c>
      <c r="D267" s="7">
        <v>2129</v>
      </c>
      <c r="E267" s="8">
        <v>5</v>
      </c>
      <c r="F267" s="8">
        <f t="shared" si="4"/>
        <v>518</v>
      </c>
      <c r="G267" s="8">
        <v>5177</v>
      </c>
      <c r="H267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969.36099999999999</v>
      </c>
      <c r="I267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267" s="10">
        <f>MarketingSpend[[#This Row],[Actual Revenue]]/MarketingSpend[[#This Row],[Spend]]</f>
        <v>0.45531282292155939</v>
      </c>
      <c r="K267" s="20">
        <f>MarketingSpend[[#This Row],[Total Orders]]/MarketingSpend[[#This Row],[Lead]]</f>
        <v>1.9305019305019305E-3</v>
      </c>
    </row>
    <row r="268" spans="1:11">
      <c r="A268" s="6">
        <v>45689</v>
      </c>
      <c r="B268" t="s">
        <v>100</v>
      </c>
      <c r="C268" t="s">
        <v>126</v>
      </c>
      <c r="D268" s="7">
        <v>3906</v>
      </c>
      <c r="E268" s="8">
        <v>4</v>
      </c>
      <c r="F268" s="8">
        <f t="shared" si="4"/>
        <v>905</v>
      </c>
      <c r="G268" s="8">
        <v>9048</v>
      </c>
      <c r="H268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4174.3616000000002</v>
      </c>
      <c r="I268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268" s="10">
        <f>MarketingSpend[[#This Row],[Actual Revenue]]/MarketingSpend[[#This Row],[Spend]]</f>
        <v>1.0687049667178701</v>
      </c>
      <c r="K268" s="20">
        <f>MarketingSpend[[#This Row],[Total Orders]]/MarketingSpend[[#This Row],[Lead]]</f>
        <v>2.2099447513812156E-3</v>
      </c>
    </row>
    <row r="269" spans="1:11">
      <c r="A269" s="6">
        <v>45689</v>
      </c>
      <c r="B269" t="s">
        <v>79</v>
      </c>
      <c r="C269" t="s">
        <v>126</v>
      </c>
      <c r="D269" s="7">
        <v>5821</v>
      </c>
      <c r="E269" s="8">
        <v>1</v>
      </c>
      <c r="F269" s="8">
        <f t="shared" si="4"/>
        <v>895</v>
      </c>
      <c r="G269" s="8">
        <v>8941</v>
      </c>
      <c r="H269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149.78909999999999</v>
      </c>
      <c r="I269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269" s="10">
        <f>MarketingSpend[[#This Row],[Actual Revenue]]/MarketingSpend[[#This Row],[Spend]]</f>
        <v>2.5732537364713964E-2</v>
      </c>
      <c r="K269" s="20">
        <f>MarketingSpend[[#This Row],[Total Orders]]/MarketingSpend[[#This Row],[Lead]]</f>
        <v>2.2346368715083797E-3</v>
      </c>
    </row>
    <row r="270" spans="1:11">
      <c r="A270" s="6">
        <v>45689</v>
      </c>
      <c r="B270" t="s">
        <v>130</v>
      </c>
      <c r="C270" t="s">
        <v>126</v>
      </c>
      <c r="D270" s="7">
        <v>1445</v>
      </c>
      <c r="E270" s="8">
        <v>3</v>
      </c>
      <c r="F270" s="8">
        <f t="shared" si="4"/>
        <v>348</v>
      </c>
      <c r="G270" s="8">
        <v>3475</v>
      </c>
      <c r="H270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2264.9088000000002</v>
      </c>
      <c r="I270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270" s="10">
        <f>MarketingSpend[[#This Row],[Actual Revenue]]/MarketingSpend[[#This Row],[Spend]]</f>
        <v>1.5674109342560554</v>
      </c>
      <c r="K270" s="20">
        <f>MarketingSpend[[#This Row],[Total Orders]]/MarketingSpend[[#This Row],[Lead]]</f>
        <v>2.8735632183908046E-3</v>
      </c>
    </row>
    <row r="271" spans="1:11">
      <c r="A271" s="6">
        <v>45689</v>
      </c>
      <c r="B271" t="s">
        <v>90</v>
      </c>
      <c r="C271" t="s">
        <v>126</v>
      </c>
      <c r="D271" s="7">
        <v>3431</v>
      </c>
      <c r="E271" s="8">
        <v>3</v>
      </c>
      <c r="F271" s="8">
        <f t="shared" si="4"/>
        <v>666</v>
      </c>
      <c r="G271" s="8">
        <v>6655</v>
      </c>
      <c r="H271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2670.1664000000001</v>
      </c>
      <c r="I271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271" s="10">
        <f>MarketingSpend[[#This Row],[Actual Revenue]]/MarketingSpend[[#This Row],[Spend]]</f>
        <v>0.77824727484698342</v>
      </c>
      <c r="K271" s="20">
        <f>MarketingSpend[[#This Row],[Total Orders]]/MarketingSpend[[#This Row],[Lead]]</f>
        <v>4.5045045045045045E-3</v>
      </c>
    </row>
    <row r="272" spans="1:11">
      <c r="A272" s="6">
        <v>45689</v>
      </c>
      <c r="B272" t="s">
        <v>147</v>
      </c>
      <c r="C272" t="s">
        <v>138</v>
      </c>
      <c r="D272" s="7">
        <v>1654</v>
      </c>
      <c r="E272" s="8">
        <v>1</v>
      </c>
      <c r="F272" s="8">
        <f t="shared" si="4"/>
        <v>293</v>
      </c>
      <c r="G272" s="8">
        <v>2921</v>
      </c>
      <c r="H272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274.70080000000002</v>
      </c>
      <c r="I272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272" s="10">
        <f>MarketingSpend[[#This Row],[Actual Revenue]]/MarketingSpend[[#This Row],[Spend]]</f>
        <v>0.1660827085852479</v>
      </c>
      <c r="K272" s="20">
        <f>MarketingSpend[[#This Row],[Total Orders]]/MarketingSpend[[#This Row],[Lead]]</f>
        <v>3.4129692832764505E-3</v>
      </c>
    </row>
    <row r="273" spans="1:11">
      <c r="A273" s="6">
        <v>45689</v>
      </c>
      <c r="B273" t="s">
        <v>100</v>
      </c>
      <c r="C273" t="s">
        <v>138</v>
      </c>
      <c r="D273" s="7">
        <v>2667</v>
      </c>
      <c r="E273" s="8">
        <v>1</v>
      </c>
      <c r="F273" s="8">
        <f t="shared" si="4"/>
        <v>762</v>
      </c>
      <c r="G273" s="8">
        <v>7615</v>
      </c>
      <c r="H273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543.4559999999999</v>
      </c>
      <c r="I273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273" s="10">
        <f>MarketingSpend[[#This Row],[Actual Revenue]]/MarketingSpend[[#This Row],[Spend]]</f>
        <v>0.20377052868391449</v>
      </c>
      <c r="K273" s="20">
        <f>MarketingSpend[[#This Row],[Total Orders]]/MarketingSpend[[#This Row],[Lead]]</f>
        <v>1.3123359580052493E-3</v>
      </c>
    </row>
    <row r="274" spans="1:11">
      <c r="A274" s="6">
        <v>45689</v>
      </c>
      <c r="B274" t="s">
        <v>79</v>
      </c>
      <c r="C274" t="s">
        <v>138</v>
      </c>
      <c r="D274" s="7">
        <v>4969</v>
      </c>
      <c r="E274" s="8">
        <v>2</v>
      </c>
      <c r="F274" s="8">
        <f t="shared" si="4"/>
        <v>952</v>
      </c>
      <c r="G274" s="8">
        <v>9519</v>
      </c>
      <c r="H274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0</v>
      </c>
      <c r="I274">
        <f>COUNTIFS(Cleaned_data[Order Month],TEXT(MarketingSpend[[#This Row],[Month]],"mmmm"),Cleaned_data[Marketing_Channel],MarketingSpend[[#This Row],[Marketing_Channel]],Cleaned_data[Region],MarketingSpend[[#This Row],[Region]])</f>
        <v>0</v>
      </c>
      <c r="J274" s="10">
        <f>MarketingSpend[[#This Row],[Actual Revenue]]/MarketingSpend[[#This Row],[Spend]]</f>
        <v>0</v>
      </c>
      <c r="K274" s="20">
        <f>MarketingSpend[[#This Row],[Total Orders]]/MarketingSpend[[#This Row],[Lead]]</f>
        <v>0</v>
      </c>
    </row>
    <row r="275" spans="1:11">
      <c r="A275" s="6">
        <v>45689</v>
      </c>
      <c r="B275" t="s">
        <v>130</v>
      </c>
      <c r="C275" t="s">
        <v>138</v>
      </c>
      <c r="D275" s="7">
        <v>994</v>
      </c>
      <c r="E275" s="8">
        <v>4</v>
      </c>
      <c r="F275" s="8">
        <f t="shared" si="4"/>
        <v>268</v>
      </c>
      <c r="G275" s="8">
        <v>2677</v>
      </c>
      <c r="H275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3138.6504000000004</v>
      </c>
      <c r="I275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275" s="10">
        <f>MarketingSpend[[#This Row],[Actual Revenue]]/MarketingSpend[[#This Row],[Spend]]</f>
        <v>3.1575959758551311</v>
      </c>
      <c r="K275" s="20">
        <f>MarketingSpend[[#This Row],[Total Orders]]/MarketingSpend[[#This Row],[Lead]]</f>
        <v>7.462686567164179E-3</v>
      </c>
    </row>
    <row r="276" spans="1:11">
      <c r="A276" s="6">
        <v>45689</v>
      </c>
      <c r="B276" t="s">
        <v>90</v>
      </c>
      <c r="C276" t="s">
        <v>138</v>
      </c>
      <c r="D276" s="7">
        <v>2185</v>
      </c>
      <c r="E276" s="8">
        <v>1</v>
      </c>
      <c r="F276" s="8">
        <f t="shared" si="4"/>
        <v>627</v>
      </c>
      <c r="G276" s="8">
        <v>6267</v>
      </c>
      <c r="H276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1134.0381</v>
      </c>
      <c r="I276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276" s="10">
        <f>MarketingSpend[[#This Row],[Actual Revenue]]/MarketingSpend[[#This Row],[Spend]]</f>
        <v>0.51901057208237988</v>
      </c>
      <c r="K276" s="20">
        <f>MarketingSpend[[#This Row],[Total Orders]]/MarketingSpend[[#This Row],[Lead]]</f>
        <v>3.189792663476874E-3</v>
      </c>
    </row>
    <row r="277" spans="1:11">
      <c r="A277" s="6">
        <v>45689</v>
      </c>
      <c r="B277" t="s">
        <v>147</v>
      </c>
      <c r="C277" t="s">
        <v>194</v>
      </c>
      <c r="D277" s="7">
        <v>1823</v>
      </c>
      <c r="E277" s="8">
        <v>5</v>
      </c>
      <c r="F277" s="8">
        <f t="shared" si="4"/>
        <v>327</v>
      </c>
      <c r="G277" s="8">
        <v>3262</v>
      </c>
      <c r="H277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874.96140000000003</v>
      </c>
      <c r="I277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277" s="10">
        <f>MarketingSpend[[#This Row],[Actual Revenue]]/MarketingSpend[[#This Row],[Spend]]</f>
        <v>0.47995688425671973</v>
      </c>
      <c r="K277" s="20">
        <f>MarketingSpend[[#This Row],[Total Orders]]/MarketingSpend[[#This Row],[Lead]]</f>
        <v>3.0581039755351682E-3</v>
      </c>
    </row>
    <row r="278" spans="1:11">
      <c r="A278" s="6">
        <v>45689</v>
      </c>
      <c r="B278" t="s">
        <v>100</v>
      </c>
      <c r="C278" t="s">
        <v>194</v>
      </c>
      <c r="D278" s="7">
        <v>2820</v>
      </c>
      <c r="E278" s="8">
        <v>2</v>
      </c>
      <c r="F278" s="8">
        <f t="shared" si="4"/>
        <v>552</v>
      </c>
      <c r="G278" s="8">
        <v>5519</v>
      </c>
      <c r="H278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3754.6185000000005</v>
      </c>
      <c r="I278">
        <f>COUNTIFS(Cleaned_data[Order Month],TEXT(MarketingSpend[[#This Row],[Month]],"mmmm"),Cleaned_data[Marketing_Channel],MarketingSpend[[#This Row],[Marketing_Channel]],Cleaned_data[Region],MarketingSpend[[#This Row],[Region]])</f>
        <v>8</v>
      </c>
      <c r="J278" s="10">
        <f>MarketingSpend[[#This Row],[Actual Revenue]]/MarketingSpend[[#This Row],[Spend]]</f>
        <v>1.3314250000000001</v>
      </c>
      <c r="K278" s="20">
        <f>MarketingSpend[[#This Row],[Total Orders]]/MarketingSpend[[#This Row],[Lead]]</f>
        <v>1.4492753623188406E-2</v>
      </c>
    </row>
    <row r="279" spans="1:11">
      <c r="A279" s="6">
        <v>45689</v>
      </c>
      <c r="B279" t="s">
        <v>79</v>
      </c>
      <c r="C279" t="s">
        <v>194</v>
      </c>
      <c r="D279" s="7">
        <v>4751</v>
      </c>
      <c r="E279" s="8">
        <v>2</v>
      </c>
      <c r="F279" s="8">
        <f t="shared" si="4"/>
        <v>751</v>
      </c>
      <c r="G279" s="8">
        <v>7505</v>
      </c>
      <c r="H279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279.02619999999996</v>
      </c>
      <c r="I279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279" s="10">
        <f>MarketingSpend[[#This Row],[Actual Revenue]]/MarketingSpend[[#This Row],[Spend]]</f>
        <v>5.8729993685539876E-2</v>
      </c>
      <c r="K279" s="20">
        <f>MarketingSpend[[#This Row],[Total Orders]]/MarketingSpend[[#This Row],[Lead]]</f>
        <v>2.6631158455392811E-3</v>
      </c>
    </row>
    <row r="280" spans="1:11">
      <c r="A280" s="6">
        <v>45689</v>
      </c>
      <c r="B280" t="s">
        <v>130</v>
      </c>
      <c r="C280" t="s">
        <v>194</v>
      </c>
      <c r="D280" s="7">
        <v>864</v>
      </c>
      <c r="E280" s="8">
        <v>3</v>
      </c>
      <c r="F280" s="8">
        <f t="shared" si="4"/>
        <v>240</v>
      </c>
      <c r="G280" s="8">
        <v>2393</v>
      </c>
      <c r="H280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187.0633</v>
      </c>
      <c r="I280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280" s="10">
        <f>MarketingSpend[[#This Row],[Actual Revenue]]/MarketingSpend[[#This Row],[Spend]]</f>
        <v>0.21650844907407407</v>
      </c>
      <c r="K280" s="20">
        <f>MarketingSpend[[#This Row],[Total Orders]]/MarketingSpend[[#This Row],[Lead]]</f>
        <v>1.2500000000000001E-2</v>
      </c>
    </row>
    <row r="281" spans="1:11">
      <c r="A281" s="6">
        <v>45689</v>
      </c>
      <c r="B281" t="s">
        <v>90</v>
      </c>
      <c r="C281" t="s">
        <v>194</v>
      </c>
      <c r="D281" s="7">
        <v>2496</v>
      </c>
      <c r="E281" s="8">
        <v>3</v>
      </c>
      <c r="F281" s="8">
        <f t="shared" si="4"/>
        <v>491</v>
      </c>
      <c r="G281" s="8">
        <v>4904</v>
      </c>
      <c r="H281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0</v>
      </c>
      <c r="I281">
        <f>COUNTIFS(Cleaned_data[Order Month],TEXT(MarketingSpend[[#This Row],[Month]],"mmmm"),Cleaned_data[Marketing_Channel],MarketingSpend[[#This Row],[Marketing_Channel]],Cleaned_data[Region],MarketingSpend[[#This Row],[Region]])</f>
        <v>0</v>
      </c>
      <c r="J281" s="10">
        <f>MarketingSpend[[#This Row],[Actual Revenue]]/MarketingSpend[[#This Row],[Spend]]</f>
        <v>0</v>
      </c>
      <c r="K281" s="20">
        <f>MarketingSpend[[#This Row],[Total Orders]]/MarketingSpend[[#This Row],[Lead]]</f>
        <v>0</v>
      </c>
    </row>
    <row r="282" spans="1:11">
      <c r="A282" s="6">
        <v>45717</v>
      </c>
      <c r="B282" t="s">
        <v>147</v>
      </c>
      <c r="C282" t="s">
        <v>75</v>
      </c>
      <c r="D282" s="7">
        <v>2271</v>
      </c>
      <c r="E282" s="8">
        <v>3</v>
      </c>
      <c r="F282" s="8">
        <f t="shared" si="4"/>
        <v>477</v>
      </c>
      <c r="G282" s="8">
        <v>4764</v>
      </c>
      <c r="H282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1963.4825000000003</v>
      </c>
      <c r="I282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282" s="10">
        <f>MarketingSpend[[#This Row],[Actual Revenue]]/MarketingSpend[[#This Row],[Spend]]</f>
        <v>0.86458938793483064</v>
      </c>
      <c r="K282" s="20">
        <f>MarketingSpend[[#This Row],[Total Orders]]/MarketingSpend[[#This Row],[Lead]]</f>
        <v>8.385744234800839E-3</v>
      </c>
    </row>
    <row r="283" spans="1:11">
      <c r="A283" s="6">
        <v>45717</v>
      </c>
      <c r="B283" t="s">
        <v>100</v>
      </c>
      <c r="C283" t="s">
        <v>75</v>
      </c>
      <c r="D283" s="7">
        <v>3369</v>
      </c>
      <c r="E283" s="8">
        <v>4</v>
      </c>
      <c r="F283" s="8">
        <f t="shared" si="4"/>
        <v>568</v>
      </c>
      <c r="G283" s="8">
        <v>5671</v>
      </c>
      <c r="H283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168.70920000000001</v>
      </c>
      <c r="I283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283" s="10">
        <f>MarketingSpend[[#This Row],[Actual Revenue]]/MarketingSpend[[#This Row],[Spend]]</f>
        <v>5.007693677649154E-2</v>
      </c>
      <c r="K283" s="20">
        <f>MarketingSpend[[#This Row],[Total Orders]]/MarketingSpend[[#This Row],[Lead]]</f>
        <v>3.5211267605633804E-3</v>
      </c>
    </row>
    <row r="284" spans="1:11">
      <c r="A284" s="6">
        <v>45717</v>
      </c>
      <c r="B284" t="s">
        <v>79</v>
      </c>
      <c r="C284" t="s">
        <v>75</v>
      </c>
      <c r="D284" s="7">
        <v>5261</v>
      </c>
      <c r="E284" s="8">
        <v>4</v>
      </c>
      <c r="F284" s="8">
        <f t="shared" si="4"/>
        <v>1104</v>
      </c>
      <c r="G284" s="8">
        <v>11036</v>
      </c>
      <c r="H284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2251.9096999999997</v>
      </c>
      <c r="I284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284" s="10">
        <f>MarketingSpend[[#This Row],[Actual Revenue]]/MarketingSpend[[#This Row],[Spend]]</f>
        <v>0.4280383387188747</v>
      </c>
      <c r="K284" s="20">
        <f>MarketingSpend[[#This Row],[Total Orders]]/MarketingSpend[[#This Row],[Lead]]</f>
        <v>2.717391304347826E-3</v>
      </c>
    </row>
    <row r="285" spans="1:11">
      <c r="A285" s="6">
        <v>45717</v>
      </c>
      <c r="B285" t="s">
        <v>130</v>
      </c>
      <c r="C285" t="s">
        <v>75</v>
      </c>
      <c r="D285" s="7">
        <v>1057</v>
      </c>
      <c r="E285" s="8">
        <v>2</v>
      </c>
      <c r="F285" s="8">
        <f t="shared" si="4"/>
        <v>234</v>
      </c>
      <c r="G285" s="8">
        <v>2336</v>
      </c>
      <c r="H285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1991.6723</v>
      </c>
      <c r="I285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285" s="10">
        <f>MarketingSpend[[#This Row],[Actual Revenue]]/MarketingSpend[[#This Row],[Spend]]</f>
        <v>1.8842689687795648</v>
      </c>
      <c r="K285" s="20">
        <f>MarketingSpend[[#This Row],[Total Orders]]/MarketingSpend[[#This Row],[Lead]]</f>
        <v>1.7094017094017096E-2</v>
      </c>
    </row>
    <row r="286" spans="1:11">
      <c r="A286" s="6">
        <v>45717</v>
      </c>
      <c r="B286" t="s">
        <v>90</v>
      </c>
      <c r="C286" t="s">
        <v>75</v>
      </c>
      <c r="D286" s="7">
        <v>2977</v>
      </c>
      <c r="E286" s="8">
        <v>3</v>
      </c>
      <c r="F286" s="8">
        <f t="shared" si="4"/>
        <v>753</v>
      </c>
      <c r="G286" s="8">
        <v>7529</v>
      </c>
      <c r="H286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4318.1536999999998</v>
      </c>
      <c r="I286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286" s="10">
        <f>MarketingSpend[[#This Row],[Actual Revenue]]/MarketingSpend[[#This Row],[Spend]]</f>
        <v>1.4505051058112193</v>
      </c>
      <c r="K286" s="20">
        <f>MarketingSpend[[#This Row],[Total Orders]]/MarketingSpend[[#This Row],[Lead]]</f>
        <v>5.3120849933598934E-3</v>
      </c>
    </row>
    <row r="287" spans="1:11">
      <c r="A287" s="6">
        <v>45717</v>
      </c>
      <c r="B287" t="s">
        <v>147</v>
      </c>
      <c r="C287" t="s">
        <v>126</v>
      </c>
      <c r="D287" s="7">
        <v>2100</v>
      </c>
      <c r="E287" s="8">
        <v>3</v>
      </c>
      <c r="F287" s="8">
        <f t="shared" si="4"/>
        <v>434</v>
      </c>
      <c r="G287" s="8">
        <v>4337</v>
      </c>
      <c r="H287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3473.2367999999997</v>
      </c>
      <c r="I287">
        <f>COUNTIFS(Cleaned_data[Order Month],TEXT(MarketingSpend[[#This Row],[Month]],"mmmm"),Cleaned_data[Marketing_Channel],MarketingSpend[[#This Row],[Marketing_Channel]],Cleaned_data[Region],MarketingSpend[[#This Row],[Region]])</f>
        <v>5</v>
      </c>
      <c r="J287" s="10">
        <f>MarketingSpend[[#This Row],[Actual Revenue]]/MarketingSpend[[#This Row],[Spend]]</f>
        <v>1.6539222857142855</v>
      </c>
      <c r="K287" s="20">
        <f>MarketingSpend[[#This Row],[Total Orders]]/MarketingSpend[[#This Row],[Lead]]</f>
        <v>1.1520737327188941E-2</v>
      </c>
    </row>
    <row r="288" spans="1:11">
      <c r="A288" s="6">
        <v>45717</v>
      </c>
      <c r="B288" t="s">
        <v>100</v>
      </c>
      <c r="C288" t="s">
        <v>126</v>
      </c>
      <c r="D288" s="7">
        <v>3941</v>
      </c>
      <c r="E288" s="8">
        <v>1</v>
      </c>
      <c r="F288" s="8">
        <f t="shared" si="4"/>
        <v>804</v>
      </c>
      <c r="G288" s="8">
        <v>8037</v>
      </c>
      <c r="H288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1004.3416999999999</v>
      </c>
      <c r="I288">
        <f>COUNTIFS(Cleaned_data[Order Month],TEXT(MarketingSpend[[#This Row],[Month]],"mmmm"),Cleaned_data[Marketing_Channel],MarketingSpend[[#This Row],[Marketing_Channel]],Cleaned_data[Region],MarketingSpend[[#This Row],[Region]])</f>
        <v>5</v>
      </c>
      <c r="J288" s="10">
        <f>MarketingSpend[[#This Row],[Actual Revenue]]/MarketingSpend[[#This Row],[Spend]]</f>
        <v>0.25484437959908651</v>
      </c>
      <c r="K288" s="20">
        <f>MarketingSpend[[#This Row],[Total Orders]]/MarketingSpend[[#This Row],[Lead]]</f>
        <v>6.2189054726368162E-3</v>
      </c>
    </row>
    <row r="289" spans="1:11">
      <c r="A289" s="6">
        <v>45717</v>
      </c>
      <c r="B289" t="s">
        <v>79</v>
      </c>
      <c r="C289" t="s">
        <v>126</v>
      </c>
      <c r="D289" s="7">
        <v>4726</v>
      </c>
      <c r="E289" s="8">
        <v>5</v>
      </c>
      <c r="F289" s="8">
        <f t="shared" si="4"/>
        <v>866</v>
      </c>
      <c r="G289" s="8">
        <v>8651</v>
      </c>
      <c r="H289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714.86619999999994</v>
      </c>
      <c r="I289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289" s="10">
        <f>MarketingSpend[[#This Row],[Actual Revenue]]/MarketingSpend[[#This Row],[Spend]]</f>
        <v>0.15126242065171391</v>
      </c>
      <c r="K289" s="20">
        <f>MarketingSpend[[#This Row],[Total Orders]]/MarketingSpend[[#This Row],[Lead]]</f>
        <v>2.3094688221709007E-3</v>
      </c>
    </row>
    <row r="290" spans="1:11">
      <c r="A290" s="6">
        <v>45717</v>
      </c>
      <c r="B290" t="s">
        <v>130</v>
      </c>
      <c r="C290" t="s">
        <v>126</v>
      </c>
      <c r="D290" s="7">
        <v>1237</v>
      </c>
      <c r="E290" s="8">
        <v>5</v>
      </c>
      <c r="F290" s="8">
        <f t="shared" si="4"/>
        <v>223</v>
      </c>
      <c r="G290" s="8">
        <v>2222</v>
      </c>
      <c r="H290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1162.3609999999999</v>
      </c>
      <c r="I290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290" s="10">
        <f>MarketingSpend[[#This Row],[Actual Revenue]]/MarketingSpend[[#This Row],[Spend]]</f>
        <v>0.93966127728375093</v>
      </c>
      <c r="K290" s="20">
        <f>MarketingSpend[[#This Row],[Total Orders]]/MarketingSpend[[#This Row],[Lead]]</f>
        <v>1.3452914798206279E-2</v>
      </c>
    </row>
    <row r="291" spans="1:11">
      <c r="A291" s="6">
        <v>45717</v>
      </c>
      <c r="B291" t="s">
        <v>90</v>
      </c>
      <c r="C291" t="s">
        <v>126</v>
      </c>
      <c r="D291" s="7">
        <v>2976</v>
      </c>
      <c r="E291" s="8">
        <v>3</v>
      </c>
      <c r="F291" s="8">
        <f t="shared" si="4"/>
        <v>690</v>
      </c>
      <c r="G291" s="8">
        <v>6897</v>
      </c>
      <c r="H291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209.49510000000001</v>
      </c>
      <c r="I291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291" s="10">
        <f>MarketingSpend[[#This Row],[Actual Revenue]]/MarketingSpend[[#This Row],[Spend]]</f>
        <v>7.0394858870967747E-2</v>
      </c>
      <c r="K291" s="20">
        <f>MarketingSpend[[#This Row],[Total Orders]]/MarketingSpend[[#This Row],[Lead]]</f>
        <v>2.8985507246376812E-3</v>
      </c>
    </row>
    <row r="292" spans="1:11">
      <c r="A292" s="6">
        <v>45717</v>
      </c>
      <c r="B292" t="s">
        <v>147</v>
      </c>
      <c r="C292" t="s">
        <v>138</v>
      </c>
      <c r="D292" s="7">
        <v>2010</v>
      </c>
      <c r="E292" s="8">
        <v>2</v>
      </c>
      <c r="F292" s="8">
        <f t="shared" si="4"/>
        <v>272</v>
      </c>
      <c r="G292" s="8">
        <v>2717</v>
      </c>
      <c r="H292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953.43399999999997</v>
      </c>
      <c r="I292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292" s="10">
        <f>MarketingSpend[[#This Row],[Actual Revenue]]/MarketingSpend[[#This Row],[Spend]]</f>
        <v>0.47434527363184076</v>
      </c>
      <c r="K292" s="20">
        <f>MarketingSpend[[#This Row],[Total Orders]]/MarketingSpend[[#This Row],[Lead]]</f>
        <v>7.3529411764705881E-3</v>
      </c>
    </row>
    <row r="293" spans="1:11">
      <c r="A293" s="6">
        <v>45717</v>
      </c>
      <c r="B293" t="s">
        <v>100</v>
      </c>
      <c r="C293" t="s">
        <v>138</v>
      </c>
      <c r="D293" s="7">
        <v>3340</v>
      </c>
      <c r="E293" s="8">
        <v>5</v>
      </c>
      <c r="F293" s="8">
        <f t="shared" si="4"/>
        <v>585</v>
      </c>
      <c r="G293" s="8">
        <v>5842</v>
      </c>
      <c r="H293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787.11360000000002</v>
      </c>
      <c r="I293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293" s="10">
        <f>MarketingSpend[[#This Row],[Actual Revenue]]/MarketingSpend[[#This Row],[Spend]]</f>
        <v>0.23566275449101798</v>
      </c>
      <c r="K293" s="20">
        <f>MarketingSpend[[#This Row],[Total Orders]]/MarketingSpend[[#This Row],[Lead]]</f>
        <v>1.7094017094017094E-3</v>
      </c>
    </row>
    <row r="294" spans="1:11">
      <c r="A294" s="6">
        <v>45717</v>
      </c>
      <c r="B294" t="s">
        <v>79</v>
      </c>
      <c r="C294" t="s">
        <v>138</v>
      </c>
      <c r="D294" s="7">
        <v>3886</v>
      </c>
      <c r="E294" s="8">
        <v>3</v>
      </c>
      <c r="F294" s="8">
        <f t="shared" si="4"/>
        <v>993</v>
      </c>
      <c r="G294" s="8">
        <v>9921</v>
      </c>
      <c r="H294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0</v>
      </c>
      <c r="I294">
        <f>COUNTIFS(Cleaned_data[Order Month],TEXT(MarketingSpend[[#This Row],[Month]],"mmmm"),Cleaned_data[Marketing_Channel],MarketingSpend[[#This Row],[Marketing_Channel]],Cleaned_data[Region],MarketingSpend[[#This Row],[Region]])</f>
        <v>0</v>
      </c>
      <c r="J294" s="10">
        <f>MarketingSpend[[#This Row],[Actual Revenue]]/MarketingSpend[[#This Row],[Spend]]</f>
        <v>0</v>
      </c>
      <c r="K294" s="20">
        <f>MarketingSpend[[#This Row],[Total Orders]]/MarketingSpend[[#This Row],[Lead]]</f>
        <v>0</v>
      </c>
    </row>
    <row r="295" spans="1:11">
      <c r="A295" s="6">
        <v>45717</v>
      </c>
      <c r="B295" t="s">
        <v>130</v>
      </c>
      <c r="C295" t="s">
        <v>138</v>
      </c>
      <c r="D295" s="7">
        <v>952</v>
      </c>
      <c r="E295" s="8">
        <v>5</v>
      </c>
      <c r="F295" s="8">
        <f t="shared" si="4"/>
        <v>299</v>
      </c>
      <c r="G295" s="8">
        <v>2990</v>
      </c>
      <c r="H295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3315.4531999999999</v>
      </c>
      <c r="I295">
        <f>COUNTIFS(Cleaned_data[Order Month],TEXT(MarketingSpend[[#This Row],[Month]],"mmmm"),Cleaned_data[Marketing_Channel],MarketingSpend[[#This Row],[Marketing_Channel]],Cleaned_data[Region],MarketingSpend[[#This Row],[Region]])</f>
        <v>5</v>
      </c>
      <c r="J295" s="10">
        <f>MarketingSpend[[#This Row],[Actual Revenue]]/MarketingSpend[[#This Row],[Spend]]</f>
        <v>3.4826189075630252</v>
      </c>
      <c r="K295" s="20">
        <f>MarketingSpend[[#This Row],[Total Orders]]/MarketingSpend[[#This Row],[Lead]]</f>
        <v>1.6722408026755852E-2</v>
      </c>
    </row>
    <row r="296" spans="1:11">
      <c r="A296" s="6">
        <v>45717</v>
      </c>
      <c r="B296" t="s">
        <v>90</v>
      </c>
      <c r="C296" t="s">
        <v>138</v>
      </c>
      <c r="D296" s="7">
        <v>2603</v>
      </c>
      <c r="E296" s="8">
        <v>3</v>
      </c>
      <c r="F296" s="8">
        <f t="shared" si="4"/>
        <v>605</v>
      </c>
      <c r="G296" s="8">
        <v>6049</v>
      </c>
      <c r="H296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818.30569999999989</v>
      </c>
      <c r="I296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296" s="10">
        <f>MarketingSpend[[#This Row],[Actual Revenue]]/MarketingSpend[[#This Row],[Spend]]</f>
        <v>0.31437022666154435</v>
      </c>
      <c r="K296" s="20">
        <f>MarketingSpend[[#This Row],[Total Orders]]/MarketingSpend[[#This Row],[Lead]]</f>
        <v>4.9586776859504135E-3</v>
      </c>
    </row>
    <row r="297" spans="1:11">
      <c r="A297" s="6">
        <v>45717</v>
      </c>
      <c r="B297" t="s">
        <v>147</v>
      </c>
      <c r="C297" t="s">
        <v>194</v>
      </c>
      <c r="D297" s="7">
        <v>1514</v>
      </c>
      <c r="E297" s="8">
        <v>2</v>
      </c>
      <c r="F297" s="8">
        <f t="shared" si="4"/>
        <v>413</v>
      </c>
      <c r="G297" s="8">
        <v>4127</v>
      </c>
      <c r="H297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7360.3856000000005</v>
      </c>
      <c r="I297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297" s="10">
        <f>MarketingSpend[[#This Row],[Actual Revenue]]/MarketingSpend[[#This Row],[Spend]]</f>
        <v>4.861549273447821</v>
      </c>
      <c r="K297" s="20">
        <f>MarketingSpend[[#This Row],[Total Orders]]/MarketingSpend[[#This Row],[Lead]]</f>
        <v>9.6852300242130755E-3</v>
      </c>
    </row>
    <row r="298" spans="1:11">
      <c r="A298" s="6">
        <v>45717</v>
      </c>
      <c r="B298" t="s">
        <v>100</v>
      </c>
      <c r="C298" t="s">
        <v>194</v>
      </c>
      <c r="D298" s="7">
        <v>3170</v>
      </c>
      <c r="E298" s="8">
        <v>3</v>
      </c>
      <c r="F298" s="8">
        <f t="shared" si="4"/>
        <v>454</v>
      </c>
      <c r="G298" s="8">
        <v>4531</v>
      </c>
      <c r="H298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231.43219999999999</v>
      </c>
      <c r="I298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298" s="10">
        <f>MarketingSpend[[#This Row],[Actual Revenue]]/MarketingSpend[[#This Row],[Spend]]</f>
        <v>7.3007003154574132E-2</v>
      </c>
      <c r="K298" s="20">
        <f>MarketingSpend[[#This Row],[Total Orders]]/MarketingSpend[[#This Row],[Lead]]</f>
        <v>6.6079295154185024E-3</v>
      </c>
    </row>
    <row r="299" spans="1:11">
      <c r="A299" s="6">
        <v>45717</v>
      </c>
      <c r="B299" t="s">
        <v>79</v>
      </c>
      <c r="C299" t="s">
        <v>194</v>
      </c>
      <c r="D299" s="7">
        <v>3476</v>
      </c>
      <c r="E299" s="8">
        <v>2</v>
      </c>
      <c r="F299" s="8">
        <f t="shared" si="4"/>
        <v>883</v>
      </c>
      <c r="G299" s="8">
        <v>8826</v>
      </c>
      <c r="H299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1030.4395999999999</v>
      </c>
      <c r="I299">
        <f>COUNTIFS(Cleaned_data[Order Month],TEXT(MarketingSpend[[#This Row],[Month]],"mmmm"),Cleaned_data[Marketing_Channel],MarketingSpend[[#This Row],[Marketing_Channel]],Cleaned_data[Region],MarketingSpend[[#This Row],[Region]])</f>
        <v>5</v>
      </c>
      <c r="J299" s="10">
        <f>MarketingSpend[[#This Row],[Actual Revenue]]/MarketingSpend[[#This Row],[Spend]]</f>
        <v>0.29644407364787112</v>
      </c>
      <c r="K299" s="20">
        <f>MarketingSpend[[#This Row],[Total Orders]]/MarketingSpend[[#This Row],[Lead]]</f>
        <v>5.6625141562853904E-3</v>
      </c>
    </row>
    <row r="300" spans="1:11">
      <c r="A300" s="6">
        <v>45717</v>
      </c>
      <c r="B300" t="s">
        <v>130</v>
      </c>
      <c r="C300" t="s">
        <v>194</v>
      </c>
      <c r="D300" s="7">
        <v>1136</v>
      </c>
      <c r="E300" s="8">
        <v>3</v>
      </c>
      <c r="F300" s="8">
        <f t="shared" si="4"/>
        <v>248</v>
      </c>
      <c r="G300" s="8">
        <v>2477</v>
      </c>
      <c r="H300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2025.5130999999999</v>
      </c>
      <c r="I300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300" s="10">
        <f>MarketingSpend[[#This Row],[Actual Revenue]]/MarketingSpend[[#This Row],[Spend]]</f>
        <v>1.7830220950704225</v>
      </c>
      <c r="K300" s="20">
        <f>MarketingSpend[[#This Row],[Total Orders]]/MarketingSpend[[#This Row],[Lead]]</f>
        <v>8.0645161290322578E-3</v>
      </c>
    </row>
    <row r="301" spans="1:11">
      <c r="A301" s="6">
        <v>45717</v>
      </c>
      <c r="B301" t="s">
        <v>90</v>
      </c>
      <c r="C301" t="s">
        <v>194</v>
      </c>
      <c r="D301" s="7">
        <v>2056</v>
      </c>
      <c r="E301" s="8">
        <v>5</v>
      </c>
      <c r="F301" s="8">
        <f t="shared" si="4"/>
        <v>544</v>
      </c>
      <c r="G301" s="8">
        <v>5438</v>
      </c>
      <c r="H301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1430.1404</v>
      </c>
      <c r="I301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301" s="10">
        <f>MarketingSpend[[#This Row],[Actual Revenue]]/MarketingSpend[[#This Row],[Spend]]</f>
        <v>0.69559357976653702</v>
      </c>
      <c r="K301" s="20">
        <f>MarketingSpend[[#This Row],[Total Orders]]/MarketingSpend[[#This Row],[Lead]]</f>
        <v>3.6764705882352941E-3</v>
      </c>
    </row>
    <row r="302" spans="1:11">
      <c r="A302" s="6">
        <v>45748</v>
      </c>
      <c r="B302" t="s">
        <v>147</v>
      </c>
      <c r="C302" t="s">
        <v>75</v>
      </c>
      <c r="D302" s="7">
        <v>2042</v>
      </c>
      <c r="E302" s="8">
        <v>5</v>
      </c>
      <c r="F302" s="8">
        <f t="shared" si="4"/>
        <v>468</v>
      </c>
      <c r="G302" s="8">
        <v>4679</v>
      </c>
      <c r="H302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1856.2797</v>
      </c>
      <c r="I302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302" s="10">
        <f>MarketingSpend[[#This Row],[Actual Revenue]]/MarketingSpend[[#This Row],[Spend]]</f>
        <v>0.90904980411361413</v>
      </c>
      <c r="K302" s="20">
        <f>MarketingSpend[[#This Row],[Total Orders]]/MarketingSpend[[#This Row],[Lead]]</f>
        <v>6.41025641025641E-3</v>
      </c>
    </row>
    <row r="303" spans="1:11">
      <c r="A303" s="6">
        <v>45748</v>
      </c>
      <c r="B303" t="s">
        <v>100</v>
      </c>
      <c r="C303" t="s">
        <v>75</v>
      </c>
      <c r="D303" s="7">
        <v>3406</v>
      </c>
      <c r="E303" s="8">
        <v>4</v>
      </c>
      <c r="F303" s="8">
        <f t="shared" si="4"/>
        <v>734</v>
      </c>
      <c r="G303" s="8">
        <v>7340</v>
      </c>
      <c r="H303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2424.3640999999998</v>
      </c>
      <c r="I303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303" s="10">
        <f>MarketingSpend[[#This Row],[Actual Revenue]]/MarketingSpend[[#This Row],[Spend]]</f>
        <v>0.71179216089254249</v>
      </c>
      <c r="K303" s="20">
        <f>MarketingSpend[[#This Row],[Total Orders]]/MarketingSpend[[#This Row],[Lead]]</f>
        <v>5.4495912806539508E-3</v>
      </c>
    </row>
    <row r="304" spans="1:11">
      <c r="A304" s="6">
        <v>45748</v>
      </c>
      <c r="B304" t="s">
        <v>79</v>
      </c>
      <c r="C304" t="s">
        <v>75</v>
      </c>
      <c r="D304" s="7">
        <v>5495</v>
      </c>
      <c r="E304" s="8">
        <v>2</v>
      </c>
      <c r="F304" s="8">
        <f t="shared" si="4"/>
        <v>1088</v>
      </c>
      <c r="G304" s="8">
        <v>10872</v>
      </c>
      <c r="H304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1738.7215999999996</v>
      </c>
      <c r="I304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304" s="10">
        <f>MarketingSpend[[#This Row],[Actual Revenue]]/MarketingSpend[[#This Row],[Spend]]</f>
        <v>0.31641885350318466</v>
      </c>
      <c r="K304" s="20">
        <f>MarketingSpend[[#This Row],[Total Orders]]/MarketingSpend[[#This Row],[Lead]]</f>
        <v>1.838235294117647E-3</v>
      </c>
    </row>
    <row r="305" spans="1:11">
      <c r="A305" s="6">
        <v>45748</v>
      </c>
      <c r="B305" t="s">
        <v>130</v>
      </c>
      <c r="C305" t="s">
        <v>75</v>
      </c>
      <c r="D305" s="7">
        <v>1077</v>
      </c>
      <c r="E305" s="8">
        <v>3</v>
      </c>
      <c r="F305" s="8">
        <f t="shared" si="4"/>
        <v>202</v>
      </c>
      <c r="G305" s="8">
        <v>2019</v>
      </c>
      <c r="H305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2845.2091</v>
      </c>
      <c r="I305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305" s="10">
        <f>MarketingSpend[[#This Row],[Actual Revenue]]/MarketingSpend[[#This Row],[Spend]]</f>
        <v>2.6417911792014857</v>
      </c>
      <c r="K305" s="20">
        <f>MarketingSpend[[#This Row],[Total Orders]]/MarketingSpend[[#This Row],[Lead]]</f>
        <v>1.4851485148514851E-2</v>
      </c>
    </row>
    <row r="306" spans="1:11">
      <c r="A306" s="6">
        <v>45748</v>
      </c>
      <c r="B306" t="s">
        <v>90</v>
      </c>
      <c r="C306" t="s">
        <v>75</v>
      </c>
      <c r="D306" s="7">
        <v>2807</v>
      </c>
      <c r="E306" s="8">
        <v>1</v>
      </c>
      <c r="F306" s="8">
        <f t="shared" si="4"/>
        <v>685</v>
      </c>
      <c r="G306" s="8">
        <v>6842</v>
      </c>
      <c r="H306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77.493300000000005</v>
      </c>
      <c r="I306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306" s="10">
        <f>MarketingSpend[[#This Row],[Actual Revenue]]/MarketingSpend[[#This Row],[Spend]]</f>
        <v>2.7607160669754188E-2</v>
      </c>
      <c r="K306" s="20">
        <f>MarketingSpend[[#This Row],[Total Orders]]/MarketingSpend[[#This Row],[Lead]]</f>
        <v>1.4598540145985401E-3</v>
      </c>
    </row>
    <row r="307" spans="1:11">
      <c r="A307" s="6">
        <v>45748</v>
      </c>
      <c r="B307" t="s">
        <v>147</v>
      </c>
      <c r="C307" t="s">
        <v>126</v>
      </c>
      <c r="D307" s="7">
        <v>2439</v>
      </c>
      <c r="E307" s="8">
        <v>5</v>
      </c>
      <c r="F307" s="8">
        <f t="shared" si="4"/>
        <v>496</v>
      </c>
      <c r="G307" s="8">
        <v>4951</v>
      </c>
      <c r="H307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2928.3534000000004</v>
      </c>
      <c r="I307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307" s="10">
        <f>MarketingSpend[[#This Row],[Actual Revenue]]/MarketingSpend[[#This Row],[Spend]]</f>
        <v>1.2006369003690038</v>
      </c>
      <c r="K307" s="20">
        <f>MarketingSpend[[#This Row],[Total Orders]]/MarketingSpend[[#This Row],[Lead]]</f>
        <v>8.0645161290322578E-3</v>
      </c>
    </row>
    <row r="308" spans="1:11">
      <c r="A308" s="6">
        <v>45748</v>
      </c>
      <c r="B308" t="s">
        <v>100</v>
      </c>
      <c r="C308" t="s">
        <v>126</v>
      </c>
      <c r="D308" s="7">
        <v>3505</v>
      </c>
      <c r="E308" s="8">
        <v>2</v>
      </c>
      <c r="F308" s="8">
        <f t="shared" si="4"/>
        <v>860</v>
      </c>
      <c r="G308" s="8">
        <v>8592</v>
      </c>
      <c r="H308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483.32360000000006</v>
      </c>
      <c r="I308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308" s="10">
        <f>MarketingSpend[[#This Row],[Actual Revenue]]/MarketingSpend[[#This Row],[Spend]]</f>
        <v>0.13789546362339516</v>
      </c>
      <c r="K308" s="20">
        <f>MarketingSpend[[#This Row],[Total Orders]]/MarketingSpend[[#This Row],[Lead]]</f>
        <v>1.1627906976744186E-3</v>
      </c>
    </row>
    <row r="309" spans="1:11">
      <c r="A309" s="6">
        <v>45748</v>
      </c>
      <c r="B309" t="s">
        <v>79</v>
      </c>
      <c r="C309" t="s">
        <v>126</v>
      </c>
      <c r="D309" s="7">
        <v>4816</v>
      </c>
      <c r="E309" s="8">
        <v>1</v>
      </c>
      <c r="F309" s="8">
        <f t="shared" si="4"/>
        <v>1097</v>
      </c>
      <c r="G309" s="8">
        <v>10968</v>
      </c>
      <c r="H309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127.04319999999998</v>
      </c>
      <c r="I309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309" s="10">
        <f>MarketingSpend[[#This Row],[Actual Revenue]]/MarketingSpend[[#This Row],[Spend]]</f>
        <v>2.6379401993355478E-2</v>
      </c>
      <c r="K309" s="20">
        <f>MarketingSpend[[#This Row],[Total Orders]]/MarketingSpend[[#This Row],[Lead]]</f>
        <v>9.1157702825888785E-4</v>
      </c>
    </row>
    <row r="310" spans="1:11">
      <c r="A310" s="6">
        <v>45748</v>
      </c>
      <c r="B310" t="s">
        <v>130</v>
      </c>
      <c r="C310" t="s">
        <v>126</v>
      </c>
      <c r="D310" s="7">
        <v>1099</v>
      </c>
      <c r="E310" s="8">
        <v>2</v>
      </c>
      <c r="F310" s="8">
        <f t="shared" si="4"/>
        <v>303</v>
      </c>
      <c r="G310" s="8">
        <v>3026</v>
      </c>
      <c r="H310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0</v>
      </c>
      <c r="I310">
        <f>COUNTIFS(Cleaned_data[Order Month],TEXT(MarketingSpend[[#This Row],[Month]],"mmmm"),Cleaned_data[Marketing_Channel],MarketingSpend[[#This Row],[Marketing_Channel]],Cleaned_data[Region],MarketingSpend[[#This Row],[Region]])</f>
        <v>0</v>
      </c>
      <c r="J310" s="10">
        <f>MarketingSpend[[#This Row],[Actual Revenue]]/MarketingSpend[[#This Row],[Spend]]</f>
        <v>0</v>
      </c>
      <c r="K310" s="20">
        <f>MarketingSpend[[#This Row],[Total Orders]]/MarketingSpend[[#This Row],[Lead]]</f>
        <v>0</v>
      </c>
    </row>
    <row r="311" spans="1:11">
      <c r="A311" s="6">
        <v>45748</v>
      </c>
      <c r="B311" t="s">
        <v>90</v>
      </c>
      <c r="C311" t="s">
        <v>126</v>
      </c>
      <c r="D311" s="7">
        <v>3192</v>
      </c>
      <c r="E311" s="8">
        <v>4</v>
      </c>
      <c r="F311" s="8">
        <f t="shared" si="4"/>
        <v>598</v>
      </c>
      <c r="G311" s="8">
        <v>5972</v>
      </c>
      <c r="H311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371.06380000000001</v>
      </c>
      <c r="I311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311" s="10">
        <f>MarketingSpend[[#This Row],[Actual Revenue]]/MarketingSpend[[#This Row],[Spend]]</f>
        <v>0.11624805764411028</v>
      </c>
      <c r="K311" s="20">
        <f>MarketingSpend[[#This Row],[Total Orders]]/MarketingSpend[[#This Row],[Lead]]</f>
        <v>1.6722408026755853E-3</v>
      </c>
    </row>
    <row r="312" spans="1:11">
      <c r="A312" s="6">
        <v>45748</v>
      </c>
      <c r="B312" t="s">
        <v>147</v>
      </c>
      <c r="C312" t="s">
        <v>138</v>
      </c>
      <c r="D312" s="7">
        <v>1465</v>
      </c>
      <c r="E312" s="8">
        <v>4</v>
      </c>
      <c r="F312" s="8">
        <f t="shared" si="4"/>
        <v>463</v>
      </c>
      <c r="G312" s="8">
        <v>4621</v>
      </c>
      <c r="H312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1568.9255000000001</v>
      </c>
      <c r="I312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312" s="10">
        <f>MarketingSpend[[#This Row],[Actual Revenue]]/MarketingSpend[[#This Row],[Spend]]</f>
        <v>1.0709389078498295</v>
      </c>
      <c r="K312" s="20">
        <f>MarketingSpend[[#This Row],[Total Orders]]/MarketingSpend[[#This Row],[Lead]]</f>
        <v>6.4794816414686825E-3</v>
      </c>
    </row>
    <row r="313" spans="1:11">
      <c r="A313" s="6">
        <v>45748</v>
      </c>
      <c r="B313" t="s">
        <v>100</v>
      </c>
      <c r="C313" t="s">
        <v>138</v>
      </c>
      <c r="D313" s="7">
        <v>3115</v>
      </c>
      <c r="E313" s="8">
        <v>5</v>
      </c>
      <c r="F313" s="8">
        <f t="shared" si="4"/>
        <v>525</v>
      </c>
      <c r="G313" s="8">
        <v>5243</v>
      </c>
      <c r="H313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2262.6741999999999</v>
      </c>
      <c r="I313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313" s="10">
        <f>MarketingSpend[[#This Row],[Actual Revenue]]/MarketingSpend[[#This Row],[Spend]]</f>
        <v>0.72638016051364362</v>
      </c>
      <c r="K313" s="20">
        <f>MarketingSpend[[#This Row],[Total Orders]]/MarketingSpend[[#This Row],[Lead]]</f>
        <v>7.619047619047619E-3</v>
      </c>
    </row>
    <row r="314" spans="1:11">
      <c r="A314" s="6">
        <v>45748</v>
      </c>
      <c r="B314" t="s">
        <v>79</v>
      </c>
      <c r="C314" t="s">
        <v>138</v>
      </c>
      <c r="D314" s="7">
        <v>3746</v>
      </c>
      <c r="E314" s="8">
        <v>4</v>
      </c>
      <c r="F314" s="8">
        <f t="shared" si="4"/>
        <v>1073</v>
      </c>
      <c r="G314" s="8">
        <v>10723</v>
      </c>
      <c r="H314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359.3741</v>
      </c>
      <c r="I314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314" s="10">
        <f>MarketingSpend[[#This Row],[Actual Revenue]]/MarketingSpend[[#This Row],[Spend]]</f>
        <v>9.5935424452749593E-2</v>
      </c>
      <c r="K314" s="20">
        <f>MarketingSpend[[#This Row],[Total Orders]]/MarketingSpend[[#This Row],[Lead]]</f>
        <v>9.3196644920782849E-4</v>
      </c>
    </row>
    <row r="315" spans="1:11">
      <c r="A315" s="6">
        <v>45748</v>
      </c>
      <c r="B315" t="s">
        <v>130</v>
      </c>
      <c r="C315" t="s">
        <v>138</v>
      </c>
      <c r="D315" s="7">
        <v>1236</v>
      </c>
      <c r="E315" s="8">
        <v>2</v>
      </c>
      <c r="F315" s="8">
        <f t="shared" si="4"/>
        <v>182</v>
      </c>
      <c r="G315" s="8">
        <v>1819</v>
      </c>
      <c r="H315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0</v>
      </c>
      <c r="I315">
        <f>COUNTIFS(Cleaned_data[Order Month],TEXT(MarketingSpend[[#This Row],[Month]],"mmmm"),Cleaned_data[Marketing_Channel],MarketingSpend[[#This Row],[Marketing_Channel]],Cleaned_data[Region],MarketingSpend[[#This Row],[Region]])</f>
        <v>0</v>
      </c>
      <c r="J315" s="10">
        <f>MarketingSpend[[#This Row],[Actual Revenue]]/MarketingSpend[[#This Row],[Spend]]</f>
        <v>0</v>
      </c>
      <c r="K315" s="20">
        <f>MarketingSpend[[#This Row],[Total Orders]]/MarketingSpend[[#This Row],[Lead]]</f>
        <v>0</v>
      </c>
    </row>
    <row r="316" spans="1:11">
      <c r="A316" s="6">
        <v>45748</v>
      </c>
      <c r="B316" t="s">
        <v>90</v>
      </c>
      <c r="C316" t="s">
        <v>138</v>
      </c>
      <c r="D316" s="7">
        <v>2797</v>
      </c>
      <c r="E316" s="8">
        <v>4</v>
      </c>
      <c r="F316" s="8">
        <f t="shared" si="4"/>
        <v>545</v>
      </c>
      <c r="G316" s="8">
        <v>5448</v>
      </c>
      <c r="H316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592.92499999999995</v>
      </c>
      <c r="I316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316" s="10">
        <f>MarketingSpend[[#This Row],[Actual Revenue]]/MarketingSpend[[#This Row],[Spend]]</f>
        <v>0.21198605648909544</v>
      </c>
      <c r="K316" s="20">
        <f>MarketingSpend[[#This Row],[Total Orders]]/MarketingSpend[[#This Row],[Lead]]</f>
        <v>1.834862385321101E-3</v>
      </c>
    </row>
    <row r="317" spans="1:11">
      <c r="A317" s="6">
        <v>45748</v>
      </c>
      <c r="B317" t="s">
        <v>147</v>
      </c>
      <c r="C317" t="s">
        <v>194</v>
      </c>
      <c r="D317" s="7">
        <v>1407</v>
      </c>
      <c r="E317" s="8">
        <v>5</v>
      </c>
      <c r="F317" s="8">
        <f t="shared" si="4"/>
        <v>340</v>
      </c>
      <c r="G317" s="8">
        <v>3398</v>
      </c>
      <c r="H317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1026.9736</v>
      </c>
      <c r="I317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317" s="10">
        <f>MarketingSpend[[#This Row],[Actual Revenue]]/MarketingSpend[[#This Row],[Spend]]</f>
        <v>0.72990305614783224</v>
      </c>
      <c r="K317" s="20">
        <f>MarketingSpend[[#This Row],[Total Orders]]/MarketingSpend[[#This Row],[Lead]]</f>
        <v>8.8235294117647058E-3</v>
      </c>
    </row>
    <row r="318" spans="1:11">
      <c r="A318" s="6">
        <v>45748</v>
      </c>
      <c r="B318" t="s">
        <v>100</v>
      </c>
      <c r="C318" t="s">
        <v>194</v>
      </c>
      <c r="D318" s="7">
        <v>3358</v>
      </c>
      <c r="E318" s="8">
        <v>3</v>
      </c>
      <c r="F318" s="8">
        <f t="shared" si="4"/>
        <v>546</v>
      </c>
      <c r="G318" s="8">
        <v>5455</v>
      </c>
      <c r="H318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0</v>
      </c>
      <c r="I318">
        <f>COUNTIFS(Cleaned_data[Order Month],TEXT(MarketingSpend[[#This Row],[Month]],"mmmm"),Cleaned_data[Marketing_Channel],MarketingSpend[[#This Row],[Marketing_Channel]],Cleaned_data[Region],MarketingSpend[[#This Row],[Region]])</f>
        <v>0</v>
      </c>
      <c r="J318" s="10">
        <f>MarketingSpend[[#This Row],[Actual Revenue]]/MarketingSpend[[#This Row],[Spend]]</f>
        <v>0</v>
      </c>
      <c r="K318" s="20">
        <f>MarketingSpend[[#This Row],[Total Orders]]/MarketingSpend[[#This Row],[Lead]]</f>
        <v>0</v>
      </c>
    </row>
    <row r="319" spans="1:11">
      <c r="A319" s="6">
        <v>45748</v>
      </c>
      <c r="B319" t="s">
        <v>79</v>
      </c>
      <c r="C319" t="s">
        <v>194</v>
      </c>
      <c r="D319" s="7">
        <v>3548</v>
      </c>
      <c r="E319" s="8">
        <v>2</v>
      </c>
      <c r="F319" s="8">
        <f t="shared" si="4"/>
        <v>688</v>
      </c>
      <c r="G319" s="8">
        <v>6875</v>
      </c>
      <c r="H319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746.90250000000003</v>
      </c>
      <c r="I319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319" s="10">
        <f>MarketingSpend[[#This Row],[Actual Revenue]]/MarketingSpend[[#This Row],[Spend]]</f>
        <v>0.21051366967305526</v>
      </c>
      <c r="K319" s="20">
        <f>MarketingSpend[[#This Row],[Total Orders]]/MarketingSpend[[#This Row],[Lead]]</f>
        <v>1.4534883720930232E-3</v>
      </c>
    </row>
    <row r="320" spans="1:11">
      <c r="A320" s="6">
        <v>45748</v>
      </c>
      <c r="B320" t="s">
        <v>130</v>
      </c>
      <c r="C320" t="s">
        <v>194</v>
      </c>
      <c r="D320" s="7">
        <v>1031</v>
      </c>
      <c r="E320" s="8">
        <v>5</v>
      </c>
      <c r="F320" s="8">
        <f t="shared" si="4"/>
        <v>192</v>
      </c>
      <c r="G320" s="8">
        <v>1915</v>
      </c>
      <c r="H320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425.59849999999994</v>
      </c>
      <c r="I320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320" s="10">
        <f>MarketingSpend[[#This Row],[Actual Revenue]]/MarketingSpend[[#This Row],[Spend]]</f>
        <v>0.41280164888457804</v>
      </c>
      <c r="K320" s="20">
        <f>MarketingSpend[[#This Row],[Total Orders]]/MarketingSpend[[#This Row],[Lead]]</f>
        <v>2.0833333333333332E-2</v>
      </c>
    </row>
    <row r="321" spans="1:11">
      <c r="A321" s="6">
        <v>45748</v>
      </c>
      <c r="B321" t="s">
        <v>90</v>
      </c>
      <c r="C321" t="s">
        <v>194</v>
      </c>
      <c r="D321" s="7">
        <v>2098</v>
      </c>
      <c r="E321" s="8">
        <v>2</v>
      </c>
      <c r="F321" s="8">
        <f t="shared" si="4"/>
        <v>375</v>
      </c>
      <c r="G321" s="8">
        <v>3749</v>
      </c>
      <c r="H321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0</v>
      </c>
      <c r="I321">
        <f>COUNTIFS(Cleaned_data[Order Month],TEXT(MarketingSpend[[#This Row],[Month]],"mmmm"),Cleaned_data[Marketing_Channel],MarketingSpend[[#This Row],[Marketing_Channel]],Cleaned_data[Region],MarketingSpend[[#This Row],[Region]])</f>
        <v>0</v>
      </c>
      <c r="J321" s="10">
        <f>MarketingSpend[[#This Row],[Actual Revenue]]/MarketingSpend[[#This Row],[Spend]]</f>
        <v>0</v>
      </c>
      <c r="K321" s="20">
        <f>MarketingSpend[[#This Row],[Total Orders]]/MarketingSpend[[#This Row],[Lead]]</f>
        <v>0</v>
      </c>
    </row>
    <row r="322" spans="1:11">
      <c r="A322" s="6">
        <v>45778</v>
      </c>
      <c r="B322" t="s">
        <v>147</v>
      </c>
      <c r="C322" t="s">
        <v>75</v>
      </c>
      <c r="D322" s="7">
        <v>1917</v>
      </c>
      <c r="E322" s="8">
        <v>2</v>
      </c>
      <c r="F322" s="8">
        <f t="shared" ref="F322:F385" si="5">ROUNDUP(G322/10,0)</f>
        <v>370</v>
      </c>
      <c r="G322" s="8">
        <v>3695</v>
      </c>
      <c r="H322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2449.4234999999999</v>
      </c>
      <c r="I322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322" s="10">
        <f>MarketingSpend[[#This Row],[Actual Revenue]]/MarketingSpend[[#This Row],[Spend]]</f>
        <v>1.2777378716744914</v>
      </c>
      <c r="K322" s="20">
        <f>MarketingSpend[[#This Row],[Total Orders]]/MarketingSpend[[#This Row],[Lead]]</f>
        <v>1.0810810810810811E-2</v>
      </c>
    </row>
    <row r="323" spans="1:11">
      <c r="A323" s="6">
        <v>45778</v>
      </c>
      <c r="B323" t="s">
        <v>100</v>
      </c>
      <c r="C323" t="s">
        <v>75</v>
      </c>
      <c r="D323" s="7">
        <v>3495</v>
      </c>
      <c r="E323" s="8">
        <v>2</v>
      </c>
      <c r="F323" s="8">
        <f t="shared" si="5"/>
        <v>616</v>
      </c>
      <c r="G323" s="8">
        <v>6155</v>
      </c>
      <c r="H323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221.75380000000001</v>
      </c>
      <c r="I323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323" s="10">
        <f>MarketingSpend[[#This Row],[Actual Revenue]]/MarketingSpend[[#This Row],[Spend]]</f>
        <v>6.3448869814020037E-2</v>
      </c>
      <c r="K323" s="20">
        <f>MarketingSpend[[#This Row],[Total Orders]]/MarketingSpend[[#This Row],[Lead]]</f>
        <v>3.246753246753247E-3</v>
      </c>
    </row>
    <row r="324" spans="1:11">
      <c r="A324" s="6">
        <v>45778</v>
      </c>
      <c r="B324" t="s">
        <v>79</v>
      </c>
      <c r="C324" t="s">
        <v>75</v>
      </c>
      <c r="D324" s="7">
        <v>5286</v>
      </c>
      <c r="E324" s="8">
        <v>1</v>
      </c>
      <c r="F324" s="8">
        <f t="shared" si="5"/>
        <v>1180</v>
      </c>
      <c r="G324" s="8">
        <v>11794</v>
      </c>
      <c r="H324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3933.2936000000004</v>
      </c>
      <c r="I324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324" s="10">
        <f>MarketingSpend[[#This Row],[Actual Revenue]]/MarketingSpend[[#This Row],[Spend]]</f>
        <v>0.74409640559969736</v>
      </c>
      <c r="K324" s="20">
        <f>MarketingSpend[[#This Row],[Total Orders]]/MarketingSpend[[#This Row],[Lead]]</f>
        <v>3.3898305084745762E-3</v>
      </c>
    </row>
    <row r="325" spans="1:11">
      <c r="A325" s="6">
        <v>45778</v>
      </c>
      <c r="B325" t="s">
        <v>130</v>
      </c>
      <c r="C325" t="s">
        <v>75</v>
      </c>
      <c r="D325" s="7">
        <v>1176</v>
      </c>
      <c r="E325" s="8">
        <v>3</v>
      </c>
      <c r="F325" s="8">
        <f t="shared" si="5"/>
        <v>217</v>
      </c>
      <c r="G325" s="8">
        <v>2162</v>
      </c>
      <c r="H325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4668.542199999999</v>
      </c>
      <c r="I325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325" s="10">
        <f>MarketingSpend[[#This Row],[Actual Revenue]]/MarketingSpend[[#This Row],[Spend]]</f>
        <v>3.9698488095238087</v>
      </c>
      <c r="K325" s="20">
        <f>MarketingSpend[[#This Row],[Total Orders]]/MarketingSpend[[#This Row],[Lead]]</f>
        <v>1.3824884792626729E-2</v>
      </c>
    </row>
    <row r="326" spans="1:11">
      <c r="A326" s="6">
        <v>45778</v>
      </c>
      <c r="B326" t="s">
        <v>90</v>
      </c>
      <c r="C326" t="s">
        <v>75</v>
      </c>
      <c r="D326" s="7">
        <v>2817</v>
      </c>
      <c r="E326" s="8">
        <v>5</v>
      </c>
      <c r="F326" s="8">
        <f t="shared" si="5"/>
        <v>764</v>
      </c>
      <c r="G326" s="8">
        <v>7632</v>
      </c>
      <c r="H326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3056.2901999999999</v>
      </c>
      <c r="I326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326" s="10">
        <f>MarketingSpend[[#This Row],[Actual Revenue]]/MarketingSpend[[#This Row],[Spend]]</f>
        <v>1.0849450479233227</v>
      </c>
      <c r="K326" s="20">
        <f>MarketingSpend[[#This Row],[Total Orders]]/MarketingSpend[[#This Row],[Lead]]</f>
        <v>3.9267015706806281E-3</v>
      </c>
    </row>
    <row r="327" spans="1:11">
      <c r="A327" s="6">
        <v>45778</v>
      </c>
      <c r="B327" t="s">
        <v>147</v>
      </c>
      <c r="C327" t="s">
        <v>126</v>
      </c>
      <c r="D327" s="7">
        <v>2298</v>
      </c>
      <c r="E327" s="8">
        <v>2</v>
      </c>
      <c r="F327" s="8">
        <f t="shared" si="5"/>
        <v>583</v>
      </c>
      <c r="G327" s="8">
        <v>5827</v>
      </c>
      <c r="H327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1325.6869000000002</v>
      </c>
      <c r="I327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327" s="10">
        <f>MarketingSpend[[#This Row],[Actual Revenue]]/MarketingSpend[[#This Row],[Spend]]</f>
        <v>0.57688724978241956</v>
      </c>
      <c r="K327" s="20">
        <f>MarketingSpend[[#This Row],[Total Orders]]/MarketingSpend[[#This Row],[Lead]]</f>
        <v>5.1457975986277877E-3</v>
      </c>
    </row>
    <row r="328" spans="1:11">
      <c r="A328" s="6">
        <v>45778</v>
      </c>
      <c r="B328" t="s">
        <v>100</v>
      </c>
      <c r="C328" t="s">
        <v>126</v>
      </c>
      <c r="D328" s="7">
        <v>4271</v>
      </c>
      <c r="E328" s="8">
        <v>2</v>
      </c>
      <c r="F328" s="8">
        <f t="shared" si="5"/>
        <v>1040</v>
      </c>
      <c r="G328" s="8">
        <v>10395</v>
      </c>
      <c r="H328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274.42570000000001</v>
      </c>
      <c r="I328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328" s="10">
        <f>MarketingSpend[[#This Row],[Actual Revenue]]/MarketingSpend[[#This Row],[Spend]]</f>
        <v>6.4253266214001403E-2</v>
      </c>
      <c r="K328" s="20">
        <f>MarketingSpend[[#This Row],[Total Orders]]/MarketingSpend[[#This Row],[Lead]]</f>
        <v>1.9230769230769232E-3</v>
      </c>
    </row>
    <row r="329" spans="1:11">
      <c r="A329" s="6">
        <v>45778</v>
      </c>
      <c r="B329" t="s">
        <v>79</v>
      </c>
      <c r="C329" t="s">
        <v>126</v>
      </c>
      <c r="D329" s="7">
        <v>5433</v>
      </c>
      <c r="E329" s="8">
        <v>3</v>
      </c>
      <c r="F329" s="8">
        <f t="shared" si="5"/>
        <v>1394</v>
      </c>
      <c r="G329" s="8">
        <v>13934</v>
      </c>
      <c r="H329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3598.0806000000002</v>
      </c>
      <c r="I329">
        <f>COUNTIFS(Cleaned_data[Order Month],TEXT(MarketingSpend[[#This Row],[Month]],"mmmm"),Cleaned_data[Marketing_Channel],MarketingSpend[[#This Row],[Marketing_Channel]],Cleaned_data[Region],MarketingSpend[[#This Row],[Region]])</f>
        <v>5</v>
      </c>
      <c r="J329" s="10">
        <f>MarketingSpend[[#This Row],[Actual Revenue]]/MarketingSpend[[#This Row],[Spend]]</f>
        <v>0.66226405300938718</v>
      </c>
      <c r="K329" s="20">
        <f>MarketingSpend[[#This Row],[Total Orders]]/MarketingSpend[[#This Row],[Lead]]</f>
        <v>3.5868005738880918E-3</v>
      </c>
    </row>
    <row r="330" spans="1:11">
      <c r="A330" s="6">
        <v>45778</v>
      </c>
      <c r="B330" t="s">
        <v>130</v>
      </c>
      <c r="C330" t="s">
        <v>126</v>
      </c>
      <c r="D330" s="7">
        <v>1511</v>
      </c>
      <c r="E330" s="8">
        <v>4</v>
      </c>
      <c r="F330" s="8">
        <f t="shared" si="5"/>
        <v>241</v>
      </c>
      <c r="G330" s="8">
        <v>2405</v>
      </c>
      <c r="H330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1390.9947</v>
      </c>
      <c r="I330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330" s="10">
        <f>MarketingSpend[[#This Row],[Actual Revenue]]/MarketingSpend[[#This Row],[Spend]]</f>
        <v>0.92057888815354072</v>
      </c>
      <c r="K330" s="20">
        <f>MarketingSpend[[#This Row],[Total Orders]]/MarketingSpend[[#This Row],[Lead]]</f>
        <v>1.2448132780082987E-2</v>
      </c>
    </row>
    <row r="331" spans="1:11">
      <c r="A331" s="6">
        <v>45778</v>
      </c>
      <c r="B331" t="s">
        <v>90</v>
      </c>
      <c r="C331" t="s">
        <v>126</v>
      </c>
      <c r="D331" s="7">
        <v>2653</v>
      </c>
      <c r="E331" s="8">
        <v>5</v>
      </c>
      <c r="F331" s="8">
        <f t="shared" si="5"/>
        <v>739</v>
      </c>
      <c r="G331" s="8">
        <v>7381</v>
      </c>
      <c r="H331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40.948099999999997</v>
      </c>
      <c r="I331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331" s="10">
        <f>MarketingSpend[[#This Row],[Actual Revenue]]/MarketingSpend[[#This Row],[Spend]]</f>
        <v>1.5434640030154542E-2</v>
      </c>
      <c r="K331" s="20">
        <f>MarketingSpend[[#This Row],[Total Orders]]/MarketingSpend[[#This Row],[Lead]]</f>
        <v>1.3531799729364006E-3</v>
      </c>
    </row>
    <row r="332" spans="1:11">
      <c r="A332" s="6">
        <v>45778</v>
      </c>
      <c r="B332" t="s">
        <v>147</v>
      </c>
      <c r="C332" t="s">
        <v>138</v>
      </c>
      <c r="D332" s="7">
        <v>2001</v>
      </c>
      <c r="E332" s="8">
        <v>3</v>
      </c>
      <c r="F332" s="8">
        <f t="shared" si="5"/>
        <v>280</v>
      </c>
      <c r="G332" s="8">
        <v>2792</v>
      </c>
      <c r="H332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0</v>
      </c>
      <c r="I332">
        <f>COUNTIFS(Cleaned_data[Order Month],TEXT(MarketingSpend[[#This Row],[Month]],"mmmm"),Cleaned_data[Marketing_Channel],MarketingSpend[[#This Row],[Marketing_Channel]],Cleaned_data[Region],MarketingSpend[[#This Row],[Region]])</f>
        <v>0</v>
      </c>
      <c r="J332" s="10">
        <f>MarketingSpend[[#This Row],[Actual Revenue]]/MarketingSpend[[#This Row],[Spend]]</f>
        <v>0</v>
      </c>
      <c r="K332" s="20">
        <f>MarketingSpend[[#This Row],[Total Orders]]/MarketingSpend[[#This Row],[Lead]]</f>
        <v>0</v>
      </c>
    </row>
    <row r="333" spans="1:11">
      <c r="A333" s="6">
        <v>45778</v>
      </c>
      <c r="B333" t="s">
        <v>100</v>
      </c>
      <c r="C333" t="s">
        <v>138</v>
      </c>
      <c r="D333" s="7">
        <v>2939</v>
      </c>
      <c r="E333" s="8">
        <v>2</v>
      </c>
      <c r="F333" s="8">
        <f t="shared" si="5"/>
        <v>563</v>
      </c>
      <c r="G333" s="8">
        <v>5622</v>
      </c>
      <c r="H333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1313.9448</v>
      </c>
      <c r="I333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333" s="10">
        <f>MarketingSpend[[#This Row],[Actual Revenue]]/MarketingSpend[[#This Row],[Spend]]</f>
        <v>0.44707206532834298</v>
      </c>
      <c r="K333" s="20">
        <f>MarketingSpend[[#This Row],[Total Orders]]/MarketingSpend[[#This Row],[Lead]]</f>
        <v>1.7761989342806395E-3</v>
      </c>
    </row>
    <row r="334" spans="1:11">
      <c r="A334" s="6">
        <v>45778</v>
      </c>
      <c r="B334" t="s">
        <v>79</v>
      </c>
      <c r="C334" t="s">
        <v>138</v>
      </c>
      <c r="D334" s="7">
        <v>3786</v>
      </c>
      <c r="E334" s="8">
        <v>1</v>
      </c>
      <c r="F334" s="8">
        <f t="shared" si="5"/>
        <v>1071</v>
      </c>
      <c r="G334" s="8">
        <v>10706</v>
      </c>
      <c r="H334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0</v>
      </c>
      <c r="I334">
        <f>COUNTIFS(Cleaned_data[Order Month],TEXT(MarketingSpend[[#This Row],[Month]],"mmmm"),Cleaned_data[Marketing_Channel],MarketingSpend[[#This Row],[Marketing_Channel]],Cleaned_data[Region],MarketingSpend[[#This Row],[Region]])</f>
        <v>0</v>
      </c>
      <c r="J334" s="10">
        <f>MarketingSpend[[#This Row],[Actual Revenue]]/MarketingSpend[[#This Row],[Spend]]</f>
        <v>0</v>
      </c>
      <c r="K334" s="20">
        <f>MarketingSpend[[#This Row],[Total Orders]]/MarketingSpend[[#This Row],[Lead]]</f>
        <v>0</v>
      </c>
    </row>
    <row r="335" spans="1:11">
      <c r="A335" s="6">
        <v>45778</v>
      </c>
      <c r="B335" t="s">
        <v>130</v>
      </c>
      <c r="C335" t="s">
        <v>138</v>
      </c>
      <c r="D335" s="7">
        <v>1142</v>
      </c>
      <c r="E335" s="8">
        <v>4</v>
      </c>
      <c r="F335" s="8">
        <f t="shared" si="5"/>
        <v>225</v>
      </c>
      <c r="G335" s="8">
        <v>2245</v>
      </c>
      <c r="H335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706.84799999999996</v>
      </c>
      <c r="I335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335" s="10">
        <f>MarketingSpend[[#This Row],[Actual Revenue]]/MarketingSpend[[#This Row],[Spend]]</f>
        <v>0.61895621716287208</v>
      </c>
      <c r="K335" s="20">
        <f>MarketingSpend[[#This Row],[Total Orders]]/MarketingSpend[[#This Row],[Lead]]</f>
        <v>4.4444444444444444E-3</v>
      </c>
    </row>
    <row r="336" spans="1:11">
      <c r="A336" s="6">
        <v>45778</v>
      </c>
      <c r="B336" t="s">
        <v>90</v>
      </c>
      <c r="C336" t="s">
        <v>138</v>
      </c>
      <c r="D336" s="7">
        <v>2003</v>
      </c>
      <c r="E336" s="8">
        <v>5</v>
      </c>
      <c r="F336" s="8">
        <f t="shared" si="5"/>
        <v>495</v>
      </c>
      <c r="G336" s="8">
        <v>4941</v>
      </c>
      <c r="H336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2064.9492</v>
      </c>
      <c r="I336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336" s="10">
        <f>MarketingSpend[[#This Row],[Actual Revenue]]/MarketingSpend[[#This Row],[Spend]]</f>
        <v>1.0309282076884674</v>
      </c>
      <c r="K336" s="20">
        <f>MarketingSpend[[#This Row],[Total Orders]]/MarketingSpend[[#This Row],[Lead]]</f>
        <v>2.0202020202020202E-3</v>
      </c>
    </row>
    <row r="337" spans="1:11">
      <c r="A337" s="6">
        <v>45778</v>
      </c>
      <c r="B337" t="s">
        <v>147</v>
      </c>
      <c r="C337" t="s">
        <v>194</v>
      </c>
      <c r="D337" s="7">
        <v>1354</v>
      </c>
      <c r="E337" s="8">
        <v>1</v>
      </c>
      <c r="F337" s="8">
        <f t="shared" si="5"/>
        <v>440</v>
      </c>
      <c r="G337" s="8">
        <v>4400</v>
      </c>
      <c r="H337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2443.7136</v>
      </c>
      <c r="I337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337" s="10">
        <f>MarketingSpend[[#This Row],[Actual Revenue]]/MarketingSpend[[#This Row],[Spend]]</f>
        <v>1.8048106351550961</v>
      </c>
      <c r="K337" s="20">
        <f>MarketingSpend[[#This Row],[Total Orders]]/MarketingSpend[[#This Row],[Lead]]</f>
        <v>6.8181818181818179E-3</v>
      </c>
    </row>
    <row r="338" spans="1:11">
      <c r="A338" s="6">
        <v>45778</v>
      </c>
      <c r="B338" t="s">
        <v>100</v>
      </c>
      <c r="C338" t="s">
        <v>194</v>
      </c>
      <c r="D338" s="7">
        <v>3312</v>
      </c>
      <c r="E338" s="8">
        <v>3</v>
      </c>
      <c r="F338" s="8">
        <f t="shared" si="5"/>
        <v>472</v>
      </c>
      <c r="G338" s="8">
        <v>4719</v>
      </c>
      <c r="H338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2130.1161000000002</v>
      </c>
      <c r="I338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338" s="10">
        <f>MarketingSpend[[#This Row],[Actual Revenue]]/MarketingSpend[[#This Row],[Spend]]</f>
        <v>0.64315099637681161</v>
      </c>
      <c r="K338" s="20">
        <f>MarketingSpend[[#This Row],[Total Orders]]/MarketingSpend[[#This Row],[Lead]]</f>
        <v>8.4745762711864406E-3</v>
      </c>
    </row>
    <row r="339" spans="1:11">
      <c r="A339" s="6">
        <v>45778</v>
      </c>
      <c r="B339" t="s">
        <v>79</v>
      </c>
      <c r="C339" t="s">
        <v>194</v>
      </c>
      <c r="D339" s="7">
        <v>4797</v>
      </c>
      <c r="E339" s="8">
        <v>4</v>
      </c>
      <c r="F339" s="8">
        <f t="shared" si="5"/>
        <v>789</v>
      </c>
      <c r="G339" s="8">
        <v>7886</v>
      </c>
      <c r="H339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1903.1522000000002</v>
      </c>
      <c r="I339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339" s="10">
        <f>MarketingSpend[[#This Row],[Actual Revenue]]/MarketingSpend[[#This Row],[Spend]]</f>
        <v>0.39673800291849076</v>
      </c>
      <c r="K339" s="20">
        <f>MarketingSpend[[#This Row],[Total Orders]]/MarketingSpend[[#This Row],[Lead]]</f>
        <v>2.5348542458808617E-3</v>
      </c>
    </row>
    <row r="340" spans="1:11">
      <c r="A340" s="6">
        <v>45778</v>
      </c>
      <c r="B340" t="s">
        <v>130</v>
      </c>
      <c r="C340" t="s">
        <v>194</v>
      </c>
      <c r="D340" s="7">
        <v>1008</v>
      </c>
      <c r="E340" s="8">
        <v>2</v>
      </c>
      <c r="F340" s="8">
        <f t="shared" si="5"/>
        <v>166</v>
      </c>
      <c r="G340" s="8">
        <v>1659</v>
      </c>
      <c r="H340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62.924500000000002</v>
      </c>
      <c r="I340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340" s="10">
        <f>MarketingSpend[[#This Row],[Actual Revenue]]/MarketingSpend[[#This Row],[Spend]]</f>
        <v>6.2425099206349206E-2</v>
      </c>
      <c r="K340" s="20">
        <f>MarketingSpend[[#This Row],[Total Orders]]/MarketingSpend[[#This Row],[Lead]]</f>
        <v>6.024096385542169E-3</v>
      </c>
    </row>
    <row r="341" spans="1:11">
      <c r="A341" s="6">
        <v>45778</v>
      </c>
      <c r="B341" t="s">
        <v>90</v>
      </c>
      <c r="C341" t="s">
        <v>194</v>
      </c>
      <c r="D341" s="7">
        <v>2626</v>
      </c>
      <c r="E341" s="8">
        <v>4</v>
      </c>
      <c r="F341" s="8">
        <f t="shared" si="5"/>
        <v>354</v>
      </c>
      <c r="G341" s="8">
        <v>3532</v>
      </c>
      <c r="H341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5354.5604000000003</v>
      </c>
      <c r="I341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341" s="10">
        <f>MarketingSpend[[#This Row],[Actual Revenue]]/MarketingSpend[[#This Row],[Spend]]</f>
        <v>2.0390557501904039</v>
      </c>
      <c r="K341" s="20">
        <f>MarketingSpend[[#This Row],[Total Orders]]/MarketingSpend[[#This Row],[Lead]]</f>
        <v>1.1299435028248588E-2</v>
      </c>
    </row>
    <row r="342" spans="1:11">
      <c r="A342" s="6">
        <v>45809</v>
      </c>
      <c r="B342" t="s">
        <v>147</v>
      </c>
      <c r="C342" t="s">
        <v>75</v>
      </c>
      <c r="D342" s="7">
        <v>2117</v>
      </c>
      <c r="E342" s="8">
        <v>5</v>
      </c>
      <c r="F342" s="8">
        <f t="shared" si="5"/>
        <v>485</v>
      </c>
      <c r="G342" s="8">
        <v>4848</v>
      </c>
      <c r="H342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1196.0502999999999</v>
      </c>
      <c r="I342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342" s="10">
        <f>MarketingSpend[[#This Row],[Actual Revenue]]/MarketingSpend[[#This Row],[Spend]]</f>
        <v>0.5649741615493622</v>
      </c>
      <c r="K342" s="20">
        <f>MarketingSpend[[#This Row],[Total Orders]]/MarketingSpend[[#This Row],[Lead]]</f>
        <v>4.1237113402061857E-3</v>
      </c>
    </row>
    <row r="343" spans="1:11">
      <c r="A343" s="6">
        <v>45809</v>
      </c>
      <c r="B343" t="s">
        <v>100</v>
      </c>
      <c r="C343" t="s">
        <v>75</v>
      </c>
      <c r="D343" s="7">
        <v>3756</v>
      </c>
      <c r="E343" s="8">
        <v>4</v>
      </c>
      <c r="F343" s="8">
        <f t="shared" si="5"/>
        <v>618</v>
      </c>
      <c r="G343" s="8">
        <v>6174</v>
      </c>
      <c r="H343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4213.6890000000003</v>
      </c>
      <c r="I343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343" s="10">
        <f>MarketingSpend[[#This Row],[Actual Revenue]]/MarketingSpend[[#This Row],[Spend]]</f>
        <v>1.1218554313099043</v>
      </c>
      <c r="K343" s="20">
        <f>MarketingSpend[[#This Row],[Total Orders]]/MarketingSpend[[#This Row],[Lead]]</f>
        <v>3.2362459546925568E-3</v>
      </c>
    </row>
    <row r="344" spans="1:11">
      <c r="A344" s="6">
        <v>45809</v>
      </c>
      <c r="B344" t="s">
        <v>79</v>
      </c>
      <c r="C344" t="s">
        <v>75</v>
      </c>
      <c r="D344" s="7">
        <v>4838</v>
      </c>
      <c r="E344" s="8">
        <v>5</v>
      </c>
      <c r="F344" s="8">
        <f t="shared" si="5"/>
        <v>1229</v>
      </c>
      <c r="G344" s="8">
        <v>12283</v>
      </c>
      <c r="H344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1914.5297999999998</v>
      </c>
      <c r="I344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344" s="10">
        <f>MarketingSpend[[#This Row],[Actual Revenue]]/MarketingSpend[[#This Row],[Spend]]</f>
        <v>0.39572753203803218</v>
      </c>
      <c r="K344" s="20">
        <f>MarketingSpend[[#This Row],[Total Orders]]/MarketingSpend[[#This Row],[Lead]]</f>
        <v>3.2546786004882017E-3</v>
      </c>
    </row>
    <row r="345" spans="1:11">
      <c r="A345" s="6">
        <v>45809</v>
      </c>
      <c r="B345" t="s">
        <v>130</v>
      </c>
      <c r="C345" t="s">
        <v>75</v>
      </c>
      <c r="D345" s="7">
        <v>1403</v>
      </c>
      <c r="E345" s="8">
        <v>5</v>
      </c>
      <c r="F345" s="8">
        <f t="shared" si="5"/>
        <v>269</v>
      </c>
      <c r="G345" s="8">
        <v>2683</v>
      </c>
      <c r="H345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0</v>
      </c>
      <c r="I345">
        <f>COUNTIFS(Cleaned_data[Order Month],TEXT(MarketingSpend[[#This Row],[Month]],"mmmm"),Cleaned_data[Marketing_Channel],MarketingSpend[[#This Row],[Marketing_Channel]],Cleaned_data[Region],MarketingSpend[[#This Row],[Region]])</f>
        <v>0</v>
      </c>
      <c r="J345" s="10">
        <f>MarketingSpend[[#This Row],[Actual Revenue]]/MarketingSpend[[#This Row],[Spend]]</f>
        <v>0</v>
      </c>
      <c r="K345" s="20">
        <f>MarketingSpend[[#This Row],[Total Orders]]/MarketingSpend[[#This Row],[Lead]]</f>
        <v>0</v>
      </c>
    </row>
    <row r="346" spans="1:11">
      <c r="A346" s="6">
        <v>45809</v>
      </c>
      <c r="B346" t="s">
        <v>90</v>
      </c>
      <c r="C346" t="s">
        <v>75</v>
      </c>
      <c r="D346" s="7">
        <v>2747</v>
      </c>
      <c r="E346" s="8">
        <v>5</v>
      </c>
      <c r="F346" s="8">
        <f t="shared" si="5"/>
        <v>470</v>
      </c>
      <c r="G346" s="8">
        <v>4692</v>
      </c>
      <c r="H346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278.32069999999999</v>
      </c>
      <c r="I346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346" s="10">
        <f>MarketingSpend[[#This Row],[Actual Revenue]]/MarketingSpend[[#This Row],[Spend]]</f>
        <v>0.10131805606115762</v>
      </c>
      <c r="K346" s="20">
        <f>MarketingSpend[[#This Row],[Total Orders]]/MarketingSpend[[#This Row],[Lead]]</f>
        <v>2.1276595744680851E-3</v>
      </c>
    </row>
    <row r="347" spans="1:11">
      <c r="A347" s="6">
        <v>45809</v>
      </c>
      <c r="B347" t="s">
        <v>147</v>
      </c>
      <c r="C347" t="s">
        <v>126</v>
      </c>
      <c r="D347" s="7">
        <v>1911</v>
      </c>
      <c r="E347" s="8">
        <v>4</v>
      </c>
      <c r="F347" s="8">
        <f t="shared" si="5"/>
        <v>345</v>
      </c>
      <c r="G347" s="8">
        <v>3444</v>
      </c>
      <c r="H347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1903.9648</v>
      </c>
      <c r="I347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347" s="10">
        <f>MarketingSpend[[#This Row],[Actual Revenue]]/MarketingSpend[[#This Row],[Spend]]</f>
        <v>0.99631857666143375</v>
      </c>
      <c r="K347" s="20">
        <f>MarketingSpend[[#This Row],[Total Orders]]/MarketingSpend[[#This Row],[Lead]]</f>
        <v>5.7971014492753624E-3</v>
      </c>
    </row>
    <row r="348" spans="1:11">
      <c r="A348" s="6">
        <v>45809</v>
      </c>
      <c r="B348" t="s">
        <v>100</v>
      </c>
      <c r="C348" t="s">
        <v>126</v>
      </c>
      <c r="D348" s="7">
        <v>3585</v>
      </c>
      <c r="E348" s="8">
        <v>2</v>
      </c>
      <c r="F348" s="8">
        <f t="shared" si="5"/>
        <v>671</v>
      </c>
      <c r="G348" s="8">
        <v>6704</v>
      </c>
      <c r="H348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534.10040000000004</v>
      </c>
      <c r="I348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348" s="10">
        <f>MarketingSpend[[#This Row],[Actual Revenue]]/MarketingSpend[[#This Row],[Spend]]</f>
        <v>0.14898198047419806</v>
      </c>
      <c r="K348" s="20">
        <f>MarketingSpend[[#This Row],[Total Orders]]/MarketingSpend[[#This Row],[Lead]]</f>
        <v>2.9806259314456036E-3</v>
      </c>
    </row>
    <row r="349" spans="1:11">
      <c r="A349" s="6">
        <v>45809</v>
      </c>
      <c r="B349" t="s">
        <v>79</v>
      </c>
      <c r="C349" t="s">
        <v>126</v>
      </c>
      <c r="D349" s="7">
        <v>6298</v>
      </c>
      <c r="E349" s="8">
        <v>1</v>
      </c>
      <c r="F349" s="8">
        <f t="shared" si="5"/>
        <v>1490</v>
      </c>
      <c r="G349" s="8">
        <v>14898</v>
      </c>
      <c r="H349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4502.7583999999997</v>
      </c>
      <c r="I349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349" s="10">
        <f>MarketingSpend[[#This Row],[Actual Revenue]]/MarketingSpend[[#This Row],[Spend]]</f>
        <v>0.71495052397586534</v>
      </c>
      <c r="K349" s="20">
        <f>MarketingSpend[[#This Row],[Total Orders]]/MarketingSpend[[#This Row],[Lead]]</f>
        <v>1.3422818791946308E-3</v>
      </c>
    </row>
    <row r="350" spans="1:11">
      <c r="A350" s="6">
        <v>45809</v>
      </c>
      <c r="B350" t="s">
        <v>130</v>
      </c>
      <c r="C350" t="s">
        <v>126</v>
      </c>
      <c r="D350" s="7">
        <v>1250</v>
      </c>
      <c r="E350" s="8">
        <v>2</v>
      </c>
      <c r="F350" s="8">
        <f t="shared" si="5"/>
        <v>228</v>
      </c>
      <c r="G350" s="8">
        <v>2277</v>
      </c>
      <c r="H350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80.247799999999998</v>
      </c>
      <c r="I350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350" s="10">
        <f>MarketingSpend[[#This Row],[Actual Revenue]]/MarketingSpend[[#This Row],[Spend]]</f>
        <v>6.4198240000000004E-2</v>
      </c>
      <c r="K350" s="20">
        <f>MarketingSpend[[#This Row],[Total Orders]]/MarketingSpend[[#This Row],[Lead]]</f>
        <v>4.3859649122807015E-3</v>
      </c>
    </row>
    <row r="351" spans="1:11">
      <c r="A351" s="6">
        <v>45809</v>
      </c>
      <c r="B351" t="s">
        <v>90</v>
      </c>
      <c r="C351" t="s">
        <v>126</v>
      </c>
      <c r="D351" s="7">
        <v>2575</v>
      </c>
      <c r="E351" s="8">
        <v>2</v>
      </c>
      <c r="F351" s="8">
        <f t="shared" si="5"/>
        <v>515</v>
      </c>
      <c r="G351" s="8">
        <v>5144</v>
      </c>
      <c r="H351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353.09370000000001</v>
      </c>
      <c r="I351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351" s="10">
        <f>MarketingSpend[[#This Row],[Actual Revenue]]/MarketingSpend[[#This Row],[Spend]]</f>
        <v>0.13712376699029127</v>
      </c>
      <c r="K351" s="20">
        <f>MarketingSpend[[#This Row],[Total Orders]]/MarketingSpend[[#This Row],[Lead]]</f>
        <v>5.8252427184466021E-3</v>
      </c>
    </row>
    <row r="352" spans="1:11">
      <c r="A352" s="6">
        <v>45809</v>
      </c>
      <c r="B352" t="s">
        <v>147</v>
      </c>
      <c r="C352" t="s">
        <v>138</v>
      </c>
      <c r="D352" s="7">
        <v>1904</v>
      </c>
      <c r="E352" s="8">
        <v>5</v>
      </c>
      <c r="F352" s="8">
        <f t="shared" si="5"/>
        <v>290</v>
      </c>
      <c r="G352" s="8">
        <v>2891</v>
      </c>
      <c r="H352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1248.5434</v>
      </c>
      <c r="I352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352" s="10">
        <f>MarketingSpend[[#This Row],[Actual Revenue]]/MarketingSpend[[#This Row],[Spend]]</f>
        <v>0.65574758403361344</v>
      </c>
      <c r="K352" s="20">
        <f>MarketingSpend[[#This Row],[Total Orders]]/MarketingSpend[[#This Row],[Lead]]</f>
        <v>6.8965517241379309E-3</v>
      </c>
    </row>
    <row r="353" spans="1:11">
      <c r="A353" s="6">
        <v>45809</v>
      </c>
      <c r="B353" t="s">
        <v>100</v>
      </c>
      <c r="C353" t="s">
        <v>138</v>
      </c>
      <c r="D353" s="7">
        <v>3017</v>
      </c>
      <c r="E353" s="8">
        <v>3</v>
      </c>
      <c r="F353" s="8">
        <f t="shared" si="5"/>
        <v>622</v>
      </c>
      <c r="G353" s="8">
        <v>6220</v>
      </c>
      <c r="H353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2837.1686</v>
      </c>
      <c r="I353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353" s="10">
        <f>MarketingSpend[[#This Row],[Actual Revenue]]/MarketingSpend[[#This Row],[Spend]]</f>
        <v>0.94039396751740134</v>
      </c>
      <c r="K353" s="20">
        <f>MarketingSpend[[#This Row],[Total Orders]]/MarketingSpend[[#This Row],[Lead]]</f>
        <v>4.8231511254019296E-3</v>
      </c>
    </row>
    <row r="354" spans="1:11">
      <c r="A354" s="6">
        <v>45809</v>
      </c>
      <c r="B354" t="s">
        <v>79</v>
      </c>
      <c r="C354" t="s">
        <v>138</v>
      </c>
      <c r="D354" s="7">
        <v>4098</v>
      </c>
      <c r="E354" s="8">
        <v>4</v>
      </c>
      <c r="F354" s="8">
        <f t="shared" si="5"/>
        <v>848</v>
      </c>
      <c r="G354" s="8">
        <v>8471</v>
      </c>
      <c r="H354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3380.8360000000007</v>
      </c>
      <c r="I354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354" s="10">
        <f>MarketingSpend[[#This Row],[Actual Revenue]]/MarketingSpend[[#This Row],[Spend]]</f>
        <v>0.82499658369936568</v>
      </c>
      <c r="K354" s="20">
        <f>MarketingSpend[[#This Row],[Total Orders]]/MarketingSpend[[#This Row],[Lead]]</f>
        <v>4.7169811320754715E-3</v>
      </c>
    </row>
    <row r="355" spans="1:11">
      <c r="A355" s="6">
        <v>45809</v>
      </c>
      <c r="B355" t="s">
        <v>130</v>
      </c>
      <c r="C355" t="s">
        <v>138</v>
      </c>
      <c r="D355" s="7">
        <v>1090</v>
      </c>
      <c r="E355" s="8">
        <v>2</v>
      </c>
      <c r="F355" s="8">
        <f t="shared" si="5"/>
        <v>193</v>
      </c>
      <c r="G355" s="8">
        <v>1930</v>
      </c>
      <c r="H355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441.08859999999999</v>
      </c>
      <c r="I355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355" s="10">
        <f>MarketingSpend[[#This Row],[Actual Revenue]]/MarketingSpend[[#This Row],[Spend]]</f>
        <v>0.40466844036697247</v>
      </c>
      <c r="K355" s="20">
        <f>MarketingSpend[[#This Row],[Total Orders]]/MarketingSpend[[#This Row],[Lead]]</f>
        <v>1.0362694300518135E-2</v>
      </c>
    </row>
    <row r="356" spans="1:11">
      <c r="A356" s="6">
        <v>45809</v>
      </c>
      <c r="B356" t="s">
        <v>90</v>
      </c>
      <c r="C356" t="s">
        <v>138</v>
      </c>
      <c r="D356" s="7">
        <v>2447</v>
      </c>
      <c r="E356" s="8">
        <v>3</v>
      </c>
      <c r="F356" s="8">
        <f t="shared" si="5"/>
        <v>469</v>
      </c>
      <c r="G356" s="8">
        <v>4687</v>
      </c>
      <c r="H356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1241.2329999999999</v>
      </c>
      <c r="I356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356" s="10">
        <f>MarketingSpend[[#This Row],[Actual Revenue]]/MarketingSpend[[#This Row],[Spend]]</f>
        <v>0.50724683285655903</v>
      </c>
      <c r="K356" s="20">
        <f>MarketingSpend[[#This Row],[Total Orders]]/MarketingSpend[[#This Row],[Lead]]</f>
        <v>4.2643923240938165E-3</v>
      </c>
    </row>
    <row r="357" spans="1:11">
      <c r="A357" s="6">
        <v>45809</v>
      </c>
      <c r="B357" t="s">
        <v>147</v>
      </c>
      <c r="C357" t="s">
        <v>194</v>
      </c>
      <c r="D357" s="7">
        <v>1798</v>
      </c>
      <c r="E357" s="8">
        <v>3</v>
      </c>
      <c r="F357" s="8">
        <f t="shared" si="5"/>
        <v>366</v>
      </c>
      <c r="G357" s="8">
        <v>3657</v>
      </c>
      <c r="H357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4146.6221999999998</v>
      </c>
      <c r="I357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357" s="10">
        <f>MarketingSpend[[#This Row],[Actual Revenue]]/MarketingSpend[[#This Row],[Spend]]</f>
        <v>2.3062414905450499</v>
      </c>
      <c r="K357" s="20">
        <f>MarketingSpend[[#This Row],[Total Orders]]/MarketingSpend[[#This Row],[Lead]]</f>
        <v>5.4644808743169399E-3</v>
      </c>
    </row>
    <row r="358" spans="1:11">
      <c r="A358" s="6">
        <v>45809</v>
      </c>
      <c r="B358" t="s">
        <v>100</v>
      </c>
      <c r="C358" t="s">
        <v>194</v>
      </c>
      <c r="D358" s="7">
        <v>2954</v>
      </c>
      <c r="E358" s="8">
        <v>3</v>
      </c>
      <c r="F358" s="8">
        <f t="shared" si="5"/>
        <v>534</v>
      </c>
      <c r="G358" s="8">
        <v>5336</v>
      </c>
      <c r="H358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2777.67</v>
      </c>
      <c r="I358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358" s="10">
        <f>MarketingSpend[[#This Row],[Actual Revenue]]/MarketingSpend[[#This Row],[Spend]]</f>
        <v>0.94030805687203789</v>
      </c>
      <c r="K358" s="20">
        <f>MarketingSpend[[#This Row],[Total Orders]]/MarketingSpend[[#This Row],[Lead]]</f>
        <v>3.7453183520599251E-3</v>
      </c>
    </row>
    <row r="359" spans="1:11">
      <c r="A359" s="6">
        <v>45809</v>
      </c>
      <c r="B359" t="s">
        <v>79</v>
      </c>
      <c r="C359" t="s">
        <v>194</v>
      </c>
      <c r="D359" s="7">
        <v>3838</v>
      </c>
      <c r="E359" s="8">
        <v>2</v>
      </c>
      <c r="F359" s="8">
        <f t="shared" si="5"/>
        <v>887</v>
      </c>
      <c r="G359" s="8">
        <v>8861</v>
      </c>
      <c r="H359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3441.4056</v>
      </c>
      <c r="I359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359" s="10">
        <f>MarketingSpend[[#This Row],[Actual Revenue]]/MarketingSpend[[#This Row],[Spend]]</f>
        <v>0.89666638874413762</v>
      </c>
      <c r="K359" s="20">
        <f>MarketingSpend[[#This Row],[Total Orders]]/MarketingSpend[[#This Row],[Lead]]</f>
        <v>2.2547914317925591E-3</v>
      </c>
    </row>
    <row r="360" spans="1:11">
      <c r="A360" s="6">
        <v>45809</v>
      </c>
      <c r="B360" t="s">
        <v>130</v>
      </c>
      <c r="C360" t="s">
        <v>194</v>
      </c>
      <c r="D360" s="7">
        <v>977</v>
      </c>
      <c r="E360" s="8">
        <v>5</v>
      </c>
      <c r="F360" s="8">
        <f t="shared" si="5"/>
        <v>185</v>
      </c>
      <c r="G360" s="8">
        <v>1845</v>
      </c>
      <c r="H360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0</v>
      </c>
      <c r="I360">
        <f>COUNTIFS(Cleaned_data[Order Month],TEXT(MarketingSpend[[#This Row],[Month]],"mmmm"),Cleaned_data[Marketing_Channel],MarketingSpend[[#This Row],[Marketing_Channel]],Cleaned_data[Region],MarketingSpend[[#This Row],[Region]])</f>
        <v>0</v>
      </c>
      <c r="J360" s="10">
        <f>MarketingSpend[[#This Row],[Actual Revenue]]/MarketingSpend[[#This Row],[Spend]]</f>
        <v>0</v>
      </c>
      <c r="K360" s="20">
        <f>MarketingSpend[[#This Row],[Total Orders]]/MarketingSpend[[#This Row],[Lead]]</f>
        <v>0</v>
      </c>
    </row>
    <row r="361" spans="1:11">
      <c r="A361" s="6">
        <v>45809</v>
      </c>
      <c r="B361" t="s">
        <v>90</v>
      </c>
      <c r="C361" t="s">
        <v>194</v>
      </c>
      <c r="D361" s="7">
        <v>2044</v>
      </c>
      <c r="E361" s="8">
        <v>3</v>
      </c>
      <c r="F361" s="8">
        <f t="shared" si="5"/>
        <v>470</v>
      </c>
      <c r="G361" s="8">
        <v>4695</v>
      </c>
      <c r="H361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605.71</v>
      </c>
      <c r="I361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361" s="10">
        <f>MarketingSpend[[#This Row],[Actual Revenue]]/MarketingSpend[[#This Row],[Spend]]</f>
        <v>0.29633561643835621</v>
      </c>
      <c r="K361" s="20">
        <f>MarketingSpend[[#This Row],[Total Orders]]/MarketingSpend[[#This Row],[Lead]]</f>
        <v>2.1276595744680851E-3</v>
      </c>
    </row>
    <row r="362" spans="1:11">
      <c r="A362" s="6">
        <v>45839</v>
      </c>
      <c r="B362" t="s">
        <v>147</v>
      </c>
      <c r="C362" t="s">
        <v>75</v>
      </c>
      <c r="D362" s="7">
        <v>1975</v>
      </c>
      <c r="E362" s="8">
        <v>2</v>
      </c>
      <c r="F362" s="8">
        <f t="shared" si="5"/>
        <v>538</v>
      </c>
      <c r="G362" s="8">
        <v>5371</v>
      </c>
      <c r="H362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1352.0564999999999</v>
      </c>
      <c r="I362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362" s="10">
        <f>MarketingSpend[[#This Row],[Actual Revenue]]/MarketingSpend[[#This Row],[Spend]]</f>
        <v>0.68458556962025308</v>
      </c>
      <c r="K362" s="20">
        <f>MarketingSpend[[#This Row],[Total Orders]]/MarketingSpend[[#This Row],[Lead]]</f>
        <v>1.8587360594795538E-3</v>
      </c>
    </row>
    <row r="363" spans="1:11">
      <c r="A363" s="6">
        <v>45839</v>
      </c>
      <c r="B363" t="s">
        <v>100</v>
      </c>
      <c r="C363" t="s">
        <v>75</v>
      </c>
      <c r="D363" s="7">
        <v>3065</v>
      </c>
      <c r="E363" s="8">
        <v>5</v>
      </c>
      <c r="F363" s="8">
        <f t="shared" si="5"/>
        <v>852</v>
      </c>
      <c r="G363" s="8">
        <v>8515</v>
      </c>
      <c r="H363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398.55719999999997</v>
      </c>
      <c r="I363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363" s="10">
        <f>MarketingSpend[[#This Row],[Actual Revenue]]/MarketingSpend[[#This Row],[Spend]]</f>
        <v>0.13003497553017943</v>
      </c>
      <c r="K363" s="20">
        <f>MarketingSpend[[#This Row],[Total Orders]]/MarketingSpend[[#This Row],[Lead]]</f>
        <v>2.3474178403755869E-3</v>
      </c>
    </row>
    <row r="364" spans="1:11">
      <c r="A364" s="6">
        <v>45839</v>
      </c>
      <c r="B364" t="s">
        <v>79</v>
      </c>
      <c r="C364" t="s">
        <v>75</v>
      </c>
      <c r="D364" s="7">
        <v>5009</v>
      </c>
      <c r="E364" s="8">
        <v>5</v>
      </c>
      <c r="F364" s="8">
        <f t="shared" si="5"/>
        <v>1010</v>
      </c>
      <c r="G364" s="8">
        <v>10095</v>
      </c>
      <c r="H364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5855.5655000000006</v>
      </c>
      <c r="I364">
        <f>COUNTIFS(Cleaned_data[Order Month],TEXT(MarketingSpend[[#This Row],[Month]],"mmmm"),Cleaned_data[Marketing_Channel],MarketingSpend[[#This Row],[Marketing_Channel]],Cleaned_data[Region],MarketingSpend[[#This Row],[Region]])</f>
        <v>5</v>
      </c>
      <c r="J364" s="10">
        <f>MarketingSpend[[#This Row],[Actual Revenue]]/MarketingSpend[[#This Row],[Spend]]</f>
        <v>1.1690088840087842</v>
      </c>
      <c r="K364" s="20">
        <f>MarketingSpend[[#This Row],[Total Orders]]/MarketingSpend[[#This Row],[Lead]]</f>
        <v>4.9504950495049506E-3</v>
      </c>
    </row>
    <row r="365" spans="1:11">
      <c r="A365" s="6">
        <v>45839</v>
      </c>
      <c r="B365" t="s">
        <v>130</v>
      </c>
      <c r="C365" t="s">
        <v>75</v>
      </c>
      <c r="D365" s="7">
        <v>1033</v>
      </c>
      <c r="E365" s="8">
        <v>3</v>
      </c>
      <c r="F365" s="8">
        <f t="shared" si="5"/>
        <v>269</v>
      </c>
      <c r="G365" s="8">
        <v>2683</v>
      </c>
      <c r="H365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342.05939999999998</v>
      </c>
      <c r="I365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365" s="10">
        <f>MarketingSpend[[#This Row],[Actual Revenue]]/MarketingSpend[[#This Row],[Spend]]</f>
        <v>0.33113204259438528</v>
      </c>
      <c r="K365" s="20">
        <f>MarketingSpend[[#This Row],[Total Orders]]/MarketingSpend[[#This Row],[Lead]]</f>
        <v>7.4349442379182153E-3</v>
      </c>
    </row>
    <row r="366" spans="1:11">
      <c r="A366" s="6">
        <v>45839</v>
      </c>
      <c r="B366" t="s">
        <v>90</v>
      </c>
      <c r="C366" t="s">
        <v>75</v>
      </c>
      <c r="D366" s="7">
        <v>3051</v>
      </c>
      <c r="E366" s="8">
        <v>2</v>
      </c>
      <c r="F366" s="8">
        <f t="shared" si="5"/>
        <v>597</v>
      </c>
      <c r="G366" s="8">
        <v>5963</v>
      </c>
      <c r="H366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176.39160000000001</v>
      </c>
      <c r="I366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366" s="10">
        <f>MarketingSpend[[#This Row],[Actual Revenue]]/MarketingSpend[[#This Row],[Spend]]</f>
        <v>5.7814355948869224E-2</v>
      </c>
      <c r="K366" s="20">
        <f>MarketingSpend[[#This Row],[Total Orders]]/MarketingSpend[[#This Row],[Lead]]</f>
        <v>1.6750418760469012E-3</v>
      </c>
    </row>
    <row r="367" spans="1:11">
      <c r="A367" s="6">
        <v>45839</v>
      </c>
      <c r="B367" t="s">
        <v>147</v>
      </c>
      <c r="C367" t="s">
        <v>126</v>
      </c>
      <c r="D367" s="7">
        <v>2255</v>
      </c>
      <c r="E367" s="8">
        <v>4</v>
      </c>
      <c r="F367" s="8">
        <f t="shared" si="5"/>
        <v>351</v>
      </c>
      <c r="G367" s="8">
        <v>3504</v>
      </c>
      <c r="H367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753.28070000000002</v>
      </c>
      <c r="I367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367" s="10">
        <f>MarketingSpend[[#This Row],[Actual Revenue]]/MarketingSpend[[#This Row],[Spend]]</f>
        <v>0.33404909090909091</v>
      </c>
      <c r="K367" s="20">
        <f>MarketingSpend[[#This Row],[Total Orders]]/MarketingSpend[[#This Row],[Lead]]</f>
        <v>8.5470085470085479E-3</v>
      </c>
    </row>
    <row r="368" spans="1:11">
      <c r="A368" s="6">
        <v>45839</v>
      </c>
      <c r="B368" t="s">
        <v>100</v>
      </c>
      <c r="C368" t="s">
        <v>126</v>
      </c>
      <c r="D368" s="7">
        <v>3267</v>
      </c>
      <c r="E368" s="8">
        <v>2</v>
      </c>
      <c r="F368" s="8">
        <f t="shared" si="5"/>
        <v>1023</v>
      </c>
      <c r="G368" s="8">
        <v>10229</v>
      </c>
      <c r="H368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530.64750000000004</v>
      </c>
      <c r="I368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368" s="10">
        <f>MarketingSpend[[#This Row],[Actual Revenue]]/MarketingSpend[[#This Row],[Spend]]</f>
        <v>0.16242653810835631</v>
      </c>
      <c r="K368" s="20">
        <f>MarketingSpend[[#This Row],[Total Orders]]/MarketingSpend[[#This Row],[Lead]]</f>
        <v>2.9325513196480938E-3</v>
      </c>
    </row>
    <row r="369" spans="1:11">
      <c r="A369" s="6">
        <v>45839</v>
      </c>
      <c r="B369" t="s">
        <v>79</v>
      </c>
      <c r="C369" t="s">
        <v>126</v>
      </c>
      <c r="D369" s="7">
        <v>6175</v>
      </c>
      <c r="E369" s="8">
        <v>5</v>
      </c>
      <c r="F369" s="8">
        <f t="shared" si="5"/>
        <v>1414</v>
      </c>
      <c r="G369" s="8">
        <v>14133</v>
      </c>
      <c r="H369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2700.5113000000001</v>
      </c>
      <c r="I369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369" s="10">
        <f>MarketingSpend[[#This Row],[Actual Revenue]]/MarketingSpend[[#This Row],[Spend]]</f>
        <v>0.43732976518218625</v>
      </c>
      <c r="K369" s="20">
        <f>MarketingSpend[[#This Row],[Total Orders]]/MarketingSpend[[#This Row],[Lead]]</f>
        <v>1.4144271570014145E-3</v>
      </c>
    </row>
    <row r="370" spans="1:11">
      <c r="A370" s="6">
        <v>45839</v>
      </c>
      <c r="B370" t="s">
        <v>130</v>
      </c>
      <c r="C370" t="s">
        <v>126</v>
      </c>
      <c r="D370" s="7">
        <v>1202</v>
      </c>
      <c r="E370" s="8">
        <v>3</v>
      </c>
      <c r="F370" s="8">
        <f t="shared" si="5"/>
        <v>257</v>
      </c>
      <c r="G370" s="8">
        <v>2562</v>
      </c>
      <c r="H370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2239.2565</v>
      </c>
      <c r="I370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370" s="10">
        <f>MarketingSpend[[#This Row],[Actual Revenue]]/MarketingSpend[[#This Row],[Spend]]</f>
        <v>1.8629421797004992</v>
      </c>
      <c r="K370" s="20">
        <f>MarketingSpend[[#This Row],[Total Orders]]/MarketingSpend[[#This Row],[Lead]]</f>
        <v>1.556420233463035E-2</v>
      </c>
    </row>
    <row r="371" spans="1:11">
      <c r="A371" s="6">
        <v>45839</v>
      </c>
      <c r="B371" t="s">
        <v>90</v>
      </c>
      <c r="C371" t="s">
        <v>126</v>
      </c>
      <c r="D371" s="7">
        <v>2884</v>
      </c>
      <c r="E371" s="8">
        <v>2</v>
      </c>
      <c r="F371" s="8">
        <f t="shared" si="5"/>
        <v>644</v>
      </c>
      <c r="G371" s="8">
        <v>6439</v>
      </c>
      <c r="H371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2869.4551000000001</v>
      </c>
      <c r="I371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371" s="10">
        <f>MarketingSpend[[#This Row],[Actual Revenue]]/MarketingSpend[[#This Row],[Spend]]</f>
        <v>0.99495669209431348</v>
      </c>
      <c r="K371" s="20">
        <f>MarketingSpend[[#This Row],[Total Orders]]/MarketingSpend[[#This Row],[Lead]]</f>
        <v>6.2111801242236021E-3</v>
      </c>
    </row>
    <row r="372" spans="1:11">
      <c r="A372" s="6">
        <v>45839</v>
      </c>
      <c r="B372" t="s">
        <v>147</v>
      </c>
      <c r="C372" t="s">
        <v>138</v>
      </c>
      <c r="D372" s="7">
        <v>1903</v>
      </c>
      <c r="E372" s="8">
        <v>5</v>
      </c>
      <c r="F372" s="8">
        <f t="shared" si="5"/>
        <v>361</v>
      </c>
      <c r="G372" s="8">
        <v>3604</v>
      </c>
      <c r="H372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44.134999999999998</v>
      </c>
      <c r="I372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372" s="10">
        <f>MarketingSpend[[#This Row],[Actual Revenue]]/MarketingSpend[[#This Row],[Spend]]</f>
        <v>2.319232790331056E-2</v>
      </c>
      <c r="K372" s="20">
        <f>MarketingSpend[[#This Row],[Total Orders]]/MarketingSpend[[#This Row],[Lead]]</f>
        <v>2.7700831024930748E-3</v>
      </c>
    </row>
    <row r="373" spans="1:11">
      <c r="A373" s="6">
        <v>45839</v>
      </c>
      <c r="B373" t="s">
        <v>100</v>
      </c>
      <c r="C373" t="s">
        <v>138</v>
      </c>
      <c r="D373" s="7">
        <v>3061</v>
      </c>
      <c r="E373" s="8">
        <v>2</v>
      </c>
      <c r="F373" s="8">
        <f t="shared" si="5"/>
        <v>870</v>
      </c>
      <c r="G373" s="8">
        <v>8691</v>
      </c>
      <c r="H373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852.702</v>
      </c>
      <c r="I373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373" s="10">
        <f>MarketingSpend[[#This Row],[Actual Revenue]]/MarketingSpend[[#This Row],[Spend]]</f>
        <v>0.27856974844821952</v>
      </c>
      <c r="K373" s="20">
        <f>MarketingSpend[[#This Row],[Total Orders]]/MarketingSpend[[#This Row],[Lead]]</f>
        <v>3.4482758620689655E-3</v>
      </c>
    </row>
    <row r="374" spans="1:11">
      <c r="A374" s="6">
        <v>45839</v>
      </c>
      <c r="B374" t="s">
        <v>79</v>
      </c>
      <c r="C374" t="s">
        <v>138</v>
      </c>
      <c r="D374" s="7">
        <v>3961</v>
      </c>
      <c r="E374" s="8">
        <v>5</v>
      </c>
      <c r="F374" s="8">
        <f t="shared" si="5"/>
        <v>853</v>
      </c>
      <c r="G374" s="8">
        <v>8524</v>
      </c>
      <c r="H374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2114.8420000000001</v>
      </c>
      <c r="I374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374" s="10">
        <f>MarketingSpend[[#This Row],[Actual Revenue]]/MarketingSpend[[#This Row],[Spend]]</f>
        <v>0.53391618278212571</v>
      </c>
      <c r="K374" s="20">
        <f>MarketingSpend[[#This Row],[Total Orders]]/MarketingSpend[[#This Row],[Lead]]</f>
        <v>4.6893317702227429E-3</v>
      </c>
    </row>
    <row r="375" spans="1:11">
      <c r="A375" s="6">
        <v>45839</v>
      </c>
      <c r="B375" t="s">
        <v>130</v>
      </c>
      <c r="C375" t="s">
        <v>138</v>
      </c>
      <c r="D375" s="7">
        <v>1093</v>
      </c>
      <c r="E375" s="8">
        <v>1</v>
      </c>
      <c r="F375" s="8">
        <f t="shared" si="5"/>
        <v>178</v>
      </c>
      <c r="G375" s="8">
        <v>1777</v>
      </c>
      <c r="H375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0</v>
      </c>
      <c r="I375">
        <f>COUNTIFS(Cleaned_data[Order Month],TEXT(MarketingSpend[[#This Row],[Month]],"mmmm"),Cleaned_data[Marketing_Channel],MarketingSpend[[#This Row],[Marketing_Channel]],Cleaned_data[Region],MarketingSpend[[#This Row],[Region]])</f>
        <v>0</v>
      </c>
      <c r="J375" s="10">
        <f>MarketingSpend[[#This Row],[Actual Revenue]]/MarketingSpend[[#This Row],[Spend]]</f>
        <v>0</v>
      </c>
      <c r="K375" s="20">
        <f>MarketingSpend[[#This Row],[Total Orders]]/MarketingSpend[[#This Row],[Lead]]</f>
        <v>0</v>
      </c>
    </row>
    <row r="376" spans="1:11">
      <c r="A376" s="6">
        <v>45839</v>
      </c>
      <c r="B376" t="s">
        <v>90</v>
      </c>
      <c r="C376" t="s">
        <v>138</v>
      </c>
      <c r="D376" s="7">
        <v>2634</v>
      </c>
      <c r="E376" s="8">
        <v>5</v>
      </c>
      <c r="F376" s="8">
        <f t="shared" si="5"/>
        <v>600</v>
      </c>
      <c r="G376" s="8">
        <v>6000</v>
      </c>
      <c r="H376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0</v>
      </c>
      <c r="I376">
        <f>COUNTIFS(Cleaned_data[Order Month],TEXT(MarketingSpend[[#This Row],[Month]],"mmmm"),Cleaned_data[Marketing_Channel],MarketingSpend[[#This Row],[Marketing_Channel]],Cleaned_data[Region],MarketingSpend[[#This Row],[Region]])</f>
        <v>0</v>
      </c>
      <c r="J376" s="10">
        <f>MarketingSpend[[#This Row],[Actual Revenue]]/MarketingSpend[[#This Row],[Spend]]</f>
        <v>0</v>
      </c>
      <c r="K376" s="20">
        <f>MarketingSpend[[#This Row],[Total Orders]]/MarketingSpend[[#This Row],[Lead]]</f>
        <v>0</v>
      </c>
    </row>
    <row r="377" spans="1:11">
      <c r="A377" s="6">
        <v>45839</v>
      </c>
      <c r="B377" t="s">
        <v>147</v>
      </c>
      <c r="C377" t="s">
        <v>194</v>
      </c>
      <c r="D377" s="7">
        <v>1684</v>
      </c>
      <c r="E377" s="8">
        <v>3</v>
      </c>
      <c r="F377" s="8">
        <f t="shared" si="5"/>
        <v>367</v>
      </c>
      <c r="G377" s="8">
        <v>3669</v>
      </c>
      <c r="H377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3692.393</v>
      </c>
      <c r="I377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377" s="10">
        <f>MarketingSpend[[#This Row],[Actual Revenue]]/MarketingSpend[[#This Row],[Spend]]</f>
        <v>2.1926324228028502</v>
      </c>
      <c r="K377" s="20">
        <f>MarketingSpend[[#This Row],[Total Orders]]/MarketingSpend[[#This Row],[Lead]]</f>
        <v>1.0899182561307902E-2</v>
      </c>
    </row>
    <row r="378" spans="1:11">
      <c r="A378" s="6">
        <v>45839</v>
      </c>
      <c r="B378" t="s">
        <v>100</v>
      </c>
      <c r="C378" t="s">
        <v>194</v>
      </c>
      <c r="D378" s="7">
        <v>2945</v>
      </c>
      <c r="E378" s="8">
        <v>1</v>
      </c>
      <c r="F378" s="8">
        <f t="shared" si="5"/>
        <v>793</v>
      </c>
      <c r="G378" s="8">
        <v>7921</v>
      </c>
      <c r="H378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1980.5930999999998</v>
      </c>
      <c r="I378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378" s="10">
        <f>MarketingSpend[[#This Row],[Actual Revenue]]/MarketingSpend[[#This Row],[Spend]]</f>
        <v>0.67252736842105254</v>
      </c>
      <c r="K378" s="20">
        <f>MarketingSpend[[#This Row],[Total Orders]]/MarketingSpend[[#This Row],[Lead]]</f>
        <v>3.7831021437578815E-3</v>
      </c>
    </row>
    <row r="379" spans="1:11">
      <c r="A379" s="6">
        <v>45839</v>
      </c>
      <c r="B379" t="s">
        <v>79</v>
      </c>
      <c r="C379" t="s">
        <v>194</v>
      </c>
      <c r="D379" s="7">
        <v>3763</v>
      </c>
      <c r="E379" s="8">
        <v>2</v>
      </c>
      <c r="F379" s="8">
        <f t="shared" si="5"/>
        <v>820</v>
      </c>
      <c r="G379" s="8">
        <v>8200</v>
      </c>
      <c r="H379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3810.9195</v>
      </c>
      <c r="I379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379" s="10">
        <f>MarketingSpend[[#This Row],[Actual Revenue]]/MarketingSpend[[#This Row],[Spend]]</f>
        <v>1.0127343874568164</v>
      </c>
      <c r="K379" s="20">
        <f>MarketingSpend[[#This Row],[Total Orders]]/MarketingSpend[[#This Row],[Lead]]</f>
        <v>2.4390243902439024E-3</v>
      </c>
    </row>
    <row r="380" spans="1:11">
      <c r="A380" s="6">
        <v>45839</v>
      </c>
      <c r="B380" t="s">
        <v>130</v>
      </c>
      <c r="C380" t="s">
        <v>194</v>
      </c>
      <c r="D380" s="7">
        <v>938</v>
      </c>
      <c r="E380" s="8">
        <v>3</v>
      </c>
      <c r="F380" s="8">
        <f t="shared" si="5"/>
        <v>271</v>
      </c>
      <c r="G380" s="8">
        <v>2706</v>
      </c>
      <c r="H380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1458.5088000000001</v>
      </c>
      <c r="I380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380" s="10">
        <f>MarketingSpend[[#This Row],[Actual Revenue]]/MarketingSpend[[#This Row],[Spend]]</f>
        <v>1.554913432835821</v>
      </c>
      <c r="K380" s="20">
        <f>MarketingSpend[[#This Row],[Total Orders]]/MarketingSpend[[#This Row],[Lead]]</f>
        <v>3.6900369003690036E-3</v>
      </c>
    </row>
    <row r="381" spans="1:11">
      <c r="A381" s="6">
        <v>45839</v>
      </c>
      <c r="B381" t="s">
        <v>90</v>
      </c>
      <c r="C381" t="s">
        <v>194</v>
      </c>
      <c r="D381" s="7">
        <v>2352</v>
      </c>
      <c r="E381" s="8">
        <v>5</v>
      </c>
      <c r="F381" s="8">
        <f t="shared" si="5"/>
        <v>487</v>
      </c>
      <c r="G381" s="8">
        <v>4864</v>
      </c>
      <c r="H381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527.04840000000002</v>
      </c>
      <c r="I381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381" s="10">
        <f>MarketingSpend[[#This Row],[Actual Revenue]]/MarketingSpend[[#This Row],[Spend]]</f>
        <v>0.22408520408163266</v>
      </c>
      <c r="K381" s="20">
        <f>MarketingSpend[[#This Row],[Total Orders]]/MarketingSpend[[#This Row],[Lead]]</f>
        <v>4.1067761806981521E-3</v>
      </c>
    </row>
    <row r="382" spans="1:11">
      <c r="A382" s="6">
        <v>45870</v>
      </c>
      <c r="B382" t="s">
        <v>147</v>
      </c>
      <c r="C382" t="s">
        <v>75</v>
      </c>
      <c r="D382" s="7">
        <v>1803</v>
      </c>
      <c r="E382" s="8">
        <v>2</v>
      </c>
      <c r="F382" s="8">
        <f t="shared" si="5"/>
        <v>479</v>
      </c>
      <c r="G382" s="8">
        <v>4785</v>
      </c>
      <c r="H382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4020.9656</v>
      </c>
      <c r="I382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382" s="10">
        <f>MarketingSpend[[#This Row],[Actual Revenue]]/MarketingSpend[[#This Row],[Spend]]</f>
        <v>2.2301528563505268</v>
      </c>
      <c r="K382" s="20">
        <f>MarketingSpend[[#This Row],[Total Orders]]/MarketingSpend[[#This Row],[Lead]]</f>
        <v>6.2630480167014616E-3</v>
      </c>
    </row>
    <row r="383" spans="1:11">
      <c r="A383" s="6">
        <v>45870</v>
      </c>
      <c r="B383" t="s">
        <v>100</v>
      </c>
      <c r="C383" t="s">
        <v>75</v>
      </c>
      <c r="D383" s="7">
        <v>3668</v>
      </c>
      <c r="E383" s="8">
        <v>4</v>
      </c>
      <c r="F383" s="8">
        <f t="shared" si="5"/>
        <v>854</v>
      </c>
      <c r="G383" s="8">
        <v>8534</v>
      </c>
      <c r="H383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0</v>
      </c>
      <c r="I383">
        <f>COUNTIFS(Cleaned_data[Order Month],TEXT(MarketingSpend[[#This Row],[Month]],"mmmm"),Cleaned_data[Marketing_Channel],MarketingSpend[[#This Row],[Marketing_Channel]],Cleaned_data[Region],MarketingSpend[[#This Row],[Region]])</f>
        <v>0</v>
      </c>
      <c r="J383" s="10">
        <f>MarketingSpend[[#This Row],[Actual Revenue]]/MarketingSpend[[#This Row],[Spend]]</f>
        <v>0</v>
      </c>
      <c r="K383" s="20">
        <f>MarketingSpend[[#This Row],[Total Orders]]/MarketingSpend[[#This Row],[Lead]]</f>
        <v>0</v>
      </c>
    </row>
    <row r="384" spans="1:11">
      <c r="A384" s="6">
        <v>45870</v>
      </c>
      <c r="B384" t="s">
        <v>79</v>
      </c>
      <c r="C384" t="s">
        <v>75</v>
      </c>
      <c r="D384" s="7">
        <v>4810</v>
      </c>
      <c r="E384" s="8">
        <v>5</v>
      </c>
      <c r="F384" s="8">
        <f t="shared" si="5"/>
        <v>830</v>
      </c>
      <c r="G384" s="8">
        <v>8299</v>
      </c>
      <c r="H384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4057.3750999999997</v>
      </c>
      <c r="I384">
        <f>COUNTIFS(Cleaned_data[Order Month],TEXT(MarketingSpend[[#This Row],[Month]],"mmmm"),Cleaned_data[Marketing_Channel],MarketingSpend[[#This Row],[Marketing_Channel]],Cleaned_data[Region],MarketingSpend[[#This Row],[Region]])</f>
        <v>5</v>
      </c>
      <c r="J384" s="10">
        <f>MarketingSpend[[#This Row],[Actual Revenue]]/MarketingSpend[[#This Row],[Spend]]</f>
        <v>0.84352912681912673</v>
      </c>
      <c r="K384" s="20">
        <f>MarketingSpend[[#This Row],[Total Orders]]/MarketingSpend[[#This Row],[Lead]]</f>
        <v>6.024096385542169E-3</v>
      </c>
    </row>
    <row r="385" spans="1:11">
      <c r="A385" s="6">
        <v>45870</v>
      </c>
      <c r="B385" t="s">
        <v>130</v>
      </c>
      <c r="C385" t="s">
        <v>75</v>
      </c>
      <c r="D385" s="7">
        <v>1171</v>
      </c>
      <c r="E385" s="8">
        <v>1</v>
      </c>
      <c r="F385" s="8">
        <f t="shared" si="5"/>
        <v>312</v>
      </c>
      <c r="G385" s="8">
        <v>3113</v>
      </c>
      <c r="H385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-126.80670000000001</v>
      </c>
      <c r="I385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385" s="10">
        <f>MarketingSpend[[#This Row],[Actual Revenue]]/MarketingSpend[[#This Row],[Spend]]</f>
        <v>-0.10828923996584117</v>
      </c>
      <c r="K385" s="20">
        <f>MarketingSpend[[#This Row],[Total Orders]]/MarketingSpend[[#This Row],[Lead]]</f>
        <v>9.6153846153846159E-3</v>
      </c>
    </row>
    <row r="386" spans="1:11">
      <c r="A386" s="6">
        <v>45870</v>
      </c>
      <c r="B386" t="s">
        <v>90</v>
      </c>
      <c r="C386" t="s">
        <v>75</v>
      </c>
      <c r="D386" s="7">
        <v>2457</v>
      </c>
      <c r="E386" s="8">
        <v>5</v>
      </c>
      <c r="F386" s="8">
        <f t="shared" ref="F386:F449" si="6">ROUNDUP(G386/10,0)</f>
        <v>760</v>
      </c>
      <c r="G386" s="8">
        <v>7597</v>
      </c>
      <c r="H386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1105.7440999999999</v>
      </c>
      <c r="I386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386" s="10">
        <f>MarketingSpend[[#This Row],[Actual Revenue]]/MarketingSpend[[#This Row],[Spend]]</f>
        <v>0.4500382987382987</v>
      </c>
      <c r="K386" s="20">
        <f>MarketingSpend[[#This Row],[Total Orders]]/MarketingSpend[[#This Row],[Lead]]</f>
        <v>2.631578947368421E-3</v>
      </c>
    </row>
    <row r="387" spans="1:11">
      <c r="A387" s="6">
        <v>45870</v>
      </c>
      <c r="B387" t="s">
        <v>147</v>
      </c>
      <c r="C387" t="s">
        <v>126</v>
      </c>
      <c r="D387" s="7">
        <v>2349</v>
      </c>
      <c r="E387" s="8">
        <v>3</v>
      </c>
      <c r="F387" s="8">
        <f t="shared" si="6"/>
        <v>356</v>
      </c>
      <c r="G387" s="8">
        <v>3555</v>
      </c>
      <c r="H387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0</v>
      </c>
      <c r="I387">
        <f>COUNTIFS(Cleaned_data[Order Month],TEXT(MarketingSpend[[#This Row],[Month]],"mmmm"),Cleaned_data[Marketing_Channel],MarketingSpend[[#This Row],[Marketing_Channel]],Cleaned_data[Region],MarketingSpend[[#This Row],[Region]])</f>
        <v>0</v>
      </c>
      <c r="J387" s="10">
        <f>MarketingSpend[[#This Row],[Actual Revenue]]/MarketingSpend[[#This Row],[Spend]]</f>
        <v>0</v>
      </c>
      <c r="K387" s="20">
        <f>MarketingSpend[[#This Row],[Total Orders]]/MarketingSpend[[#This Row],[Lead]]</f>
        <v>0</v>
      </c>
    </row>
    <row r="388" spans="1:11">
      <c r="A388" s="6">
        <v>45870</v>
      </c>
      <c r="B388" t="s">
        <v>100</v>
      </c>
      <c r="C388" t="s">
        <v>126</v>
      </c>
      <c r="D388" s="7">
        <v>3488</v>
      </c>
      <c r="E388" s="8">
        <v>5</v>
      </c>
      <c r="F388" s="8">
        <f t="shared" si="6"/>
        <v>883</v>
      </c>
      <c r="G388" s="8">
        <v>8830</v>
      </c>
      <c r="H388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0</v>
      </c>
      <c r="I388">
        <f>COUNTIFS(Cleaned_data[Order Month],TEXT(MarketingSpend[[#This Row],[Month]],"mmmm"),Cleaned_data[Marketing_Channel],MarketingSpend[[#This Row],[Marketing_Channel]],Cleaned_data[Region],MarketingSpend[[#This Row],[Region]])</f>
        <v>0</v>
      </c>
      <c r="J388" s="10">
        <f>MarketingSpend[[#This Row],[Actual Revenue]]/MarketingSpend[[#This Row],[Spend]]</f>
        <v>0</v>
      </c>
      <c r="K388" s="20">
        <f>MarketingSpend[[#This Row],[Total Orders]]/MarketingSpend[[#This Row],[Lead]]</f>
        <v>0</v>
      </c>
    </row>
    <row r="389" spans="1:11">
      <c r="A389" s="6">
        <v>45870</v>
      </c>
      <c r="B389" t="s">
        <v>79</v>
      </c>
      <c r="C389" t="s">
        <v>126</v>
      </c>
      <c r="D389" s="7">
        <v>5428</v>
      </c>
      <c r="E389" s="8">
        <v>2</v>
      </c>
      <c r="F389" s="8">
        <f t="shared" si="6"/>
        <v>1220</v>
      </c>
      <c r="G389" s="8">
        <v>12192</v>
      </c>
      <c r="H389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1311.4207000000001</v>
      </c>
      <c r="I389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389" s="10">
        <f>MarketingSpend[[#This Row],[Actual Revenue]]/MarketingSpend[[#This Row],[Spend]]</f>
        <v>0.24160292925571114</v>
      </c>
      <c r="K389" s="20">
        <f>MarketingSpend[[#This Row],[Total Orders]]/MarketingSpend[[#This Row],[Lead]]</f>
        <v>1.639344262295082E-3</v>
      </c>
    </row>
    <row r="390" spans="1:11">
      <c r="A390" s="6">
        <v>45870</v>
      </c>
      <c r="B390" t="s">
        <v>130</v>
      </c>
      <c r="C390" t="s">
        <v>126</v>
      </c>
      <c r="D390" s="7">
        <v>1366</v>
      </c>
      <c r="E390" s="8">
        <v>5</v>
      </c>
      <c r="F390" s="8">
        <f t="shared" si="6"/>
        <v>314</v>
      </c>
      <c r="G390" s="8">
        <v>3139</v>
      </c>
      <c r="H390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7402.53</v>
      </c>
      <c r="I390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390" s="10">
        <f>MarketingSpend[[#This Row],[Actual Revenue]]/MarketingSpend[[#This Row],[Spend]]</f>
        <v>5.4191288433382132</v>
      </c>
      <c r="K390" s="20">
        <f>MarketingSpend[[#This Row],[Total Orders]]/MarketingSpend[[#This Row],[Lead]]</f>
        <v>9.5541401273885346E-3</v>
      </c>
    </row>
    <row r="391" spans="1:11">
      <c r="A391" s="6">
        <v>45870</v>
      </c>
      <c r="B391" t="s">
        <v>90</v>
      </c>
      <c r="C391" t="s">
        <v>126</v>
      </c>
      <c r="D391" s="7">
        <v>2679</v>
      </c>
      <c r="E391" s="8">
        <v>3</v>
      </c>
      <c r="F391" s="8">
        <f t="shared" si="6"/>
        <v>765</v>
      </c>
      <c r="G391" s="8">
        <v>7646</v>
      </c>
      <c r="H391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378.31120000000004</v>
      </c>
      <c r="I391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391" s="10">
        <f>MarketingSpend[[#This Row],[Actual Revenue]]/MarketingSpend[[#This Row],[Spend]]</f>
        <v>0.14121358715938784</v>
      </c>
      <c r="K391" s="20">
        <f>MarketingSpend[[#This Row],[Total Orders]]/MarketingSpend[[#This Row],[Lead]]</f>
        <v>2.6143790849673201E-3</v>
      </c>
    </row>
    <row r="392" spans="1:11">
      <c r="A392" s="6">
        <v>45870</v>
      </c>
      <c r="B392" t="s">
        <v>147</v>
      </c>
      <c r="C392" t="s">
        <v>138</v>
      </c>
      <c r="D392" s="7">
        <v>1504</v>
      </c>
      <c r="E392" s="8">
        <v>1</v>
      </c>
      <c r="F392" s="8">
        <f t="shared" si="6"/>
        <v>318</v>
      </c>
      <c r="G392" s="8">
        <v>3173</v>
      </c>
      <c r="H392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514.48980000000006</v>
      </c>
      <c r="I392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392" s="10">
        <f>MarketingSpend[[#This Row],[Actual Revenue]]/MarketingSpend[[#This Row],[Spend]]</f>
        <v>0.34208098404255322</v>
      </c>
      <c r="K392" s="20">
        <f>MarketingSpend[[#This Row],[Total Orders]]/MarketingSpend[[#This Row],[Lead]]</f>
        <v>3.1446540880503146E-3</v>
      </c>
    </row>
    <row r="393" spans="1:11">
      <c r="A393" s="6">
        <v>45870</v>
      </c>
      <c r="B393" t="s">
        <v>100</v>
      </c>
      <c r="C393" t="s">
        <v>138</v>
      </c>
      <c r="D393" s="7">
        <v>2820</v>
      </c>
      <c r="E393" s="8">
        <v>2</v>
      </c>
      <c r="F393" s="8">
        <f t="shared" si="6"/>
        <v>494</v>
      </c>
      <c r="G393" s="8">
        <v>4932</v>
      </c>
      <c r="H393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0</v>
      </c>
      <c r="I393">
        <f>COUNTIFS(Cleaned_data[Order Month],TEXT(MarketingSpend[[#This Row],[Month]],"mmmm"),Cleaned_data[Marketing_Channel],MarketingSpend[[#This Row],[Marketing_Channel]],Cleaned_data[Region],MarketingSpend[[#This Row],[Region]])</f>
        <v>0</v>
      </c>
      <c r="J393" s="10">
        <f>MarketingSpend[[#This Row],[Actual Revenue]]/MarketingSpend[[#This Row],[Spend]]</f>
        <v>0</v>
      </c>
      <c r="K393" s="20">
        <f>MarketingSpend[[#This Row],[Total Orders]]/MarketingSpend[[#This Row],[Lead]]</f>
        <v>0</v>
      </c>
    </row>
    <row r="394" spans="1:11">
      <c r="A394" s="6">
        <v>45870</v>
      </c>
      <c r="B394" t="s">
        <v>79</v>
      </c>
      <c r="C394" t="s">
        <v>138</v>
      </c>
      <c r="D394" s="7">
        <v>4589</v>
      </c>
      <c r="E394" s="8">
        <v>4</v>
      </c>
      <c r="F394" s="8">
        <f t="shared" si="6"/>
        <v>1060</v>
      </c>
      <c r="G394" s="8">
        <v>10598</v>
      </c>
      <c r="H394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974.01700000000005</v>
      </c>
      <c r="I394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394" s="10">
        <f>MarketingSpend[[#This Row],[Actual Revenue]]/MarketingSpend[[#This Row],[Spend]]</f>
        <v>0.21225038134669863</v>
      </c>
      <c r="K394" s="20">
        <f>MarketingSpend[[#This Row],[Total Orders]]/MarketingSpend[[#This Row],[Lead]]</f>
        <v>1.8867924528301887E-3</v>
      </c>
    </row>
    <row r="395" spans="1:11">
      <c r="A395" s="6">
        <v>45870</v>
      </c>
      <c r="B395" t="s">
        <v>130</v>
      </c>
      <c r="C395" t="s">
        <v>138</v>
      </c>
      <c r="D395" s="7">
        <v>948</v>
      </c>
      <c r="E395" s="8">
        <v>1</v>
      </c>
      <c r="F395" s="8">
        <f t="shared" si="6"/>
        <v>206</v>
      </c>
      <c r="G395" s="8">
        <v>2058</v>
      </c>
      <c r="H395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6714.3169999999991</v>
      </c>
      <c r="I395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395" s="10">
        <f>MarketingSpend[[#This Row],[Actual Revenue]]/MarketingSpend[[#This Row],[Spend]]</f>
        <v>7.0826128691983117</v>
      </c>
      <c r="K395" s="20">
        <f>MarketingSpend[[#This Row],[Total Orders]]/MarketingSpend[[#This Row],[Lead]]</f>
        <v>1.9417475728155338E-2</v>
      </c>
    </row>
    <row r="396" spans="1:11">
      <c r="A396" s="6">
        <v>45870</v>
      </c>
      <c r="B396" t="s">
        <v>90</v>
      </c>
      <c r="C396" t="s">
        <v>138</v>
      </c>
      <c r="D396" s="7">
        <v>2096</v>
      </c>
      <c r="E396" s="8">
        <v>2</v>
      </c>
      <c r="F396" s="8">
        <f t="shared" si="6"/>
        <v>654</v>
      </c>
      <c r="G396" s="8">
        <v>6532</v>
      </c>
      <c r="H396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1882.6659000000002</v>
      </c>
      <c r="I396">
        <f>COUNTIFS(Cleaned_data[Order Month],TEXT(MarketingSpend[[#This Row],[Month]],"mmmm"),Cleaned_data[Marketing_Channel],MarketingSpend[[#This Row],[Marketing_Channel]],Cleaned_data[Region],MarketingSpend[[#This Row],[Region]])</f>
        <v>5</v>
      </c>
      <c r="J396" s="10">
        <f>MarketingSpend[[#This Row],[Actual Revenue]]/MarketingSpend[[#This Row],[Spend]]</f>
        <v>0.89821846374045811</v>
      </c>
      <c r="K396" s="20">
        <f>MarketingSpend[[#This Row],[Total Orders]]/MarketingSpend[[#This Row],[Lead]]</f>
        <v>7.6452599388379203E-3</v>
      </c>
    </row>
    <row r="397" spans="1:11">
      <c r="A397" s="6">
        <v>45870</v>
      </c>
      <c r="B397" t="s">
        <v>147</v>
      </c>
      <c r="C397" t="s">
        <v>194</v>
      </c>
      <c r="D397" s="7">
        <v>1350</v>
      </c>
      <c r="E397" s="8">
        <v>5</v>
      </c>
      <c r="F397" s="8">
        <f t="shared" si="6"/>
        <v>293</v>
      </c>
      <c r="G397" s="8">
        <v>2924</v>
      </c>
      <c r="H397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254.41910000000001</v>
      </c>
      <c r="I397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397" s="10">
        <f>MarketingSpend[[#This Row],[Actual Revenue]]/MarketingSpend[[#This Row],[Spend]]</f>
        <v>0.18845859259259259</v>
      </c>
      <c r="K397" s="20">
        <f>MarketingSpend[[#This Row],[Total Orders]]/MarketingSpend[[#This Row],[Lead]]</f>
        <v>3.4129692832764505E-3</v>
      </c>
    </row>
    <row r="398" spans="1:11">
      <c r="A398" s="6">
        <v>45870</v>
      </c>
      <c r="B398" t="s">
        <v>100</v>
      </c>
      <c r="C398" t="s">
        <v>194</v>
      </c>
      <c r="D398" s="7">
        <v>2727</v>
      </c>
      <c r="E398" s="8">
        <v>3</v>
      </c>
      <c r="F398" s="8">
        <f t="shared" si="6"/>
        <v>611</v>
      </c>
      <c r="G398" s="8">
        <v>6104</v>
      </c>
      <c r="H398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518.072</v>
      </c>
      <c r="I398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398" s="10">
        <f>MarketingSpend[[#This Row],[Actual Revenue]]/MarketingSpend[[#This Row],[Spend]]</f>
        <v>0.18997873120645398</v>
      </c>
      <c r="K398" s="20">
        <f>MarketingSpend[[#This Row],[Total Orders]]/MarketingSpend[[#This Row],[Lead]]</f>
        <v>4.9099836333878887E-3</v>
      </c>
    </row>
    <row r="399" spans="1:11">
      <c r="A399" s="6">
        <v>45870</v>
      </c>
      <c r="B399" t="s">
        <v>79</v>
      </c>
      <c r="C399" t="s">
        <v>194</v>
      </c>
      <c r="D399" s="7">
        <v>4461</v>
      </c>
      <c r="E399" s="8">
        <v>3</v>
      </c>
      <c r="F399" s="8">
        <f t="shared" si="6"/>
        <v>723</v>
      </c>
      <c r="G399" s="8">
        <v>7229</v>
      </c>
      <c r="H399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5288.3945999999996</v>
      </c>
      <c r="I399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399" s="10">
        <f>MarketingSpend[[#This Row],[Actual Revenue]]/MarketingSpend[[#This Row],[Spend]]</f>
        <v>1.1854728984532614</v>
      </c>
      <c r="K399" s="20">
        <f>MarketingSpend[[#This Row],[Total Orders]]/MarketingSpend[[#This Row],[Lead]]</f>
        <v>5.5325034578146614E-3</v>
      </c>
    </row>
    <row r="400" spans="1:11">
      <c r="A400" s="6">
        <v>45870</v>
      </c>
      <c r="B400" t="s">
        <v>130</v>
      </c>
      <c r="C400" t="s">
        <v>194</v>
      </c>
      <c r="D400" s="7">
        <v>1035</v>
      </c>
      <c r="E400" s="8">
        <v>1</v>
      </c>
      <c r="F400" s="8">
        <f t="shared" si="6"/>
        <v>278</v>
      </c>
      <c r="G400" s="8">
        <v>2773</v>
      </c>
      <c r="H400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0</v>
      </c>
      <c r="I400">
        <f>COUNTIFS(Cleaned_data[Order Month],TEXT(MarketingSpend[[#This Row],[Month]],"mmmm"),Cleaned_data[Marketing_Channel],MarketingSpend[[#This Row],[Marketing_Channel]],Cleaned_data[Region],MarketingSpend[[#This Row],[Region]])</f>
        <v>0</v>
      </c>
      <c r="J400" s="10">
        <f>MarketingSpend[[#This Row],[Actual Revenue]]/MarketingSpend[[#This Row],[Spend]]</f>
        <v>0</v>
      </c>
      <c r="K400" s="20">
        <f>MarketingSpend[[#This Row],[Total Orders]]/MarketingSpend[[#This Row],[Lead]]</f>
        <v>0</v>
      </c>
    </row>
    <row r="401" spans="1:11">
      <c r="A401" s="6">
        <v>45870</v>
      </c>
      <c r="B401" t="s">
        <v>90</v>
      </c>
      <c r="C401" t="s">
        <v>194</v>
      </c>
      <c r="D401" s="7">
        <v>1928</v>
      </c>
      <c r="E401" s="8">
        <v>1</v>
      </c>
      <c r="F401" s="8">
        <f t="shared" si="6"/>
        <v>548</v>
      </c>
      <c r="G401" s="8">
        <v>5475</v>
      </c>
      <c r="H401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1308.6394</v>
      </c>
      <c r="I401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401" s="10">
        <f>MarketingSpend[[#This Row],[Actual Revenue]]/MarketingSpend[[#This Row],[Spend]]</f>
        <v>0.6787548755186722</v>
      </c>
      <c r="K401" s="20">
        <f>MarketingSpend[[#This Row],[Total Orders]]/MarketingSpend[[#This Row],[Lead]]</f>
        <v>7.2992700729927005E-3</v>
      </c>
    </row>
    <row r="402" spans="1:11">
      <c r="A402" s="6">
        <v>45901</v>
      </c>
      <c r="B402" t="s">
        <v>147</v>
      </c>
      <c r="C402" t="s">
        <v>75</v>
      </c>
      <c r="D402" s="7">
        <v>2289</v>
      </c>
      <c r="E402" s="8">
        <v>4</v>
      </c>
      <c r="F402" s="8">
        <f t="shared" si="6"/>
        <v>347</v>
      </c>
      <c r="G402" s="8">
        <v>3463</v>
      </c>
      <c r="H402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806.82680000000005</v>
      </c>
      <c r="I402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402" s="10">
        <f>MarketingSpend[[#This Row],[Actual Revenue]]/MarketingSpend[[#This Row],[Spend]]</f>
        <v>0.35248003494975977</v>
      </c>
      <c r="K402" s="20">
        <f>MarketingSpend[[#This Row],[Total Orders]]/MarketingSpend[[#This Row],[Lead]]</f>
        <v>1.1527377521613832E-2</v>
      </c>
    </row>
    <row r="403" spans="1:11">
      <c r="A403" s="6">
        <v>45901</v>
      </c>
      <c r="B403" t="s">
        <v>100</v>
      </c>
      <c r="C403" t="s">
        <v>75</v>
      </c>
      <c r="D403" s="7">
        <v>3483</v>
      </c>
      <c r="E403" s="8">
        <v>5</v>
      </c>
      <c r="F403" s="8">
        <f t="shared" si="6"/>
        <v>688</v>
      </c>
      <c r="G403" s="8">
        <v>6874</v>
      </c>
      <c r="H403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0</v>
      </c>
      <c r="I403">
        <f>COUNTIFS(Cleaned_data[Order Month],TEXT(MarketingSpend[[#This Row],[Month]],"mmmm"),Cleaned_data[Marketing_Channel],MarketingSpend[[#This Row],[Marketing_Channel]],Cleaned_data[Region],MarketingSpend[[#This Row],[Region]])</f>
        <v>0</v>
      </c>
      <c r="J403" s="10">
        <f>MarketingSpend[[#This Row],[Actual Revenue]]/MarketingSpend[[#This Row],[Spend]]</f>
        <v>0</v>
      </c>
      <c r="K403" s="20">
        <f>MarketingSpend[[#This Row],[Total Orders]]/MarketingSpend[[#This Row],[Lead]]</f>
        <v>0</v>
      </c>
    </row>
    <row r="404" spans="1:11">
      <c r="A404" s="6">
        <v>45901</v>
      </c>
      <c r="B404" t="s">
        <v>79</v>
      </c>
      <c r="C404" t="s">
        <v>75</v>
      </c>
      <c r="D404" s="7">
        <v>4477</v>
      </c>
      <c r="E404" s="8">
        <v>4</v>
      </c>
      <c r="F404" s="8">
        <f t="shared" si="6"/>
        <v>1093</v>
      </c>
      <c r="G404" s="8">
        <v>10930</v>
      </c>
      <c r="H404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957.25049999999987</v>
      </c>
      <c r="I404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404" s="10">
        <f>MarketingSpend[[#This Row],[Actual Revenue]]/MarketingSpend[[#This Row],[Spend]]</f>
        <v>0.21381516640607548</v>
      </c>
      <c r="K404" s="20">
        <f>MarketingSpend[[#This Row],[Total Orders]]/MarketingSpend[[#This Row],[Lead]]</f>
        <v>2.7447392497712718E-3</v>
      </c>
    </row>
    <row r="405" spans="1:11">
      <c r="A405" s="6">
        <v>45901</v>
      </c>
      <c r="B405" t="s">
        <v>130</v>
      </c>
      <c r="C405" t="s">
        <v>75</v>
      </c>
      <c r="D405" s="7">
        <v>1063</v>
      </c>
      <c r="E405" s="8">
        <v>2</v>
      </c>
      <c r="F405" s="8">
        <f t="shared" si="6"/>
        <v>267</v>
      </c>
      <c r="G405" s="8">
        <v>2664</v>
      </c>
      <c r="H405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1064.0170000000001</v>
      </c>
      <c r="I405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405" s="10">
        <f>MarketingSpend[[#This Row],[Actual Revenue]]/MarketingSpend[[#This Row],[Spend]]</f>
        <v>1.0009567262464723</v>
      </c>
      <c r="K405" s="20">
        <f>MarketingSpend[[#This Row],[Total Orders]]/MarketingSpend[[#This Row],[Lead]]</f>
        <v>1.4981273408239701E-2</v>
      </c>
    </row>
    <row r="406" spans="1:11">
      <c r="A406" s="6">
        <v>45901</v>
      </c>
      <c r="B406" t="s">
        <v>90</v>
      </c>
      <c r="C406" t="s">
        <v>75</v>
      </c>
      <c r="D406" s="7">
        <v>3186</v>
      </c>
      <c r="E406" s="8">
        <v>3</v>
      </c>
      <c r="F406" s="8">
        <f t="shared" si="6"/>
        <v>692</v>
      </c>
      <c r="G406" s="8">
        <v>6917</v>
      </c>
      <c r="H406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1021.8425999999999</v>
      </c>
      <c r="I406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406" s="10">
        <f>MarketingSpend[[#This Row],[Actual Revenue]]/MarketingSpend[[#This Row],[Spend]]</f>
        <v>0.32072900188323916</v>
      </c>
      <c r="K406" s="20">
        <f>MarketingSpend[[#This Row],[Total Orders]]/MarketingSpend[[#This Row],[Lead]]</f>
        <v>5.7803468208092483E-3</v>
      </c>
    </row>
    <row r="407" spans="1:11">
      <c r="A407" s="6">
        <v>45901</v>
      </c>
      <c r="B407" t="s">
        <v>147</v>
      </c>
      <c r="C407" t="s">
        <v>126</v>
      </c>
      <c r="D407" s="7">
        <v>2136</v>
      </c>
      <c r="E407" s="8">
        <v>3</v>
      </c>
      <c r="F407" s="8">
        <f t="shared" si="6"/>
        <v>580</v>
      </c>
      <c r="G407" s="8">
        <v>5797</v>
      </c>
      <c r="H407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2131.1120000000001</v>
      </c>
      <c r="I407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407" s="10">
        <f>MarketingSpend[[#This Row],[Actual Revenue]]/MarketingSpend[[#This Row],[Spend]]</f>
        <v>0.99771161048689139</v>
      </c>
      <c r="K407" s="20">
        <f>MarketingSpend[[#This Row],[Total Orders]]/MarketingSpend[[#This Row],[Lead]]</f>
        <v>5.1724137931034482E-3</v>
      </c>
    </row>
    <row r="408" spans="1:11">
      <c r="A408" s="6">
        <v>45901</v>
      </c>
      <c r="B408" t="s">
        <v>100</v>
      </c>
      <c r="C408" t="s">
        <v>126</v>
      </c>
      <c r="D408" s="7">
        <v>3787</v>
      </c>
      <c r="E408" s="8">
        <v>5</v>
      </c>
      <c r="F408" s="8">
        <f t="shared" si="6"/>
        <v>818</v>
      </c>
      <c r="G408" s="8">
        <v>8175</v>
      </c>
      <c r="H408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1226.3829000000001</v>
      </c>
      <c r="I408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408" s="10">
        <f>MarketingSpend[[#This Row],[Actual Revenue]]/MarketingSpend[[#This Row],[Spend]]</f>
        <v>0.32384021653023504</v>
      </c>
      <c r="K408" s="20">
        <f>MarketingSpend[[#This Row],[Total Orders]]/MarketingSpend[[#This Row],[Lead]]</f>
        <v>4.8899755501222494E-3</v>
      </c>
    </row>
    <row r="409" spans="1:11">
      <c r="A409" s="6">
        <v>45901</v>
      </c>
      <c r="B409" t="s">
        <v>79</v>
      </c>
      <c r="C409" t="s">
        <v>126</v>
      </c>
      <c r="D409" s="7">
        <v>5874</v>
      </c>
      <c r="E409" s="8">
        <v>3</v>
      </c>
      <c r="F409" s="8">
        <f t="shared" si="6"/>
        <v>880</v>
      </c>
      <c r="G409" s="8">
        <v>8791</v>
      </c>
      <c r="H409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1514.4115999999999</v>
      </c>
      <c r="I409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409" s="10">
        <f>MarketingSpend[[#This Row],[Actual Revenue]]/MarketingSpend[[#This Row],[Spend]]</f>
        <v>0.25781607082056518</v>
      </c>
      <c r="K409" s="20">
        <f>MarketingSpend[[#This Row],[Total Orders]]/MarketingSpend[[#This Row],[Lead]]</f>
        <v>4.5454545454545452E-3</v>
      </c>
    </row>
    <row r="410" spans="1:11">
      <c r="A410" s="6">
        <v>45901</v>
      </c>
      <c r="B410" t="s">
        <v>130</v>
      </c>
      <c r="C410" t="s">
        <v>126</v>
      </c>
      <c r="D410" s="7">
        <v>1217</v>
      </c>
      <c r="E410" s="8">
        <v>4</v>
      </c>
      <c r="F410" s="8">
        <f t="shared" si="6"/>
        <v>259</v>
      </c>
      <c r="G410" s="8">
        <v>2581</v>
      </c>
      <c r="H410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1897.3403000000001</v>
      </c>
      <c r="I410">
        <f>COUNTIFS(Cleaned_data[Order Month],TEXT(MarketingSpend[[#This Row],[Month]],"mmmm"),Cleaned_data[Marketing_Channel],MarketingSpend[[#This Row],[Marketing_Channel]],Cleaned_data[Region],MarketingSpend[[#This Row],[Region]])</f>
        <v>6</v>
      </c>
      <c r="J410" s="10">
        <f>MarketingSpend[[#This Row],[Actual Revenue]]/MarketingSpend[[#This Row],[Spend]]</f>
        <v>1.5590306491372228</v>
      </c>
      <c r="K410" s="20">
        <f>MarketingSpend[[#This Row],[Total Orders]]/MarketingSpend[[#This Row],[Lead]]</f>
        <v>2.3166023166023165E-2</v>
      </c>
    </row>
    <row r="411" spans="1:11">
      <c r="A411" s="6">
        <v>45901</v>
      </c>
      <c r="B411" t="s">
        <v>90</v>
      </c>
      <c r="C411" t="s">
        <v>126</v>
      </c>
      <c r="D411" s="7">
        <v>2828</v>
      </c>
      <c r="E411" s="8">
        <v>5</v>
      </c>
      <c r="F411" s="8">
        <f t="shared" si="6"/>
        <v>841</v>
      </c>
      <c r="G411" s="8">
        <v>8408</v>
      </c>
      <c r="H411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0</v>
      </c>
      <c r="I411">
        <f>COUNTIFS(Cleaned_data[Order Month],TEXT(MarketingSpend[[#This Row],[Month]],"mmmm"),Cleaned_data[Marketing_Channel],MarketingSpend[[#This Row],[Marketing_Channel]],Cleaned_data[Region],MarketingSpend[[#This Row],[Region]])</f>
        <v>0</v>
      </c>
      <c r="J411" s="10">
        <f>MarketingSpend[[#This Row],[Actual Revenue]]/MarketingSpend[[#This Row],[Spend]]</f>
        <v>0</v>
      </c>
      <c r="K411" s="20">
        <f>MarketingSpend[[#This Row],[Total Orders]]/MarketingSpend[[#This Row],[Lead]]</f>
        <v>0</v>
      </c>
    </row>
    <row r="412" spans="1:11">
      <c r="A412" s="6">
        <v>45901</v>
      </c>
      <c r="B412" t="s">
        <v>147</v>
      </c>
      <c r="C412" t="s">
        <v>138</v>
      </c>
      <c r="D412" s="7">
        <v>1874</v>
      </c>
      <c r="E412" s="8">
        <v>2</v>
      </c>
      <c r="F412" s="8">
        <f t="shared" si="6"/>
        <v>422</v>
      </c>
      <c r="G412" s="8">
        <v>4213</v>
      </c>
      <c r="H412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0</v>
      </c>
      <c r="I412">
        <f>COUNTIFS(Cleaned_data[Order Month],TEXT(MarketingSpend[[#This Row],[Month]],"mmmm"),Cleaned_data[Marketing_Channel],MarketingSpend[[#This Row],[Marketing_Channel]],Cleaned_data[Region],MarketingSpend[[#This Row],[Region]])</f>
        <v>0</v>
      </c>
      <c r="J412" s="10">
        <f>MarketingSpend[[#This Row],[Actual Revenue]]/MarketingSpend[[#This Row],[Spend]]</f>
        <v>0</v>
      </c>
      <c r="K412" s="20">
        <f>MarketingSpend[[#This Row],[Total Orders]]/MarketingSpend[[#This Row],[Lead]]</f>
        <v>0</v>
      </c>
    </row>
    <row r="413" spans="1:11">
      <c r="A413" s="6">
        <v>45901</v>
      </c>
      <c r="B413" t="s">
        <v>100</v>
      </c>
      <c r="C413" t="s">
        <v>138</v>
      </c>
      <c r="D413" s="7">
        <v>3594</v>
      </c>
      <c r="E413" s="8">
        <v>5</v>
      </c>
      <c r="F413" s="8">
        <f t="shared" si="6"/>
        <v>808</v>
      </c>
      <c r="G413" s="8">
        <v>8077</v>
      </c>
      <c r="H413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855.03719999999998</v>
      </c>
      <c r="I413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413" s="10">
        <f>MarketingSpend[[#This Row],[Actual Revenue]]/MarketingSpend[[#This Row],[Spend]]</f>
        <v>0.23790684474123538</v>
      </c>
      <c r="K413" s="20">
        <f>MarketingSpend[[#This Row],[Total Orders]]/MarketingSpend[[#This Row],[Lead]]</f>
        <v>2.4752475247524753E-3</v>
      </c>
    </row>
    <row r="414" spans="1:11">
      <c r="A414" s="6">
        <v>45901</v>
      </c>
      <c r="B414" t="s">
        <v>79</v>
      </c>
      <c r="C414" t="s">
        <v>138</v>
      </c>
      <c r="D414" s="7">
        <v>5078</v>
      </c>
      <c r="E414" s="8">
        <v>1</v>
      </c>
      <c r="F414" s="8">
        <f t="shared" si="6"/>
        <v>1046</v>
      </c>
      <c r="G414" s="8">
        <v>10460</v>
      </c>
      <c r="H414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434.69970000000001</v>
      </c>
      <c r="I414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414" s="10">
        <f>MarketingSpend[[#This Row],[Actual Revenue]]/MarketingSpend[[#This Row],[Spend]]</f>
        <v>8.5604509649468294E-2</v>
      </c>
      <c r="K414" s="20">
        <f>MarketingSpend[[#This Row],[Total Orders]]/MarketingSpend[[#This Row],[Lead]]</f>
        <v>1.9120458891013384E-3</v>
      </c>
    </row>
    <row r="415" spans="1:11">
      <c r="A415" s="6">
        <v>45901</v>
      </c>
      <c r="B415" t="s">
        <v>130</v>
      </c>
      <c r="C415" t="s">
        <v>138</v>
      </c>
      <c r="D415" s="7">
        <v>1021</v>
      </c>
      <c r="E415" s="8">
        <v>3</v>
      </c>
      <c r="F415" s="8">
        <f t="shared" si="6"/>
        <v>254</v>
      </c>
      <c r="G415" s="8">
        <v>2532</v>
      </c>
      <c r="H415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3986.3404</v>
      </c>
      <c r="I415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415" s="10">
        <f>MarketingSpend[[#This Row],[Actual Revenue]]/MarketingSpend[[#This Row],[Spend]]</f>
        <v>3.9043490695396672</v>
      </c>
      <c r="K415" s="20">
        <f>MarketingSpend[[#This Row],[Total Orders]]/MarketingSpend[[#This Row],[Lead]]</f>
        <v>1.5748031496062992E-2</v>
      </c>
    </row>
    <row r="416" spans="1:11">
      <c r="A416" s="6">
        <v>45901</v>
      </c>
      <c r="B416" t="s">
        <v>90</v>
      </c>
      <c r="C416" t="s">
        <v>138</v>
      </c>
      <c r="D416" s="7">
        <v>2022</v>
      </c>
      <c r="E416" s="8">
        <v>5</v>
      </c>
      <c r="F416" s="8">
        <f t="shared" si="6"/>
        <v>435</v>
      </c>
      <c r="G416" s="8">
        <v>4347</v>
      </c>
      <c r="H416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6345.4921000000013</v>
      </c>
      <c r="I416">
        <f>COUNTIFS(Cleaned_data[Order Month],TEXT(MarketingSpend[[#This Row],[Month]],"mmmm"),Cleaned_data[Marketing_Channel],MarketingSpend[[#This Row],[Marketing_Channel]],Cleaned_data[Region],MarketingSpend[[#This Row],[Region]])</f>
        <v>6</v>
      </c>
      <c r="J416" s="10">
        <f>MarketingSpend[[#This Row],[Actual Revenue]]/MarketingSpend[[#This Row],[Spend]]</f>
        <v>3.1382255687438185</v>
      </c>
      <c r="K416" s="20">
        <f>MarketingSpend[[#This Row],[Total Orders]]/MarketingSpend[[#This Row],[Lead]]</f>
        <v>1.3793103448275862E-2</v>
      </c>
    </row>
    <row r="417" spans="1:11">
      <c r="A417" s="6">
        <v>45901</v>
      </c>
      <c r="B417" t="s">
        <v>147</v>
      </c>
      <c r="C417" t="s">
        <v>194</v>
      </c>
      <c r="D417" s="7">
        <v>1857</v>
      </c>
      <c r="E417" s="8">
        <v>1</v>
      </c>
      <c r="F417" s="8">
        <f t="shared" si="6"/>
        <v>274</v>
      </c>
      <c r="G417" s="8">
        <v>2740</v>
      </c>
      <c r="H417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1000.9173</v>
      </c>
      <c r="I417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417" s="10">
        <f>MarketingSpend[[#This Row],[Actual Revenue]]/MarketingSpend[[#This Row],[Spend]]</f>
        <v>0.53899693053311792</v>
      </c>
      <c r="K417" s="20">
        <f>MarketingSpend[[#This Row],[Total Orders]]/MarketingSpend[[#This Row],[Lead]]</f>
        <v>3.6496350364963502E-3</v>
      </c>
    </row>
    <row r="418" spans="1:11">
      <c r="A418" s="6">
        <v>45901</v>
      </c>
      <c r="B418" t="s">
        <v>100</v>
      </c>
      <c r="C418" t="s">
        <v>194</v>
      </c>
      <c r="D418" s="7">
        <v>2945</v>
      </c>
      <c r="E418" s="8">
        <v>1</v>
      </c>
      <c r="F418" s="8">
        <f t="shared" si="6"/>
        <v>697</v>
      </c>
      <c r="G418" s="8">
        <v>6966</v>
      </c>
      <c r="H418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1520.1864</v>
      </c>
      <c r="I418">
        <f>COUNTIFS(Cleaned_data[Order Month],TEXT(MarketingSpend[[#This Row],[Month]],"mmmm"),Cleaned_data[Marketing_Channel],MarketingSpend[[#This Row],[Marketing_Channel]],Cleaned_data[Region],MarketingSpend[[#This Row],[Region]])</f>
        <v>5</v>
      </c>
      <c r="J418" s="10">
        <f>MarketingSpend[[#This Row],[Actual Revenue]]/MarketingSpend[[#This Row],[Spend]]</f>
        <v>0.51619232597623088</v>
      </c>
      <c r="K418" s="20">
        <f>MarketingSpend[[#This Row],[Total Orders]]/MarketingSpend[[#This Row],[Lead]]</f>
        <v>7.1736011477761836E-3</v>
      </c>
    </row>
    <row r="419" spans="1:11">
      <c r="A419" s="6">
        <v>45901</v>
      </c>
      <c r="B419" t="s">
        <v>79</v>
      </c>
      <c r="C419" t="s">
        <v>194</v>
      </c>
      <c r="D419" s="7">
        <v>4449</v>
      </c>
      <c r="E419" s="8">
        <v>1</v>
      </c>
      <c r="F419" s="8">
        <f t="shared" si="6"/>
        <v>847</v>
      </c>
      <c r="G419" s="8">
        <v>8469</v>
      </c>
      <c r="H419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0</v>
      </c>
      <c r="I419">
        <f>COUNTIFS(Cleaned_data[Order Month],TEXT(MarketingSpend[[#This Row],[Month]],"mmmm"),Cleaned_data[Marketing_Channel],MarketingSpend[[#This Row],[Marketing_Channel]],Cleaned_data[Region],MarketingSpend[[#This Row],[Region]])</f>
        <v>0</v>
      </c>
      <c r="J419" s="10">
        <f>MarketingSpend[[#This Row],[Actual Revenue]]/MarketingSpend[[#This Row],[Spend]]</f>
        <v>0</v>
      </c>
      <c r="K419" s="20">
        <f>MarketingSpend[[#This Row],[Total Orders]]/MarketingSpend[[#This Row],[Lead]]</f>
        <v>0</v>
      </c>
    </row>
    <row r="420" spans="1:11">
      <c r="A420" s="6">
        <v>45901</v>
      </c>
      <c r="B420" t="s">
        <v>130</v>
      </c>
      <c r="C420" t="s">
        <v>194</v>
      </c>
      <c r="D420" s="7">
        <v>838</v>
      </c>
      <c r="E420" s="8">
        <v>5</v>
      </c>
      <c r="F420" s="8">
        <f t="shared" si="6"/>
        <v>272</v>
      </c>
      <c r="G420" s="8">
        <v>2712</v>
      </c>
      <c r="H420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0</v>
      </c>
      <c r="I420">
        <f>COUNTIFS(Cleaned_data[Order Month],TEXT(MarketingSpend[[#This Row],[Month]],"mmmm"),Cleaned_data[Marketing_Channel],MarketingSpend[[#This Row],[Marketing_Channel]],Cleaned_data[Region],MarketingSpend[[#This Row],[Region]])</f>
        <v>0</v>
      </c>
      <c r="J420" s="10">
        <f>MarketingSpend[[#This Row],[Actual Revenue]]/MarketingSpend[[#This Row],[Spend]]</f>
        <v>0</v>
      </c>
      <c r="K420" s="20">
        <f>MarketingSpend[[#This Row],[Total Orders]]/MarketingSpend[[#This Row],[Lead]]</f>
        <v>0</v>
      </c>
    </row>
    <row r="421" spans="1:11">
      <c r="A421" s="6">
        <v>45901</v>
      </c>
      <c r="B421" t="s">
        <v>90</v>
      </c>
      <c r="C421" t="s">
        <v>194</v>
      </c>
      <c r="D421" s="7">
        <v>2428</v>
      </c>
      <c r="E421" s="8">
        <v>3</v>
      </c>
      <c r="F421" s="8">
        <f t="shared" si="6"/>
        <v>619</v>
      </c>
      <c r="G421" s="8">
        <v>6188</v>
      </c>
      <c r="H421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9431.3785999999982</v>
      </c>
      <c r="I421">
        <f>COUNTIFS(Cleaned_data[Order Month],TEXT(MarketingSpend[[#This Row],[Month]],"mmmm"),Cleaned_data[Marketing_Channel],MarketingSpend[[#This Row],[Marketing_Channel]],Cleaned_data[Region],MarketingSpend[[#This Row],[Region]])</f>
        <v>5</v>
      </c>
      <c r="J421" s="10">
        <f>MarketingSpend[[#This Row],[Actual Revenue]]/MarketingSpend[[#This Row],[Spend]]</f>
        <v>3.8844228171334425</v>
      </c>
      <c r="K421" s="20">
        <f>MarketingSpend[[#This Row],[Total Orders]]/MarketingSpend[[#This Row],[Lead]]</f>
        <v>8.0775444264943458E-3</v>
      </c>
    </row>
    <row r="422" spans="1:11">
      <c r="A422" s="6">
        <v>45931</v>
      </c>
      <c r="B422" t="s">
        <v>147</v>
      </c>
      <c r="C422" t="s">
        <v>75</v>
      </c>
      <c r="D422" s="7">
        <v>2328</v>
      </c>
      <c r="E422" s="8">
        <v>1</v>
      </c>
      <c r="F422" s="8">
        <f t="shared" si="6"/>
        <v>494</v>
      </c>
      <c r="G422" s="8">
        <v>4938</v>
      </c>
      <c r="H422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1208.2836</v>
      </c>
      <c r="I422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422" s="10">
        <f>MarketingSpend[[#This Row],[Actual Revenue]]/MarketingSpend[[#This Row],[Spend]]</f>
        <v>0.51902216494845355</v>
      </c>
      <c r="K422" s="20">
        <f>MarketingSpend[[#This Row],[Total Orders]]/MarketingSpend[[#This Row],[Lead]]</f>
        <v>4.048582995951417E-3</v>
      </c>
    </row>
    <row r="423" spans="1:11">
      <c r="A423" s="6">
        <v>45931</v>
      </c>
      <c r="B423" t="s">
        <v>100</v>
      </c>
      <c r="C423" t="s">
        <v>75</v>
      </c>
      <c r="D423" s="7">
        <v>3228</v>
      </c>
      <c r="E423" s="8">
        <v>3</v>
      </c>
      <c r="F423" s="8">
        <f t="shared" si="6"/>
        <v>669</v>
      </c>
      <c r="G423" s="8">
        <v>6682</v>
      </c>
      <c r="H423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552.2287</v>
      </c>
      <c r="I423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423" s="10">
        <f>MarketingSpend[[#This Row],[Actual Revenue]]/MarketingSpend[[#This Row],[Spend]]</f>
        <v>0.17107456629491946</v>
      </c>
      <c r="K423" s="20">
        <f>MarketingSpend[[#This Row],[Total Orders]]/MarketingSpend[[#This Row],[Lead]]</f>
        <v>2.9895366218236174E-3</v>
      </c>
    </row>
    <row r="424" spans="1:11">
      <c r="A424" s="6">
        <v>45931</v>
      </c>
      <c r="B424" t="s">
        <v>79</v>
      </c>
      <c r="C424" t="s">
        <v>75</v>
      </c>
      <c r="D424" s="7">
        <v>5922</v>
      </c>
      <c r="E424" s="8">
        <v>4</v>
      </c>
      <c r="F424" s="8">
        <f t="shared" si="6"/>
        <v>797</v>
      </c>
      <c r="G424" s="8">
        <v>7968</v>
      </c>
      <c r="H424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0</v>
      </c>
      <c r="I424">
        <f>COUNTIFS(Cleaned_data[Order Month],TEXT(MarketingSpend[[#This Row],[Month]],"mmmm"),Cleaned_data[Marketing_Channel],MarketingSpend[[#This Row],[Marketing_Channel]],Cleaned_data[Region],MarketingSpend[[#This Row],[Region]])</f>
        <v>0</v>
      </c>
      <c r="J424" s="10">
        <f>MarketingSpend[[#This Row],[Actual Revenue]]/MarketingSpend[[#This Row],[Spend]]</f>
        <v>0</v>
      </c>
      <c r="K424" s="20">
        <f>MarketingSpend[[#This Row],[Total Orders]]/MarketingSpend[[#This Row],[Lead]]</f>
        <v>0</v>
      </c>
    </row>
    <row r="425" spans="1:11">
      <c r="A425" s="6">
        <v>45931</v>
      </c>
      <c r="B425" t="s">
        <v>130</v>
      </c>
      <c r="C425" t="s">
        <v>75</v>
      </c>
      <c r="D425" s="7">
        <v>1245</v>
      </c>
      <c r="E425" s="8">
        <v>3</v>
      </c>
      <c r="F425" s="8">
        <f t="shared" si="6"/>
        <v>192</v>
      </c>
      <c r="G425" s="8">
        <v>1918</v>
      </c>
      <c r="H425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652.67959999999994</v>
      </c>
      <c r="I425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425" s="10">
        <f>MarketingSpend[[#This Row],[Actual Revenue]]/MarketingSpend[[#This Row],[Spend]]</f>
        <v>0.52424064257028102</v>
      </c>
      <c r="K425" s="20">
        <f>MarketingSpend[[#This Row],[Total Orders]]/MarketingSpend[[#This Row],[Lead]]</f>
        <v>1.5625E-2</v>
      </c>
    </row>
    <row r="426" spans="1:11">
      <c r="A426" s="6">
        <v>45931</v>
      </c>
      <c r="B426" t="s">
        <v>90</v>
      </c>
      <c r="C426" t="s">
        <v>75</v>
      </c>
      <c r="D426" s="7">
        <v>2927</v>
      </c>
      <c r="E426" s="8">
        <v>5</v>
      </c>
      <c r="F426" s="8">
        <f t="shared" si="6"/>
        <v>635</v>
      </c>
      <c r="G426" s="8">
        <v>6344</v>
      </c>
      <c r="H426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4394.7895000000008</v>
      </c>
      <c r="I426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426" s="10">
        <f>MarketingSpend[[#This Row],[Actual Revenue]]/MarketingSpend[[#This Row],[Spend]]</f>
        <v>1.5014654936795355</v>
      </c>
      <c r="K426" s="20">
        <f>MarketingSpend[[#This Row],[Total Orders]]/MarketingSpend[[#This Row],[Lead]]</f>
        <v>4.7244094488188976E-3</v>
      </c>
    </row>
    <row r="427" spans="1:11">
      <c r="A427" s="6">
        <v>45931</v>
      </c>
      <c r="B427" t="s">
        <v>147</v>
      </c>
      <c r="C427" t="s">
        <v>126</v>
      </c>
      <c r="D427" s="7">
        <v>1782</v>
      </c>
      <c r="E427" s="8">
        <v>4</v>
      </c>
      <c r="F427" s="8">
        <f t="shared" si="6"/>
        <v>409</v>
      </c>
      <c r="G427" s="8">
        <v>4090</v>
      </c>
      <c r="H427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1315.9754</v>
      </c>
      <c r="I427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427" s="10">
        <f>MarketingSpend[[#This Row],[Actual Revenue]]/MarketingSpend[[#This Row],[Spend]]</f>
        <v>0.7384822671156005</v>
      </c>
      <c r="K427" s="20">
        <f>MarketingSpend[[#This Row],[Total Orders]]/MarketingSpend[[#This Row],[Lead]]</f>
        <v>7.3349633251833741E-3</v>
      </c>
    </row>
    <row r="428" spans="1:11">
      <c r="A428" s="6">
        <v>45931</v>
      </c>
      <c r="B428" t="s">
        <v>100</v>
      </c>
      <c r="C428" t="s">
        <v>126</v>
      </c>
      <c r="D428" s="7">
        <v>4449</v>
      </c>
      <c r="E428" s="8">
        <v>4</v>
      </c>
      <c r="F428" s="8">
        <f t="shared" si="6"/>
        <v>1040</v>
      </c>
      <c r="G428" s="8">
        <v>10393</v>
      </c>
      <c r="H428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0</v>
      </c>
      <c r="I428">
        <f>COUNTIFS(Cleaned_data[Order Month],TEXT(MarketingSpend[[#This Row],[Month]],"mmmm"),Cleaned_data[Marketing_Channel],MarketingSpend[[#This Row],[Marketing_Channel]],Cleaned_data[Region],MarketingSpend[[#This Row],[Region]])</f>
        <v>0</v>
      </c>
      <c r="J428" s="10">
        <f>MarketingSpend[[#This Row],[Actual Revenue]]/MarketingSpend[[#This Row],[Spend]]</f>
        <v>0</v>
      </c>
      <c r="K428" s="20">
        <f>MarketingSpend[[#This Row],[Total Orders]]/MarketingSpend[[#This Row],[Lead]]</f>
        <v>0</v>
      </c>
    </row>
    <row r="429" spans="1:11">
      <c r="A429" s="6">
        <v>45931</v>
      </c>
      <c r="B429" t="s">
        <v>79</v>
      </c>
      <c r="C429" t="s">
        <v>126</v>
      </c>
      <c r="D429" s="7">
        <v>6283</v>
      </c>
      <c r="E429" s="8">
        <v>3</v>
      </c>
      <c r="F429" s="8">
        <f t="shared" si="6"/>
        <v>1192</v>
      </c>
      <c r="G429" s="8">
        <v>11918</v>
      </c>
      <c r="H429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2854.9637000000002</v>
      </c>
      <c r="I429">
        <f>COUNTIFS(Cleaned_data[Order Month],TEXT(MarketingSpend[[#This Row],[Month]],"mmmm"),Cleaned_data[Marketing_Channel],MarketingSpend[[#This Row],[Marketing_Channel]],Cleaned_data[Region],MarketingSpend[[#This Row],[Region]])</f>
        <v>5</v>
      </c>
      <c r="J429" s="10">
        <f>MarketingSpend[[#This Row],[Actual Revenue]]/MarketingSpend[[#This Row],[Spend]]</f>
        <v>0.4543949864714309</v>
      </c>
      <c r="K429" s="20">
        <f>MarketingSpend[[#This Row],[Total Orders]]/MarketingSpend[[#This Row],[Lead]]</f>
        <v>4.1946308724832215E-3</v>
      </c>
    </row>
    <row r="430" spans="1:11">
      <c r="A430" s="6">
        <v>45931</v>
      </c>
      <c r="B430" t="s">
        <v>130</v>
      </c>
      <c r="C430" t="s">
        <v>126</v>
      </c>
      <c r="D430" s="7">
        <v>1507</v>
      </c>
      <c r="E430" s="8">
        <v>5</v>
      </c>
      <c r="F430" s="8">
        <f t="shared" si="6"/>
        <v>356</v>
      </c>
      <c r="G430" s="8">
        <v>3560</v>
      </c>
      <c r="H430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11971.0524</v>
      </c>
      <c r="I430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430" s="10">
        <f>MarketingSpend[[#This Row],[Actual Revenue]]/MarketingSpend[[#This Row],[Spend]]</f>
        <v>7.9436313205043136</v>
      </c>
      <c r="K430" s="20">
        <f>MarketingSpend[[#This Row],[Total Orders]]/MarketingSpend[[#This Row],[Lead]]</f>
        <v>8.4269662921348312E-3</v>
      </c>
    </row>
    <row r="431" spans="1:11">
      <c r="A431" s="6">
        <v>45931</v>
      </c>
      <c r="B431" t="s">
        <v>90</v>
      </c>
      <c r="C431" t="s">
        <v>126</v>
      </c>
      <c r="D431" s="7">
        <v>2935</v>
      </c>
      <c r="E431" s="8">
        <v>4</v>
      </c>
      <c r="F431" s="8">
        <f t="shared" si="6"/>
        <v>621</v>
      </c>
      <c r="G431" s="8">
        <v>6201</v>
      </c>
      <c r="H431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4061.8985000000002</v>
      </c>
      <c r="I431">
        <f>COUNTIFS(Cleaned_data[Order Month],TEXT(MarketingSpend[[#This Row],[Month]],"mmmm"),Cleaned_data[Marketing_Channel],MarketingSpend[[#This Row],[Marketing_Channel]],Cleaned_data[Region],MarketingSpend[[#This Row],[Region]])</f>
        <v>6</v>
      </c>
      <c r="J431" s="10">
        <f>MarketingSpend[[#This Row],[Actual Revenue]]/MarketingSpend[[#This Row],[Spend]]</f>
        <v>1.3839517887563886</v>
      </c>
      <c r="K431" s="20">
        <f>MarketingSpend[[#This Row],[Total Orders]]/MarketingSpend[[#This Row],[Lead]]</f>
        <v>9.6618357487922701E-3</v>
      </c>
    </row>
    <row r="432" spans="1:11">
      <c r="A432" s="6">
        <v>45931</v>
      </c>
      <c r="B432" t="s">
        <v>147</v>
      </c>
      <c r="C432" t="s">
        <v>138</v>
      </c>
      <c r="D432" s="7">
        <v>1888</v>
      </c>
      <c r="E432" s="8">
        <v>5</v>
      </c>
      <c r="F432" s="8">
        <f t="shared" si="6"/>
        <v>348</v>
      </c>
      <c r="G432" s="8">
        <v>3471</v>
      </c>
      <c r="H432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950.73310000000015</v>
      </c>
      <c r="I432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432" s="10">
        <f>MarketingSpend[[#This Row],[Actual Revenue]]/MarketingSpend[[#This Row],[Spend]]</f>
        <v>0.50356626059322041</v>
      </c>
      <c r="K432" s="20">
        <f>MarketingSpend[[#This Row],[Total Orders]]/MarketingSpend[[#This Row],[Lead]]</f>
        <v>5.7471264367816091E-3</v>
      </c>
    </row>
    <row r="433" spans="1:11">
      <c r="A433" s="6">
        <v>45931</v>
      </c>
      <c r="B433" t="s">
        <v>100</v>
      </c>
      <c r="C433" t="s">
        <v>138</v>
      </c>
      <c r="D433" s="7">
        <v>3450</v>
      </c>
      <c r="E433" s="8">
        <v>2</v>
      </c>
      <c r="F433" s="8">
        <f t="shared" si="6"/>
        <v>752</v>
      </c>
      <c r="G433" s="8">
        <v>7511</v>
      </c>
      <c r="H433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540.88819999999998</v>
      </c>
      <c r="I433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433" s="10">
        <f>MarketingSpend[[#This Row],[Actual Revenue]]/MarketingSpend[[#This Row],[Spend]]</f>
        <v>0.1567791884057971</v>
      </c>
      <c r="K433" s="20">
        <f>MarketingSpend[[#This Row],[Total Orders]]/MarketingSpend[[#This Row],[Lead]]</f>
        <v>2.6595744680851063E-3</v>
      </c>
    </row>
    <row r="434" spans="1:11">
      <c r="A434" s="6">
        <v>45931</v>
      </c>
      <c r="B434" t="s">
        <v>79</v>
      </c>
      <c r="C434" t="s">
        <v>138</v>
      </c>
      <c r="D434" s="7">
        <v>4514</v>
      </c>
      <c r="E434" s="8">
        <v>3</v>
      </c>
      <c r="F434" s="8">
        <f t="shared" si="6"/>
        <v>842</v>
      </c>
      <c r="G434" s="8">
        <v>8414</v>
      </c>
      <c r="H434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661.47169999999994</v>
      </c>
      <c r="I434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434" s="10">
        <f>MarketingSpend[[#This Row],[Actual Revenue]]/MarketingSpend[[#This Row],[Spend]]</f>
        <v>0.14653781568453697</v>
      </c>
      <c r="K434" s="20">
        <f>MarketingSpend[[#This Row],[Total Orders]]/MarketingSpend[[#This Row],[Lead]]</f>
        <v>2.3752969121140144E-3</v>
      </c>
    </row>
    <row r="435" spans="1:11">
      <c r="A435" s="6">
        <v>45931</v>
      </c>
      <c r="B435" t="s">
        <v>130</v>
      </c>
      <c r="C435" t="s">
        <v>138</v>
      </c>
      <c r="D435" s="7">
        <v>1013</v>
      </c>
      <c r="E435" s="8">
        <v>2</v>
      </c>
      <c r="F435" s="8">
        <f t="shared" si="6"/>
        <v>258</v>
      </c>
      <c r="G435" s="8">
        <v>2575</v>
      </c>
      <c r="H435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1207.3575999999998</v>
      </c>
      <c r="I435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435" s="10">
        <f>MarketingSpend[[#This Row],[Actual Revenue]]/MarketingSpend[[#This Row],[Spend]]</f>
        <v>1.1918633761105626</v>
      </c>
      <c r="K435" s="20">
        <f>MarketingSpend[[#This Row],[Total Orders]]/MarketingSpend[[#This Row],[Lead]]</f>
        <v>1.1627906976744186E-2</v>
      </c>
    </row>
    <row r="436" spans="1:11">
      <c r="A436" s="6">
        <v>45931</v>
      </c>
      <c r="B436" t="s">
        <v>90</v>
      </c>
      <c r="C436" t="s">
        <v>138</v>
      </c>
      <c r="D436" s="7">
        <v>2103</v>
      </c>
      <c r="E436" s="8">
        <v>3</v>
      </c>
      <c r="F436" s="8">
        <f t="shared" si="6"/>
        <v>499</v>
      </c>
      <c r="G436" s="8">
        <v>4986</v>
      </c>
      <c r="H436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2478.9637000000002</v>
      </c>
      <c r="I436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436" s="10">
        <f>MarketingSpend[[#This Row],[Actual Revenue]]/MarketingSpend[[#This Row],[Spend]]</f>
        <v>1.1787749405611032</v>
      </c>
      <c r="K436" s="20">
        <f>MarketingSpend[[#This Row],[Total Orders]]/MarketingSpend[[#This Row],[Lead]]</f>
        <v>8.0160320641282558E-3</v>
      </c>
    </row>
    <row r="437" spans="1:11">
      <c r="A437" s="6">
        <v>45931</v>
      </c>
      <c r="B437" t="s">
        <v>147</v>
      </c>
      <c r="C437" t="s">
        <v>194</v>
      </c>
      <c r="D437" s="7">
        <v>1571</v>
      </c>
      <c r="E437" s="8">
        <v>3</v>
      </c>
      <c r="F437" s="8">
        <f t="shared" si="6"/>
        <v>425</v>
      </c>
      <c r="G437" s="8">
        <v>4244</v>
      </c>
      <c r="H437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5939.2199999999993</v>
      </c>
      <c r="I437">
        <f>COUNTIFS(Cleaned_data[Order Month],TEXT(MarketingSpend[[#This Row],[Month]],"mmmm"),Cleaned_data[Marketing_Channel],MarketingSpend[[#This Row],[Marketing_Channel]],Cleaned_data[Region],MarketingSpend[[#This Row],[Region]])</f>
        <v>7</v>
      </c>
      <c r="J437" s="10">
        <f>MarketingSpend[[#This Row],[Actual Revenue]]/MarketingSpend[[#This Row],[Spend]]</f>
        <v>3.7805346912794393</v>
      </c>
      <c r="K437" s="20">
        <f>MarketingSpend[[#This Row],[Total Orders]]/MarketingSpend[[#This Row],[Lead]]</f>
        <v>1.6470588235294119E-2</v>
      </c>
    </row>
    <row r="438" spans="1:11">
      <c r="A438" s="6">
        <v>45931</v>
      </c>
      <c r="B438" t="s">
        <v>100</v>
      </c>
      <c r="C438" t="s">
        <v>194</v>
      </c>
      <c r="D438" s="7">
        <v>2499</v>
      </c>
      <c r="E438" s="8">
        <v>5</v>
      </c>
      <c r="F438" s="8">
        <f t="shared" si="6"/>
        <v>689</v>
      </c>
      <c r="G438" s="8">
        <v>6890</v>
      </c>
      <c r="H438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1243.1628000000001</v>
      </c>
      <c r="I438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438" s="10">
        <f>MarketingSpend[[#This Row],[Actual Revenue]]/MarketingSpend[[#This Row],[Spend]]</f>
        <v>0.4974641056422569</v>
      </c>
      <c r="K438" s="20">
        <f>MarketingSpend[[#This Row],[Total Orders]]/MarketingSpend[[#This Row],[Lead]]</f>
        <v>1.4513788098693759E-3</v>
      </c>
    </row>
    <row r="439" spans="1:11">
      <c r="A439" s="6">
        <v>45931</v>
      </c>
      <c r="B439" t="s">
        <v>79</v>
      </c>
      <c r="C439" t="s">
        <v>194</v>
      </c>
      <c r="D439" s="7">
        <v>3879</v>
      </c>
      <c r="E439" s="8">
        <v>3</v>
      </c>
      <c r="F439" s="8">
        <f t="shared" si="6"/>
        <v>927</v>
      </c>
      <c r="G439" s="8">
        <v>9262</v>
      </c>
      <c r="H439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5835.7957000000006</v>
      </c>
      <c r="I439">
        <f>COUNTIFS(Cleaned_data[Order Month],TEXT(MarketingSpend[[#This Row],[Month]],"mmmm"),Cleaned_data[Marketing_Channel],MarketingSpend[[#This Row],[Marketing_Channel]],Cleaned_data[Region],MarketingSpend[[#This Row],[Region]])</f>
        <v>5</v>
      </c>
      <c r="J439" s="10">
        <f>MarketingSpend[[#This Row],[Actual Revenue]]/MarketingSpend[[#This Row],[Spend]]</f>
        <v>1.5044588038154165</v>
      </c>
      <c r="K439" s="20">
        <f>MarketingSpend[[#This Row],[Total Orders]]/MarketingSpend[[#This Row],[Lead]]</f>
        <v>5.3937432578209281E-3</v>
      </c>
    </row>
    <row r="440" spans="1:11">
      <c r="A440" s="6">
        <v>45931</v>
      </c>
      <c r="B440" t="s">
        <v>130</v>
      </c>
      <c r="C440" t="s">
        <v>194</v>
      </c>
      <c r="D440" s="7">
        <v>891</v>
      </c>
      <c r="E440" s="8">
        <v>5</v>
      </c>
      <c r="F440" s="8">
        <f t="shared" si="6"/>
        <v>273</v>
      </c>
      <c r="G440" s="8">
        <v>2724</v>
      </c>
      <c r="H440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980.74789999999985</v>
      </c>
      <c r="I440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440" s="10">
        <f>MarketingSpend[[#This Row],[Actual Revenue]]/MarketingSpend[[#This Row],[Spend]]</f>
        <v>1.1007271604938269</v>
      </c>
      <c r="K440" s="20">
        <f>MarketingSpend[[#This Row],[Total Orders]]/MarketingSpend[[#This Row],[Lead]]</f>
        <v>7.326007326007326E-3</v>
      </c>
    </row>
    <row r="441" spans="1:11">
      <c r="A441" s="6">
        <v>45931</v>
      </c>
      <c r="B441" t="s">
        <v>90</v>
      </c>
      <c r="C441" t="s">
        <v>194</v>
      </c>
      <c r="D441" s="7">
        <v>2617</v>
      </c>
      <c r="E441" s="8">
        <v>1</v>
      </c>
      <c r="F441" s="8">
        <f t="shared" si="6"/>
        <v>438</v>
      </c>
      <c r="G441" s="8">
        <v>4377</v>
      </c>
      <c r="H441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6366.0365999999995</v>
      </c>
      <c r="I441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441" s="10">
        <f>MarketingSpend[[#This Row],[Actual Revenue]]/MarketingSpend[[#This Row],[Spend]]</f>
        <v>2.4325703477264042</v>
      </c>
      <c r="K441" s="20">
        <f>MarketingSpend[[#This Row],[Total Orders]]/MarketingSpend[[#This Row],[Lead]]</f>
        <v>6.8493150684931503E-3</v>
      </c>
    </row>
    <row r="442" spans="1:11">
      <c r="A442" s="6">
        <v>45962</v>
      </c>
      <c r="B442" t="s">
        <v>147</v>
      </c>
      <c r="C442" t="s">
        <v>75</v>
      </c>
      <c r="D442" s="7">
        <v>2216</v>
      </c>
      <c r="E442" s="8">
        <v>2</v>
      </c>
      <c r="F442" s="8">
        <f t="shared" si="6"/>
        <v>474</v>
      </c>
      <c r="G442" s="8">
        <v>4733</v>
      </c>
      <c r="H442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1692.8458000000001</v>
      </c>
      <c r="I442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442" s="10">
        <f>MarketingSpend[[#This Row],[Actual Revenue]]/MarketingSpend[[#This Row],[Spend]]</f>
        <v>0.76391958483754518</v>
      </c>
      <c r="K442" s="20">
        <f>MarketingSpend[[#This Row],[Total Orders]]/MarketingSpend[[#This Row],[Lead]]</f>
        <v>4.2194092827004216E-3</v>
      </c>
    </row>
    <row r="443" spans="1:11">
      <c r="A443" s="6">
        <v>45962</v>
      </c>
      <c r="B443" t="s">
        <v>100</v>
      </c>
      <c r="C443" t="s">
        <v>75</v>
      </c>
      <c r="D443" s="7">
        <v>3399</v>
      </c>
      <c r="E443" s="8">
        <v>2</v>
      </c>
      <c r="F443" s="8">
        <f t="shared" si="6"/>
        <v>824</v>
      </c>
      <c r="G443" s="8">
        <v>8237</v>
      </c>
      <c r="H443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510.5727</v>
      </c>
      <c r="I443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443" s="10">
        <f>MarketingSpend[[#This Row],[Actual Revenue]]/MarketingSpend[[#This Row],[Spend]]</f>
        <v>0.15021262135922331</v>
      </c>
      <c r="K443" s="20">
        <f>MarketingSpend[[#This Row],[Total Orders]]/MarketingSpend[[#This Row],[Lead]]</f>
        <v>1.2135922330097086E-3</v>
      </c>
    </row>
    <row r="444" spans="1:11">
      <c r="A444" s="6">
        <v>45962</v>
      </c>
      <c r="B444" t="s">
        <v>79</v>
      </c>
      <c r="C444" t="s">
        <v>75</v>
      </c>
      <c r="D444" s="7">
        <v>4958</v>
      </c>
      <c r="E444" s="8">
        <v>3</v>
      </c>
      <c r="F444" s="8">
        <f t="shared" si="6"/>
        <v>1102</v>
      </c>
      <c r="G444" s="8">
        <v>11019</v>
      </c>
      <c r="H444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624.98810000000003</v>
      </c>
      <c r="I444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444" s="10">
        <f>MarketingSpend[[#This Row],[Actual Revenue]]/MarketingSpend[[#This Row],[Spend]]</f>
        <v>0.12605649455425574</v>
      </c>
      <c r="K444" s="20">
        <f>MarketingSpend[[#This Row],[Total Orders]]/MarketingSpend[[#This Row],[Lead]]</f>
        <v>1.8148820326678765E-3</v>
      </c>
    </row>
    <row r="445" spans="1:11">
      <c r="A445" s="6">
        <v>45962</v>
      </c>
      <c r="B445" t="s">
        <v>130</v>
      </c>
      <c r="C445" t="s">
        <v>75</v>
      </c>
      <c r="D445" s="7">
        <v>1139</v>
      </c>
      <c r="E445" s="8">
        <v>5</v>
      </c>
      <c r="F445" s="8">
        <f t="shared" si="6"/>
        <v>320</v>
      </c>
      <c r="G445" s="8">
        <v>3195</v>
      </c>
      <c r="H445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2087.4714999999997</v>
      </c>
      <c r="I445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445" s="10">
        <f>MarketingSpend[[#This Row],[Actual Revenue]]/MarketingSpend[[#This Row],[Spend]]</f>
        <v>1.832723002633889</v>
      </c>
      <c r="K445" s="20">
        <f>MarketingSpend[[#This Row],[Total Orders]]/MarketingSpend[[#This Row],[Lead]]</f>
        <v>1.2500000000000001E-2</v>
      </c>
    </row>
    <row r="446" spans="1:11">
      <c r="A446" s="6">
        <v>45962</v>
      </c>
      <c r="B446" t="s">
        <v>90</v>
      </c>
      <c r="C446" t="s">
        <v>75</v>
      </c>
      <c r="D446" s="7">
        <v>3067</v>
      </c>
      <c r="E446" s="8">
        <v>5</v>
      </c>
      <c r="F446" s="8">
        <f t="shared" si="6"/>
        <v>714</v>
      </c>
      <c r="G446" s="8">
        <v>7131</v>
      </c>
      <c r="H446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361.18759999999997</v>
      </c>
      <c r="I446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446" s="10">
        <f>MarketingSpend[[#This Row],[Actual Revenue]]/MarketingSpend[[#This Row],[Spend]]</f>
        <v>0.11776576459080534</v>
      </c>
      <c r="K446" s="20">
        <f>MarketingSpend[[#This Row],[Total Orders]]/MarketingSpend[[#This Row],[Lead]]</f>
        <v>2.8011204481792717E-3</v>
      </c>
    </row>
    <row r="447" spans="1:11">
      <c r="A447" s="6">
        <v>45962</v>
      </c>
      <c r="B447" t="s">
        <v>147</v>
      </c>
      <c r="C447" t="s">
        <v>126</v>
      </c>
      <c r="D447" s="7">
        <v>2019</v>
      </c>
      <c r="E447" s="8">
        <v>4</v>
      </c>
      <c r="F447" s="8">
        <f t="shared" si="6"/>
        <v>565</v>
      </c>
      <c r="G447" s="8">
        <v>5650</v>
      </c>
      <c r="H447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0</v>
      </c>
      <c r="I447">
        <f>COUNTIFS(Cleaned_data[Order Month],TEXT(MarketingSpend[[#This Row],[Month]],"mmmm"),Cleaned_data[Marketing_Channel],MarketingSpend[[#This Row],[Marketing_Channel]],Cleaned_data[Region],MarketingSpend[[#This Row],[Region]])</f>
        <v>0</v>
      </c>
      <c r="J447" s="10">
        <f>MarketingSpend[[#This Row],[Actual Revenue]]/MarketingSpend[[#This Row],[Spend]]</f>
        <v>0</v>
      </c>
      <c r="K447" s="20">
        <f>MarketingSpend[[#This Row],[Total Orders]]/MarketingSpend[[#This Row],[Lead]]</f>
        <v>0</v>
      </c>
    </row>
    <row r="448" spans="1:11">
      <c r="A448" s="6">
        <v>45962</v>
      </c>
      <c r="B448" t="s">
        <v>100</v>
      </c>
      <c r="C448" t="s">
        <v>126</v>
      </c>
      <c r="D448" s="7">
        <v>3319</v>
      </c>
      <c r="E448" s="8">
        <v>4</v>
      </c>
      <c r="F448" s="8">
        <f t="shared" si="6"/>
        <v>891</v>
      </c>
      <c r="G448" s="8">
        <v>8902</v>
      </c>
      <c r="H448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176.93089999999998</v>
      </c>
      <c r="I448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448" s="10">
        <f>MarketingSpend[[#This Row],[Actual Revenue]]/MarketingSpend[[#This Row],[Spend]]</f>
        <v>5.3308496535100926E-2</v>
      </c>
      <c r="K448" s="20">
        <f>MarketingSpend[[#This Row],[Total Orders]]/MarketingSpend[[#This Row],[Lead]]</f>
        <v>1.1223344556677891E-3</v>
      </c>
    </row>
    <row r="449" spans="1:11">
      <c r="A449" s="6">
        <v>45962</v>
      </c>
      <c r="B449" t="s">
        <v>79</v>
      </c>
      <c r="C449" t="s">
        <v>126</v>
      </c>
      <c r="D449" s="7">
        <v>5895</v>
      </c>
      <c r="E449" s="8">
        <v>2</v>
      </c>
      <c r="F449" s="8">
        <f t="shared" si="6"/>
        <v>1471</v>
      </c>
      <c r="G449" s="8">
        <v>14708</v>
      </c>
      <c r="H449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2596.2885000000001</v>
      </c>
      <c r="I449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449" s="10">
        <f>MarketingSpend[[#This Row],[Actual Revenue]]/MarketingSpend[[#This Row],[Spend]]</f>
        <v>0.44042213740458019</v>
      </c>
      <c r="K449" s="20">
        <f>MarketingSpend[[#This Row],[Total Orders]]/MarketingSpend[[#This Row],[Lead]]</f>
        <v>6.7980965329707678E-4</v>
      </c>
    </row>
    <row r="450" spans="1:11">
      <c r="A450" s="6">
        <v>45962</v>
      </c>
      <c r="B450" t="s">
        <v>130</v>
      </c>
      <c r="C450" t="s">
        <v>126</v>
      </c>
      <c r="D450" s="7">
        <v>1122</v>
      </c>
      <c r="E450" s="8">
        <v>3</v>
      </c>
      <c r="F450" s="8">
        <f t="shared" ref="F450:F481" si="7">ROUNDUP(G450/10,0)</f>
        <v>283</v>
      </c>
      <c r="G450" s="8">
        <v>2825</v>
      </c>
      <c r="H450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2062.8591000000001</v>
      </c>
      <c r="I450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450" s="10">
        <f>MarketingSpend[[#This Row],[Actual Revenue]]/MarketingSpend[[#This Row],[Spend]]</f>
        <v>1.838555347593583</v>
      </c>
      <c r="K450" s="20">
        <f>MarketingSpend[[#This Row],[Total Orders]]/MarketingSpend[[#This Row],[Lead]]</f>
        <v>1.0600706713780919E-2</v>
      </c>
    </row>
    <row r="451" spans="1:11">
      <c r="A451" s="6">
        <v>45962</v>
      </c>
      <c r="B451" t="s">
        <v>90</v>
      </c>
      <c r="C451" t="s">
        <v>126</v>
      </c>
      <c r="D451" s="7">
        <v>3368</v>
      </c>
      <c r="E451" s="8">
        <v>3</v>
      </c>
      <c r="F451" s="8">
        <f t="shared" si="7"/>
        <v>710</v>
      </c>
      <c r="G451" s="8">
        <v>7097</v>
      </c>
      <c r="H451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1078.3788</v>
      </c>
      <c r="I451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451" s="10">
        <f>MarketingSpend[[#This Row],[Actual Revenue]]/MarketingSpend[[#This Row],[Spend]]</f>
        <v>0.32018372921615201</v>
      </c>
      <c r="K451" s="20">
        <f>MarketingSpend[[#This Row],[Total Orders]]/MarketingSpend[[#This Row],[Lead]]</f>
        <v>2.8169014084507044E-3</v>
      </c>
    </row>
    <row r="452" spans="1:11">
      <c r="A452" s="6">
        <v>45962</v>
      </c>
      <c r="B452" t="s">
        <v>147</v>
      </c>
      <c r="C452" t="s">
        <v>138</v>
      </c>
      <c r="D452" s="7">
        <v>1711</v>
      </c>
      <c r="E452" s="8">
        <v>2</v>
      </c>
      <c r="F452" s="8">
        <f t="shared" si="7"/>
        <v>449</v>
      </c>
      <c r="G452" s="8">
        <v>4482</v>
      </c>
      <c r="H452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3937.7734</v>
      </c>
      <c r="I452">
        <f>COUNTIFS(Cleaned_data[Order Month],TEXT(MarketingSpend[[#This Row],[Month]],"mmmm"),Cleaned_data[Marketing_Channel],MarketingSpend[[#This Row],[Marketing_Channel]],Cleaned_data[Region],MarketingSpend[[#This Row],[Region]])</f>
        <v>7</v>
      </c>
      <c r="J452" s="10">
        <f>MarketingSpend[[#This Row],[Actual Revenue]]/MarketingSpend[[#This Row],[Spend]]</f>
        <v>2.3014455873758037</v>
      </c>
      <c r="K452" s="20">
        <f>MarketingSpend[[#This Row],[Total Orders]]/MarketingSpend[[#This Row],[Lead]]</f>
        <v>1.5590200445434299E-2</v>
      </c>
    </row>
    <row r="453" spans="1:11">
      <c r="A453" s="6">
        <v>45962</v>
      </c>
      <c r="B453" t="s">
        <v>100</v>
      </c>
      <c r="C453" t="s">
        <v>138</v>
      </c>
      <c r="D453" s="7">
        <v>3321</v>
      </c>
      <c r="E453" s="8">
        <v>4</v>
      </c>
      <c r="F453" s="8">
        <f t="shared" si="7"/>
        <v>859</v>
      </c>
      <c r="G453" s="8">
        <v>8585</v>
      </c>
      <c r="H453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1721.1442</v>
      </c>
      <c r="I453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453" s="10">
        <f>MarketingSpend[[#This Row],[Actual Revenue]]/MarketingSpend[[#This Row],[Spend]]</f>
        <v>0.518260825052695</v>
      </c>
      <c r="K453" s="20">
        <f>MarketingSpend[[#This Row],[Total Orders]]/MarketingSpend[[#This Row],[Lead]]</f>
        <v>3.4924330616996507E-3</v>
      </c>
    </row>
    <row r="454" spans="1:11">
      <c r="A454" s="6">
        <v>45962</v>
      </c>
      <c r="B454" t="s">
        <v>79</v>
      </c>
      <c r="C454" t="s">
        <v>138</v>
      </c>
      <c r="D454" s="7">
        <v>4127</v>
      </c>
      <c r="E454" s="8">
        <v>2</v>
      </c>
      <c r="F454" s="8">
        <f t="shared" si="7"/>
        <v>890</v>
      </c>
      <c r="G454" s="8">
        <v>8899</v>
      </c>
      <c r="H454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1560.8093999999999</v>
      </c>
      <c r="I454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454" s="10">
        <f>MarketingSpend[[#This Row],[Actual Revenue]]/MarketingSpend[[#This Row],[Spend]]</f>
        <v>0.3781946692512721</v>
      </c>
      <c r="K454" s="20">
        <f>MarketingSpend[[#This Row],[Total Orders]]/MarketingSpend[[#This Row],[Lead]]</f>
        <v>2.2471910112359553E-3</v>
      </c>
    </row>
    <row r="455" spans="1:11">
      <c r="A455" s="6">
        <v>45962</v>
      </c>
      <c r="B455" t="s">
        <v>130</v>
      </c>
      <c r="C455" t="s">
        <v>138</v>
      </c>
      <c r="D455" s="7">
        <v>960</v>
      </c>
      <c r="E455" s="8">
        <v>4</v>
      </c>
      <c r="F455" s="8">
        <f t="shared" si="7"/>
        <v>253</v>
      </c>
      <c r="G455" s="8">
        <v>2528</v>
      </c>
      <c r="H455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106.62400000000001</v>
      </c>
      <c r="I455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455" s="10">
        <f>MarketingSpend[[#This Row],[Actual Revenue]]/MarketingSpend[[#This Row],[Spend]]</f>
        <v>0.11106666666666667</v>
      </c>
      <c r="K455" s="20">
        <f>MarketingSpend[[#This Row],[Total Orders]]/MarketingSpend[[#This Row],[Lead]]</f>
        <v>3.952569169960474E-3</v>
      </c>
    </row>
    <row r="456" spans="1:11">
      <c r="A456" s="6">
        <v>45962</v>
      </c>
      <c r="B456" t="s">
        <v>90</v>
      </c>
      <c r="C456" t="s">
        <v>138</v>
      </c>
      <c r="D456" s="7">
        <v>2277</v>
      </c>
      <c r="E456" s="8">
        <v>4</v>
      </c>
      <c r="F456" s="8">
        <f t="shared" si="7"/>
        <v>627</v>
      </c>
      <c r="G456" s="8">
        <v>6269</v>
      </c>
      <c r="H456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0</v>
      </c>
      <c r="I456">
        <f>COUNTIFS(Cleaned_data[Order Month],TEXT(MarketingSpend[[#This Row],[Month]],"mmmm"),Cleaned_data[Marketing_Channel],MarketingSpend[[#This Row],[Marketing_Channel]],Cleaned_data[Region],MarketingSpend[[#This Row],[Region]])</f>
        <v>0</v>
      </c>
      <c r="J456" s="10">
        <f>MarketingSpend[[#This Row],[Actual Revenue]]/MarketingSpend[[#This Row],[Spend]]</f>
        <v>0</v>
      </c>
      <c r="K456" s="20">
        <f>MarketingSpend[[#This Row],[Total Orders]]/MarketingSpend[[#This Row],[Lead]]</f>
        <v>0</v>
      </c>
    </row>
    <row r="457" spans="1:11">
      <c r="A457" s="6">
        <v>45962</v>
      </c>
      <c r="B457" t="s">
        <v>147</v>
      </c>
      <c r="C457" t="s">
        <v>194</v>
      </c>
      <c r="D457" s="7">
        <v>1386</v>
      </c>
      <c r="E457" s="8">
        <v>5</v>
      </c>
      <c r="F457" s="8">
        <f t="shared" si="7"/>
        <v>341</v>
      </c>
      <c r="G457" s="8">
        <v>3405</v>
      </c>
      <c r="H457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192.58359999999999</v>
      </c>
      <c r="I457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457" s="10">
        <f>MarketingSpend[[#This Row],[Actual Revenue]]/MarketingSpend[[#This Row],[Spend]]</f>
        <v>0.13894920634920635</v>
      </c>
      <c r="K457" s="20">
        <f>MarketingSpend[[#This Row],[Total Orders]]/MarketingSpend[[#This Row],[Lead]]</f>
        <v>2.9325513196480938E-3</v>
      </c>
    </row>
    <row r="458" spans="1:11">
      <c r="A458" s="6">
        <v>45962</v>
      </c>
      <c r="B458" t="s">
        <v>100</v>
      </c>
      <c r="C458" t="s">
        <v>194</v>
      </c>
      <c r="D458" s="7">
        <v>3007</v>
      </c>
      <c r="E458" s="8">
        <v>1</v>
      </c>
      <c r="F458" s="8">
        <f t="shared" si="7"/>
        <v>594</v>
      </c>
      <c r="G458" s="8">
        <v>5932</v>
      </c>
      <c r="H458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530.94299999999998</v>
      </c>
      <c r="I458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458" s="10">
        <f>MarketingSpend[[#This Row],[Actual Revenue]]/MarketingSpend[[#This Row],[Spend]]</f>
        <v>0.17656900565347522</v>
      </c>
      <c r="K458" s="20">
        <f>MarketingSpend[[#This Row],[Total Orders]]/MarketingSpend[[#This Row],[Lead]]</f>
        <v>3.3670033670033669E-3</v>
      </c>
    </row>
    <row r="459" spans="1:11">
      <c r="A459" s="6">
        <v>45962</v>
      </c>
      <c r="B459" t="s">
        <v>79</v>
      </c>
      <c r="C459" t="s">
        <v>194</v>
      </c>
      <c r="D459" s="7">
        <v>4806</v>
      </c>
      <c r="E459" s="8">
        <v>1</v>
      </c>
      <c r="F459" s="8">
        <f t="shared" si="7"/>
        <v>903</v>
      </c>
      <c r="G459" s="8">
        <v>9024</v>
      </c>
      <c r="H459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1945.9956999999999</v>
      </c>
      <c r="I459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459" s="10">
        <f>MarketingSpend[[#This Row],[Actual Revenue]]/MarketingSpend[[#This Row],[Spend]]</f>
        <v>0.40490963379109446</v>
      </c>
      <c r="K459" s="20">
        <f>MarketingSpend[[#This Row],[Total Orders]]/MarketingSpend[[#This Row],[Lead]]</f>
        <v>2.2148394241417496E-3</v>
      </c>
    </row>
    <row r="460" spans="1:11">
      <c r="A460" s="6">
        <v>45962</v>
      </c>
      <c r="B460" t="s">
        <v>130</v>
      </c>
      <c r="C460" t="s">
        <v>194</v>
      </c>
      <c r="D460" s="7">
        <v>934</v>
      </c>
      <c r="E460" s="8">
        <v>1</v>
      </c>
      <c r="F460" s="8">
        <f t="shared" si="7"/>
        <v>249</v>
      </c>
      <c r="G460" s="8">
        <v>2490</v>
      </c>
      <c r="H460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1365.4718</v>
      </c>
      <c r="I460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460" s="10">
        <f>MarketingSpend[[#This Row],[Actual Revenue]]/MarketingSpend[[#This Row],[Spend]]</f>
        <v>1.4619612419700214</v>
      </c>
      <c r="K460" s="20">
        <f>MarketingSpend[[#This Row],[Total Orders]]/MarketingSpend[[#This Row],[Lead]]</f>
        <v>1.2048192771084338E-2</v>
      </c>
    </row>
    <row r="461" spans="1:11">
      <c r="A461" s="6">
        <v>45962</v>
      </c>
      <c r="B461" t="s">
        <v>90</v>
      </c>
      <c r="C461" t="s">
        <v>194</v>
      </c>
      <c r="D461" s="7">
        <v>2405</v>
      </c>
      <c r="E461" s="8">
        <v>5</v>
      </c>
      <c r="F461" s="8">
        <f t="shared" si="7"/>
        <v>441</v>
      </c>
      <c r="G461" s="8">
        <v>4403</v>
      </c>
      <c r="H461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936.60440000000006</v>
      </c>
      <c r="I461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461" s="10">
        <f>MarketingSpend[[#This Row],[Actual Revenue]]/MarketingSpend[[#This Row],[Spend]]</f>
        <v>0.38944049896049898</v>
      </c>
      <c r="K461" s="20">
        <f>MarketingSpend[[#This Row],[Total Orders]]/MarketingSpend[[#This Row],[Lead]]</f>
        <v>6.8027210884353739E-3</v>
      </c>
    </row>
    <row r="462" spans="1:11">
      <c r="A462" s="6">
        <v>45992</v>
      </c>
      <c r="B462" t="s">
        <v>147</v>
      </c>
      <c r="C462" t="s">
        <v>75</v>
      </c>
      <c r="D462" s="7">
        <v>1945</v>
      </c>
      <c r="E462" s="8">
        <v>3</v>
      </c>
      <c r="F462" s="8">
        <f t="shared" si="7"/>
        <v>478</v>
      </c>
      <c r="G462" s="8">
        <v>4775</v>
      </c>
      <c r="H462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1733.3786999999998</v>
      </c>
      <c r="I462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462" s="10">
        <f>MarketingSpend[[#This Row],[Actual Revenue]]/MarketingSpend[[#This Row],[Spend]]</f>
        <v>0.89119727506426727</v>
      </c>
      <c r="K462" s="20">
        <f>MarketingSpend[[#This Row],[Total Orders]]/MarketingSpend[[#This Row],[Lead]]</f>
        <v>4.1841004184100415E-3</v>
      </c>
    </row>
    <row r="463" spans="1:11">
      <c r="A463" s="6">
        <v>45992</v>
      </c>
      <c r="B463" t="s">
        <v>100</v>
      </c>
      <c r="C463" t="s">
        <v>75</v>
      </c>
      <c r="D463" s="7">
        <v>3816</v>
      </c>
      <c r="E463" s="8">
        <v>1</v>
      </c>
      <c r="F463" s="8">
        <f t="shared" si="7"/>
        <v>792</v>
      </c>
      <c r="G463" s="8">
        <v>7919</v>
      </c>
      <c r="H463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5855.8780000000006</v>
      </c>
      <c r="I463">
        <f>COUNTIFS(Cleaned_data[Order Month],TEXT(MarketingSpend[[#This Row],[Month]],"mmmm"),Cleaned_data[Marketing_Channel],MarketingSpend[[#This Row],[Marketing_Channel]],Cleaned_data[Region],MarketingSpend[[#This Row],[Region]])</f>
        <v>5</v>
      </c>
      <c r="J463" s="10">
        <f>MarketingSpend[[#This Row],[Actual Revenue]]/MarketingSpend[[#This Row],[Spend]]</f>
        <v>1.5345592243186585</v>
      </c>
      <c r="K463" s="20">
        <f>MarketingSpend[[#This Row],[Total Orders]]/MarketingSpend[[#This Row],[Lead]]</f>
        <v>6.313131313131313E-3</v>
      </c>
    </row>
    <row r="464" spans="1:11">
      <c r="A464" s="6">
        <v>45992</v>
      </c>
      <c r="B464" t="s">
        <v>79</v>
      </c>
      <c r="C464" t="s">
        <v>75</v>
      </c>
      <c r="D464" s="7">
        <v>4804</v>
      </c>
      <c r="E464" s="8">
        <v>5</v>
      </c>
      <c r="F464" s="8">
        <f t="shared" si="7"/>
        <v>1035</v>
      </c>
      <c r="G464" s="8">
        <v>10343</v>
      </c>
      <c r="H464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2162.2354</v>
      </c>
      <c r="I464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464" s="10">
        <f>MarketingSpend[[#This Row],[Actual Revenue]]/MarketingSpend[[#This Row],[Spend]]</f>
        <v>0.45009063280599498</v>
      </c>
      <c r="K464" s="20">
        <f>MarketingSpend[[#This Row],[Total Orders]]/MarketingSpend[[#This Row],[Lead]]</f>
        <v>2.8985507246376812E-3</v>
      </c>
    </row>
    <row r="465" spans="1:11">
      <c r="A465" s="6">
        <v>45992</v>
      </c>
      <c r="B465" t="s">
        <v>130</v>
      </c>
      <c r="C465" t="s">
        <v>75</v>
      </c>
      <c r="D465" s="7">
        <v>1411</v>
      </c>
      <c r="E465" s="8">
        <v>2</v>
      </c>
      <c r="F465" s="8">
        <f t="shared" si="7"/>
        <v>288</v>
      </c>
      <c r="G465" s="8">
        <v>2874</v>
      </c>
      <c r="H465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0</v>
      </c>
      <c r="I465">
        <f>COUNTIFS(Cleaned_data[Order Month],TEXT(MarketingSpend[[#This Row],[Month]],"mmmm"),Cleaned_data[Marketing_Channel],MarketingSpend[[#This Row],[Marketing_Channel]],Cleaned_data[Region],MarketingSpend[[#This Row],[Region]])</f>
        <v>0</v>
      </c>
      <c r="J465" s="10">
        <f>MarketingSpend[[#This Row],[Actual Revenue]]/MarketingSpend[[#This Row],[Spend]]</f>
        <v>0</v>
      </c>
      <c r="K465" s="20">
        <f>MarketingSpend[[#This Row],[Total Orders]]/MarketingSpend[[#This Row],[Lead]]</f>
        <v>0</v>
      </c>
    </row>
    <row r="466" spans="1:11">
      <c r="A466" s="6">
        <v>45992</v>
      </c>
      <c r="B466" t="s">
        <v>90</v>
      </c>
      <c r="C466" t="s">
        <v>75</v>
      </c>
      <c r="D466" s="7">
        <v>3164</v>
      </c>
      <c r="E466" s="8">
        <v>2</v>
      </c>
      <c r="F466" s="8">
        <f t="shared" si="7"/>
        <v>584</v>
      </c>
      <c r="G466" s="8">
        <v>5840</v>
      </c>
      <c r="H466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461.78800000000001</v>
      </c>
      <c r="I466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466" s="10">
        <f>MarketingSpend[[#This Row],[Actual Revenue]]/MarketingSpend[[#This Row],[Spend]]</f>
        <v>0.14595069532237676</v>
      </c>
      <c r="K466" s="20">
        <f>MarketingSpend[[#This Row],[Total Orders]]/MarketingSpend[[#This Row],[Lead]]</f>
        <v>6.8493150684931503E-3</v>
      </c>
    </row>
    <row r="467" spans="1:11">
      <c r="A467" s="6">
        <v>45992</v>
      </c>
      <c r="B467" t="s">
        <v>147</v>
      </c>
      <c r="C467" t="s">
        <v>126</v>
      </c>
      <c r="D467" s="7">
        <v>2322</v>
      </c>
      <c r="E467" s="8">
        <v>1</v>
      </c>
      <c r="F467" s="8">
        <f t="shared" si="7"/>
        <v>387</v>
      </c>
      <c r="G467" s="8">
        <v>3866</v>
      </c>
      <c r="H467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2985.5232999999994</v>
      </c>
      <c r="I467">
        <f>COUNTIFS(Cleaned_data[Order Month],TEXT(MarketingSpend[[#This Row],[Month]],"mmmm"),Cleaned_data[Marketing_Channel],MarketingSpend[[#This Row],[Marketing_Channel]],Cleaned_data[Region],MarketingSpend[[#This Row],[Region]])</f>
        <v>6</v>
      </c>
      <c r="J467" s="10">
        <f>MarketingSpend[[#This Row],[Actual Revenue]]/MarketingSpend[[#This Row],[Spend]]</f>
        <v>1.2857550818260117</v>
      </c>
      <c r="K467" s="20">
        <f>MarketingSpend[[#This Row],[Total Orders]]/MarketingSpend[[#This Row],[Lead]]</f>
        <v>1.5503875968992248E-2</v>
      </c>
    </row>
    <row r="468" spans="1:11">
      <c r="A468" s="6">
        <v>45992</v>
      </c>
      <c r="B468" t="s">
        <v>100</v>
      </c>
      <c r="C468" t="s">
        <v>126</v>
      </c>
      <c r="D468" s="7">
        <v>4180</v>
      </c>
      <c r="E468" s="8">
        <v>5</v>
      </c>
      <c r="F468" s="8">
        <f t="shared" si="7"/>
        <v>683</v>
      </c>
      <c r="G468" s="8">
        <v>6829</v>
      </c>
      <c r="H468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1283.1402</v>
      </c>
      <c r="I468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468" s="10">
        <f>MarketingSpend[[#This Row],[Actual Revenue]]/MarketingSpend[[#This Row],[Spend]]</f>
        <v>0.30697133971291868</v>
      </c>
      <c r="K468" s="20">
        <f>MarketingSpend[[#This Row],[Total Orders]]/MarketingSpend[[#This Row],[Lead]]</f>
        <v>2.9282576866764276E-3</v>
      </c>
    </row>
    <row r="469" spans="1:11">
      <c r="A469" s="6">
        <v>45992</v>
      </c>
      <c r="B469" t="s">
        <v>79</v>
      </c>
      <c r="C469" t="s">
        <v>126</v>
      </c>
      <c r="D469" s="7">
        <v>4564</v>
      </c>
      <c r="E469" s="8">
        <v>1</v>
      </c>
      <c r="F469" s="8">
        <f t="shared" si="7"/>
        <v>1392</v>
      </c>
      <c r="G469" s="8">
        <v>13914</v>
      </c>
      <c r="H469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2467.2460000000001</v>
      </c>
      <c r="I469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469" s="10">
        <f>MarketingSpend[[#This Row],[Actual Revenue]]/MarketingSpend[[#This Row],[Spend]]</f>
        <v>0.54058851884312009</v>
      </c>
      <c r="K469" s="20">
        <f>MarketingSpend[[#This Row],[Total Orders]]/MarketingSpend[[#This Row],[Lead]]</f>
        <v>2.8735632183908046E-3</v>
      </c>
    </row>
    <row r="470" spans="1:11">
      <c r="A470" s="6">
        <v>45992</v>
      </c>
      <c r="B470" t="s">
        <v>130</v>
      </c>
      <c r="C470" t="s">
        <v>126</v>
      </c>
      <c r="D470" s="7">
        <v>1128</v>
      </c>
      <c r="E470" s="8">
        <v>5</v>
      </c>
      <c r="F470" s="8">
        <f t="shared" si="7"/>
        <v>335</v>
      </c>
      <c r="G470" s="8">
        <v>3346</v>
      </c>
      <c r="H470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323.72339999999997</v>
      </c>
      <c r="I470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470" s="10">
        <f>MarketingSpend[[#This Row],[Actual Revenue]]/MarketingSpend[[#This Row],[Spend]]</f>
        <v>0.286988829787234</v>
      </c>
      <c r="K470" s="20">
        <f>MarketingSpend[[#This Row],[Total Orders]]/MarketingSpend[[#This Row],[Lead]]</f>
        <v>5.9701492537313433E-3</v>
      </c>
    </row>
    <row r="471" spans="1:11">
      <c r="A471" s="6">
        <v>45992</v>
      </c>
      <c r="B471" t="s">
        <v>90</v>
      </c>
      <c r="C471" t="s">
        <v>126</v>
      </c>
      <c r="D471" s="7">
        <v>3119</v>
      </c>
      <c r="E471" s="8">
        <v>4</v>
      </c>
      <c r="F471" s="8">
        <f t="shared" si="7"/>
        <v>598</v>
      </c>
      <c r="G471" s="8">
        <v>5974</v>
      </c>
      <c r="H471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1612.4452000000001</v>
      </c>
      <c r="I471">
        <f>COUNTIFS(Cleaned_data[Order Month],TEXT(MarketingSpend[[#This Row],[Month]],"mmmm"),Cleaned_data[Marketing_Channel],MarketingSpend[[#This Row],[Marketing_Channel]],Cleaned_data[Region],MarketingSpend[[#This Row],[Region]])</f>
        <v>3</v>
      </c>
      <c r="J471" s="10">
        <f>MarketingSpend[[#This Row],[Actual Revenue]]/MarketingSpend[[#This Row],[Spend]]</f>
        <v>0.51697505610772687</v>
      </c>
      <c r="K471" s="20">
        <f>MarketingSpend[[#This Row],[Total Orders]]/MarketingSpend[[#This Row],[Lead]]</f>
        <v>5.016722408026756E-3</v>
      </c>
    </row>
    <row r="472" spans="1:11">
      <c r="A472" s="6">
        <v>45992</v>
      </c>
      <c r="B472" t="s">
        <v>147</v>
      </c>
      <c r="C472" t="s">
        <v>138</v>
      </c>
      <c r="D472" s="7">
        <v>1661</v>
      </c>
      <c r="E472" s="8">
        <v>1</v>
      </c>
      <c r="F472" s="8">
        <f t="shared" si="7"/>
        <v>359</v>
      </c>
      <c r="G472" s="8">
        <v>3589</v>
      </c>
      <c r="H472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0</v>
      </c>
      <c r="I472">
        <f>COUNTIFS(Cleaned_data[Order Month],TEXT(MarketingSpend[[#This Row],[Month]],"mmmm"),Cleaned_data[Marketing_Channel],MarketingSpend[[#This Row],[Marketing_Channel]],Cleaned_data[Region],MarketingSpend[[#This Row],[Region]])</f>
        <v>0</v>
      </c>
      <c r="J472" s="10">
        <f>MarketingSpend[[#This Row],[Actual Revenue]]/MarketingSpend[[#This Row],[Spend]]</f>
        <v>0</v>
      </c>
      <c r="K472" s="20">
        <f>MarketingSpend[[#This Row],[Total Orders]]/MarketingSpend[[#This Row],[Lead]]</f>
        <v>0</v>
      </c>
    </row>
    <row r="473" spans="1:11">
      <c r="A473" s="6">
        <v>45992</v>
      </c>
      <c r="B473" t="s">
        <v>100</v>
      </c>
      <c r="C473" t="s">
        <v>138</v>
      </c>
      <c r="D473" s="7">
        <v>3137</v>
      </c>
      <c r="E473" s="8">
        <v>4</v>
      </c>
      <c r="F473" s="8">
        <f t="shared" si="7"/>
        <v>531</v>
      </c>
      <c r="G473" s="8">
        <v>5308</v>
      </c>
      <c r="H473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2348.4780000000001</v>
      </c>
      <c r="I473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473" s="10">
        <f>MarketingSpend[[#This Row],[Actual Revenue]]/MarketingSpend[[#This Row],[Spend]]</f>
        <v>0.74863818935288495</v>
      </c>
      <c r="K473" s="20">
        <f>MarketingSpend[[#This Row],[Total Orders]]/MarketingSpend[[#This Row],[Lead]]</f>
        <v>3.766478342749529E-3</v>
      </c>
    </row>
    <row r="474" spans="1:11">
      <c r="A474" s="6">
        <v>45992</v>
      </c>
      <c r="B474" t="s">
        <v>79</v>
      </c>
      <c r="C474" t="s">
        <v>138</v>
      </c>
      <c r="D474" s="7">
        <v>4299</v>
      </c>
      <c r="E474" s="8">
        <v>2</v>
      </c>
      <c r="F474" s="8">
        <f t="shared" si="7"/>
        <v>846</v>
      </c>
      <c r="G474" s="8">
        <v>8451</v>
      </c>
      <c r="H474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1126.0126</v>
      </c>
      <c r="I474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474" s="10">
        <f>MarketingSpend[[#This Row],[Actual Revenue]]/MarketingSpend[[#This Row],[Spend]]</f>
        <v>0.26192430797859967</v>
      </c>
      <c r="K474" s="20">
        <f>MarketingSpend[[#This Row],[Total Orders]]/MarketingSpend[[#This Row],[Lead]]</f>
        <v>1.1820330969267139E-3</v>
      </c>
    </row>
    <row r="475" spans="1:11">
      <c r="A475" s="6">
        <v>45992</v>
      </c>
      <c r="B475" t="s">
        <v>130</v>
      </c>
      <c r="C475" t="s">
        <v>138</v>
      </c>
      <c r="D475" s="7">
        <v>1214</v>
      </c>
      <c r="E475" s="8">
        <v>4</v>
      </c>
      <c r="F475" s="8">
        <f t="shared" si="7"/>
        <v>235</v>
      </c>
      <c r="G475" s="8">
        <v>2350</v>
      </c>
      <c r="H475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522.53779999999995</v>
      </c>
      <c r="I475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475" s="10">
        <f>MarketingSpend[[#This Row],[Actual Revenue]]/MarketingSpend[[#This Row],[Spend]]</f>
        <v>0.43042652388797359</v>
      </c>
      <c r="K475" s="20">
        <f>MarketingSpend[[#This Row],[Total Orders]]/MarketingSpend[[#This Row],[Lead]]</f>
        <v>4.2553191489361703E-3</v>
      </c>
    </row>
    <row r="476" spans="1:11">
      <c r="A476" s="6">
        <v>45992</v>
      </c>
      <c r="B476" t="s">
        <v>90</v>
      </c>
      <c r="C476" t="s">
        <v>138</v>
      </c>
      <c r="D476" s="7">
        <v>2733</v>
      </c>
      <c r="E476" s="8">
        <v>4</v>
      </c>
      <c r="F476" s="8">
        <f t="shared" si="7"/>
        <v>590</v>
      </c>
      <c r="G476" s="8">
        <v>5892</v>
      </c>
      <c r="H476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134.05350000000001</v>
      </c>
      <c r="I476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476" s="10">
        <f>MarketingSpend[[#This Row],[Actual Revenue]]/MarketingSpend[[#This Row],[Spend]]</f>
        <v>4.904994511525796E-2</v>
      </c>
      <c r="K476" s="20">
        <f>MarketingSpend[[#This Row],[Total Orders]]/MarketingSpend[[#This Row],[Lead]]</f>
        <v>1.6949152542372881E-3</v>
      </c>
    </row>
    <row r="477" spans="1:11">
      <c r="A477" s="6">
        <v>45992</v>
      </c>
      <c r="B477" t="s">
        <v>147</v>
      </c>
      <c r="C477" t="s">
        <v>194</v>
      </c>
      <c r="D477" s="7">
        <v>1833</v>
      </c>
      <c r="E477" s="8">
        <v>4</v>
      </c>
      <c r="F477" s="8">
        <f t="shared" si="7"/>
        <v>318</v>
      </c>
      <c r="G477" s="8">
        <v>3175</v>
      </c>
      <c r="H477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531.09</v>
      </c>
      <c r="I477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477" s="10">
        <f>MarketingSpend[[#This Row],[Actual Revenue]]/MarketingSpend[[#This Row],[Spend]]</f>
        <v>0.28973813420621936</v>
      </c>
      <c r="K477" s="20">
        <f>MarketingSpend[[#This Row],[Total Orders]]/MarketingSpend[[#This Row],[Lead]]</f>
        <v>3.1446540880503146E-3</v>
      </c>
    </row>
    <row r="478" spans="1:11">
      <c r="A478" s="6">
        <v>45992</v>
      </c>
      <c r="B478" t="s">
        <v>100</v>
      </c>
      <c r="C478" t="s">
        <v>194</v>
      </c>
      <c r="D478" s="7">
        <v>2553</v>
      </c>
      <c r="E478" s="8">
        <v>2</v>
      </c>
      <c r="F478" s="8">
        <f t="shared" si="7"/>
        <v>524</v>
      </c>
      <c r="G478" s="8">
        <v>5239</v>
      </c>
      <c r="H478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322.51310000000001</v>
      </c>
      <c r="I478">
        <f>COUNTIFS(Cleaned_data[Order Month],TEXT(MarketingSpend[[#This Row],[Month]],"mmmm"),Cleaned_data[Marketing_Channel],MarketingSpend[[#This Row],[Marketing_Channel]],Cleaned_data[Region],MarketingSpend[[#This Row],[Region]])</f>
        <v>2</v>
      </c>
      <c r="J478" s="10">
        <f>MarketingSpend[[#This Row],[Actual Revenue]]/MarketingSpend[[#This Row],[Spend]]</f>
        <v>0.12632710536623581</v>
      </c>
      <c r="K478" s="20">
        <f>MarketingSpend[[#This Row],[Total Orders]]/MarketingSpend[[#This Row],[Lead]]</f>
        <v>3.8167938931297708E-3</v>
      </c>
    </row>
    <row r="479" spans="1:11">
      <c r="A479" s="6">
        <v>45992</v>
      </c>
      <c r="B479" t="s">
        <v>79</v>
      </c>
      <c r="C479" t="s">
        <v>194</v>
      </c>
      <c r="D479" s="7">
        <v>3661</v>
      </c>
      <c r="E479" s="8">
        <v>1</v>
      </c>
      <c r="F479" s="8">
        <f t="shared" si="7"/>
        <v>871</v>
      </c>
      <c r="G479" s="8">
        <v>8704</v>
      </c>
      <c r="H479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1387.2329</v>
      </c>
      <c r="I479">
        <f>COUNTIFS(Cleaned_data[Order Month],TEXT(MarketingSpend[[#This Row],[Month]],"mmmm"),Cleaned_data[Marketing_Channel],MarketingSpend[[#This Row],[Marketing_Channel]],Cleaned_data[Region],MarketingSpend[[#This Row],[Region]])</f>
        <v>4</v>
      </c>
      <c r="J479" s="10">
        <f>MarketingSpend[[#This Row],[Actual Revenue]]/MarketingSpend[[#This Row],[Spend]]</f>
        <v>0.37892185195301831</v>
      </c>
      <c r="K479" s="20">
        <f>MarketingSpend[[#This Row],[Total Orders]]/MarketingSpend[[#This Row],[Lead]]</f>
        <v>4.5924225028702642E-3</v>
      </c>
    </row>
    <row r="480" spans="1:11">
      <c r="A480" s="6">
        <v>45992</v>
      </c>
      <c r="B480" t="s">
        <v>130</v>
      </c>
      <c r="C480" t="s">
        <v>194</v>
      </c>
      <c r="D480" s="7">
        <v>980</v>
      </c>
      <c r="E480" s="8">
        <v>3</v>
      </c>
      <c r="F480" s="8">
        <f t="shared" si="7"/>
        <v>157</v>
      </c>
      <c r="G480" s="8">
        <v>1569</v>
      </c>
      <c r="H480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5183.1049999999996</v>
      </c>
      <c r="I480">
        <f>COUNTIFS(Cleaned_data[Order Month],TEXT(MarketingSpend[[#This Row],[Month]],"mmmm"),Cleaned_data[Marketing_Channel],MarketingSpend[[#This Row],[Marketing_Channel]],Cleaned_data[Region],MarketingSpend[[#This Row],[Region]])</f>
        <v>6</v>
      </c>
      <c r="J480" s="10">
        <f>MarketingSpend[[#This Row],[Actual Revenue]]/MarketingSpend[[#This Row],[Spend]]</f>
        <v>5.2888826530612238</v>
      </c>
      <c r="K480" s="20">
        <f>MarketingSpend[[#This Row],[Total Orders]]/MarketingSpend[[#This Row],[Lead]]</f>
        <v>3.8216560509554139E-2</v>
      </c>
    </row>
    <row r="481" spans="1:11">
      <c r="A481" s="6">
        <v>45992</v>
      </c>
      <c r="B481" t="s">
        <v>90</v>
      </c>
      <c r="C481" t="s">
        <v>194</v>
      </c>
      <c r="D481" s="7">
        <v>2211</v>
      </c>
      <c r="E481" s="8">
        <v>2</v>
      </c>
      <c r="F481" s="8">
        <f t="shared" si="7"/>
        <v>438</v>
      </c>
      <c r="G481" s="8">
        <v>4376</v>
      </c>
      <c r="H481" s="19">
        <f>SUMIFS(Cleaned_data[Net Sales],Cleaned_data[Order Month],TEXT(MarketingSpend[[#This Row],[Month]],"mmmm"),Cleaned_data[Marketing_Channel],MarketingSpend[[#This Row],[Marketing_Channel]],Cleaned_data[Region],MarketingSpend[[#This Row],[Region]])</f>
        <v>674.52299999999991</v>
      </c>
      <c r="I481">
        <f>COUNTIFS(Cleaned_data[Order Month],TEXT(MarketingSpend[[#This Row],[Month]],"mmmm"),Cleaned_data[Marketing_Channel],MarketingSpend[[#This Row],[Marketing_Channel]],Cleaned_data[Region],MarketingSpend[[#This Row],[Region]])</f>
        <v>1</v>
      </c>
      <c r="J481" s="10">
        <f>MarketingSpend[[#This Row],[Actual Revenue]]/MarketingSpend[[#This Row],[Spend]]</f>
        <v>0.30507598371777472</v>
      </c>
      <c r="K481" s="20">
        <f>MarketingSpend[[#This Row],[Total Orders]]/MarketingSpend[[#This Row],[Lead]]</f>
        <v>2.2831050228310501E-3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85"/>
  <sheetViews>
    <sheetView showGridLines="0" workbookViewId="0">
      <selection activeCell="L4" sqref="L4"/>
    </sheetView>
  </sheetViews>
  <sheetFormatPr defaultRowHeight="13.8"/>
  <cols>
    <col min="1" max="2" width="11.19921875" customWidth="1"/>
    <col min="3" max="3" width="15.59765625" customWidth="1"/>
    <col min="4" max="4" width="12" style="19" hidden="1" customWidth="1"/>
    <col min="5" max="5" width="13.3984375" style="19" bestFit="1" customWidth="1"/>
    <col min="6" max="6" width="13.19921875" style="19" customWidth="1"/>
    <col min="7" max="7" width="18.8984375" hidden="1" customWidth="1"/>
  </cols>
  <sheetData>
    <row r="1" spans="1:7" ht="27.6">
      <c r="A1" s="1" t="s">
        <v>1255</v>
      </c>
      <c r="B1" s="1" t="s">
        <v>55</v>
      </c>
      <c r="C1" s="1" t="s">
        <v>62</v>
      </c>
      <c r="D1" s="18" t="s">
        <v>1347</v>
      </c>
      <c r="E1" s="18" t="s">
        <v>1345</v>
      </c>
      <c r="F1" s="18" t="s">
        <v>1346</v>
      </c>
      <c r="G1" s="1" t="s">
        <v>1348</v>
      </c>
    </row>
    <row r="2" spans="1:7">
      <c r="A2" s="6">
        <v>45292</v>
      </c>
      <c r="B2" t="s">
        <v>75</v>
      </c>
      <c r="C2" t="s">
        <v>120</v>
      </c>
      <c r="D2" s="19">
        <v>33489</v>
      </c>
      <c r="E2" s="19">
        <f>MonthlyTargets[[#This Row],[Sales]]/20</f>
        <v>1674.45</v>
      </c>
      <c r="F2" s="19">
        <f>MonthlyTargets[[#This Row],[Profit]]/20</f>
        <v>448.35</v>
      </c>
      <c r="G2" s="7">
        <v>8967</v>
      </c>
    </row>
    <row r="3" spans="1:7">
      <c r="A3" s="6">
        <v>45292</v>
      </c>
      <c r="B3" t="s">
        <v>75</v>
      </c>
      <c r="C3" t="s">
        <v>93</v>
      </c>
      <c r="D3" s="19">
        <v>22223</v>
      </c>
      <c r="E3" s="19">
        <f>MonthlyTargets[[#This Row],[Sales]]/20</f>
        <v>1111.1500000000001</v>
      </c>
      <c r="F3" s="19">
        <f>MonthlyTargets[[#This Row],[Profit]]/20</f>
        <v>288.64999999999998</v>
      </c>
      <c r="G3" s="7">
        <v>5773</v>
      </c>
    </row>
    <row r="4" spans="1:7">
      <c r="A4" s="6">
        <v>45292</v>
      </c>
      <c r="B4" t="s">
        <v>75</v>
      </c>
      <c r="C4" t="s">
        <v>103</v>
      </c>
      <c r="D4" s="19">
        <v>14551</v>
      </c>
      <c r="E4" s="19">
        <f>MonthlyTargets[[#This Row],[Sales]]/20</f>
        <v>727.55</v>
      </c>
      <c r="F4" s="19">
        <f>MonthlyTargets[[#This Row],[Profit]]/20</f>
        <v>185</v>
      </c>
      <c r="G4" s="7">
        <v>3700</v>
      </c>
    </row>
    <row r="5" spans="1:7">
      <c r="A5" s="6">
        <v>45292</v>
      </c>
      <c r="B5" t="s">
        <v>75</v>
      </c>
      <c r="C5" t="s">
        <v>82</v>
      </c>
      <c r="D5" s="19">
        <v>14326</v>
      </c>
      <c r="E5" s="19">
        <f>MonthlyTargets[[#This Row],[Sales]]/20</f>
        <v>716.3</v>
      </c>
      <c r="F5" s="19">
        <f>MonthlyTargets[[#This Row],[Profit]]/20</f>
        <v>165</v>
      </c>
      <c r="G5" s="7">
        <v>3300</v>
      </c>
    </row>
    <row r="6" spans="1:7">
      <c r="A6" s="6">
        <v>45292</v>
      </c>
      <c r="B6" t="s">
        <v>126</v>
      </c>
      <c r="C6" t="s">
        <v>120</v>
      </c>
      <c r="D6" s="19">
        <v>35538</v>
      </c>
      <c r="E6" s="19">
        <f>MonthlyTargets[[#This Row],[Sales]]/20</f>
        <v>1776.9</v>
      </c>
      <c r="F6" s="19">
        <f>MonthlyTargets[[#This Row],[Profit]]/20</f>
        <v>414.55</v>
      </c>
      <c r="G6" s="7">
        <v>8291</v>
      </c>
    </row>
    <row r="7" spans="1:7">
      <c r="A7" s="6">
        <v>45292</v>
      </c>
      <c r="B7" t="s">
        <v>126</v>
      </c>
      <c r="C7" t="s">
        <v>93</v>
      </c>
      <c r="D7" s="19">
        <v>27009</v>
      </c>
      <c r="E7" s="19">
        <f>MonthlyTargets[[#This Row],[Sales]]/20</f>
        <v>1350.45</v>
      </c>
      <c r="F7" s="19">
        <f>MonthlyTargets[[#This Row],[Profit]]/20</f>
        <v>300.10000000000002</v>
      </c>
      <c r="G7" s="7">
        <v>6002</v>
      </c>
    </row>
    <row r="8" spans="1:7">
      <c r="A8" s="6">
        <v>45292</v>
      </c>
      <c r="B8" t="s">
        <v>126</v>
      </c>
      <c r="C8" t="s">
        <v>103</v>
      </c>
      <c r="D8" s="19">
        <v>17323</v>
      </c>
      <c r="E8" s="19">
        <f>MonthlyTargets[[#This Row],[Sales]]/20</f>
        <v>866.15</v>
      </c>
      <c r="F8" s="19">
        <f>MonthlyTargets[[#This Row],[Profit]]/20</f>
        <v>238.25</v>
      </c>
      <c r="G8" s="7">
        <v>4765</v>
      </c>
    </row>
    <row r="9" spans="1:7">
      <c r="A9" s="6">
        <v>45292</v>
      </c>
      <c r="B9" t="s">
        <v>126</v>
      </c>
      <c r="C9" t="s">
        <v>82</v>
      </c>
      <c r="D9" s="19">
        <v>13668</v>
      </c>
      <c r="E9" s="19">
        <f>MonthlyTargets[[#This Row],[Sales]]/20</f>
        <v>683.4</v>
      </c>
      <c r="F9" s="19">
        <f>MonthlyTargets[[#This Row],[Profit]]/20</f>
        <v>182.75</v>
      </c>
      <c r="G9" s="7">
        <v>3655</v>
      </c>
    </row>
    <row r="10" spans="1:7">
      <c r="A10" s="6">
        <v>45292</v>
      </c>
      <c r="B10" t="s">
        <v>138</v>
      </c>
      <c r="C10" t="s">
        <v>120</v>
      </c>
      <c r="D10" s="19">
        <v>29434</v>
      </c>
      <c r="E10" s="19">
        <f>MonthlyTargets[[#This Row],[Sales]]/20</f>
        <v>1471.7</v>
      </c>
      <c r="F10" s="19">
        <f>MonthlyTargets[[#This Row],[Profit]]/20</f>
        <v>384.75</v>
      </c>
      <c r="G10" s="7">
        <v>7695</v>
      </c>
    </row>
    <row r="11" spans="1:7">
      <c r="A11" s="6">
        <v>45292</v>
      </c>
      <c r="B11" t="s">
        <v>138</v>
      </c>
      <c r="C11" t="s">
        <v>93</v>
      </c>
      <c r="D11" s="19">
        <v>21526</v>
      </c>
      <c r="E11" s="19">
        <f>MonthlyTargets[[#This Row],[Sales]]/20</f>
        <v>1076.3</v>
      </c>
      <c r="F11" s="19">
        <f>MonthlyTargets[[#This Row],[Profit]]/20</f>
        <v>265.60000000000002</v>
      </c>
      <c r="G11" s="7">
        <v>5312</v>
      </c>
    </row>
    <row r="12" spans="1:7">
      <c r="A12" s="6">
        <v>45292</v>
      </c>
      <c r="B12" t="s">
        <v>138</v>
      </c>
      <c r="C12" t="s">
        <v>103</v>
      </c>
      <c r="D12" s="19">
        <v>13045</v>
      </c>
      <c r="E12" s="19">
        <f>MonthlyTargets[[#This Row],[Sales]]/20</f>
        <v>652.25</v>
      </c>
      <c r="F12" s="19">
        <f>MonthlyTargets[[#This Row],[Profit]]/20</f>
        <v>150.85</v>
      </c>
      <c r="G12" s="7">
        <v>3017</v>
      </c>
    </row>
    <row r="13" spans="1:7">
      <c r="A13" s="6">
        <v>45292</v>
      </c>
      <c r="B13" t="s">
        <v>138</v>
      </c>
      <c r="C13" t="s">
        <v>82</v>
      </c>
      <c r="D13" s="19">
        <v>12093</v>
      </c>
      <c r="E13" s="19">
        <f>MonthlyTargets[[#This Row],[Sales]]/20</f>
        <v>604.65</v>
      </c>
      <c r="F13" s="19">
        <f>MonthlyTargets[[#This Row],[Profit]]/20</f>
        <v>148.5</v>
      </c>
      <c r="G13" s="7">
        <v>2970</v>
      </c>
    </row>
    <row r="14" spans="1:7">
      <c r="A14" s="6">
        <v>45292</v>
      </c>
      <c r="B14" t="s">
        <v>194</v>
      </c>
      <c r="C14" t="s">
        <v>120</v>
      </c>
      <c r="D14" s="19">
        <v>26624</v>
      </c>
      <c r="E14" s="19">
        <f>MonthlyTargets[[#This Row],[Sales]]/20</f>
        <v>1331.2</v>
      </c>
      <c r="F14" s="19">
        <f>MonthlyTargets[[#This Row],[Profit]]/20</f>
        <v>385.75</v>
      </c>
      <c r="G14" s="7">
        <v>7715</v>
      </c>
    </row>
    <row r="15" spans="1:7">
      <c r="A15" s="6">
        <v>45292</v>
      </c>
      <c r="B15" t="s">
        <v>194</v>
      </c>
      <c r="C15" t="s">
        <v>93</v>
      </c>
      <c r="D15" s="19">
        <v>20655</v>
      </c>
      <c r="E15" s="19">
        <f>MonthlyTargets[[#This Row],[Sales]]/20</f>
        <v>1032.75</v>
      </c>
      <c r="F15" s="19">
        <f>MonthlyTargets[[#This Row],[Profit]]/20</f>
        <v>301.10000000000002</v>
      </c>
      <c r="G15" s="7">
        <v>6022</v>
      </c>
    </row>
    <row r="16" spans="1:7">
      <c r="A16" s="6">
        <v>45292</v>
      </c>
      <c r="B16" t="s">
        <v>194</v>
      </c>
      <c r="C16" t="s">
        <v>103</v>
      </c>
      <c r="D16" s="19">
        <v>11473</v>
      </c>
      <c r="E16" s="19">
        <f>MonthlyTargets[[#This Row],[Sales]]/20</f>
        <v>573.65</v>
      </c>
      <c r="F16" s="19">
        <f>MonthlyTargets[[#This Row],[Profit]]/20</f>
        <v>135.4</v>
      </c>
      <c r="G16" s="7">
        <v>2708</v>
      </c>
    </row>
    <row r="17" spans="1:7">
      <c r="A17" s="6">
        <v>45292</v>
      </c>
      <c r="B17" t="s">
        <v>194</v>
      </c>
      <c r="C17" t="s">
        <v>82</v>
      </c>
      <c r="D17" s="19">
        <v>10385</v>
      </c>
      <c r="E17" s="19">
        <f>MonthlyTargets[[#This Row],[Sales]]/20</f>
        <v>519.25</v>
      </c>
      <c r="F17" s="19">
        <f>MonthlyTargets[[#This Row],[Profit]]/20</f>
        <v>152.9</v>
      </c>
      <c r="G17" s="7">
        <v>3058</v>
      </c>
    </row>
    <row r="18" spans="1:7">
      <c r="A18" s="6">
        <v>45323</v>
      </c>
      <c r="B18" t="s">
        <v>75</v>
      </c>
      <c r="C18" t="s">
        <v>120</v>
      </c>
      <c r="D18" s="19">
        <v>34633</v>
      </c>
      <c r="E18" s="19">
        <f>MonthlyTargets[[#This Row],[Sales]]/20</f>
        <v>1731.65</v>
      </c>
      <c r="F18" s="19">
        <f>MonthlyTargets[[#This Row],[Profit]]/20</f>
        <v>485.6</v>
      </c>
      <c r="G18" s="7">
        <v>9712</v>
      </c>
    </row>
    <row r="19" spans="1:7">
      <c r="A19" s="6">
        <v>45323</v>
      </c>
      <c r="B19" t="s">
        <v>75</v>
      </c>
      <c r="C19" t="s">
        <v>93</v>
      </c>
      <c r="D19" s="19">
        <v>23745</v>
      </c>
      <c r="E19" s="19">
        <f>MonthlyTargets[[#This Row],[Sales]]/20</f>
        <v>1187.25</v>
      </c>
      <c r="F19" s="19">
        <f>MonthlyTargets[[#This Row],[Profit]]/20</f>
        <v>350.5</v>
      </c>
      <c r="G19" s="7">
        <v>7010</v>
      </c>
    </row>
    <row r="20" spans="1:7">
      <c r="A20" s="6">
        <v>45323</v>
      </c>
      <c r="B20" t="s">
        <v>75</v>
      </c>
      <c r="C20" t="s">
        <v>103</v>
      </c>
      <c r="D20" s="19">
        <v>15106</v>
      </c>
      <c r="E20" s="19">
        <f>MonthlyTargets[[#This Row],[Sales]]/20</f>
        <v>755.3</v>
      </c>
      <c r="F20" s="19">
        <f>MonthlyTargets[[#This Row],[Profit]]/20</f>
        <v>179.1</v>
      </c>
      <c r="G20" s="7">
        <v>3582</v>
      </c>
    </row>
    <row r="21" spans="1:7">
      <c r="A21" s="6">
        <v>45323</v>
      </c>
      <c r="B21" t="s">
        <v>75</v>
      </c>
      <c r="C21" t="s">
        <v>82</v>
      </c>
      <c r="D21" s="19">
        <v>13624</v>
      </c>
      <c r="E21" s="19">
        <f>MonthlyTargets[[#This Row],[Sales]]/20</f>
        <v>681.2</v>
      </c>
      <c r="F21" s="19">
        <f>MonthlyTargets[[#This Row],[Profit]]/20</f>
        <v>195.4</v>
      </c>
      <c r="G21" s="7">
        <v>3908</v>
      </c>
    </row>
    <row r="22" spans="1:7">
      <c r="A22" s="6">
        <v>45323</v>
      </c>
      <c r="B22" t="s">
        <v>126</v>
      </c>
      <c r="C22" t="s">
        <v>120</v>
      </c>
      <c r="D22" s="19">
        <v>33420</v>
      </c>
      <c r="E22" s="19">
        <f>MonthlyTargets[[#This Row],[Sales]]/20</f>
        <v>1671</v>
      </c>
      <c r="F22" s="19">
        <f>MonthlyTargets[[#This Row],[Profit]]/20</f>
        <v>438</v>
      </c>
      <c r="G22" s="7">
        <v>8760</v>
      </c>
    </row>
    <row r="23" spans="1:7">
      <c r="A23" s="6">
        <v>45323</v>
      </c>
      <c r="B23" t="s">
        <v>126</v>
      </c>
      <c r="C23" t="s">
        <v>93</v>
      </c>
      <c r="D23" s="19">
        <v>25598</v>
      </c>
      <c r="E23" s="19">
        <f>MonthlyTargets[[#This Row],[Sales]]/20</f>
        <v>1279.9000000000001</v>
      </c>
      <c r="F23" s="19">
        <f>MonthlyTargets[[#This Row],[Profit]]/20</f>
        <v>380.7</v>
      </c>
      <c r="G23" s="7">
        <v>7614</v>
      </c>
    </row>
    <row r="24" spans="1:7">
      <c r="A24" s="6">
        <v>45323</v>
      </c>
      <c r="B24" t="s">
        <v>126</v>
      </c>
      <c r="C24" t="s">
        <v>103</v>
      </c>
      <c r="D24" s="19">
        <v>16956</v>
      </c>
      <c r="E24" s="19">
        <f>MonthlyTargets[[#This Row],[Sales]]/20</f>
        <v>847.8</v>
      </c>
      <c r="F24" s="19">
        <f>MonthlyTargets[[#This Row],[Profit]]/20</f>
        <v>193.55</v>
      </c>
      <c r="G24" s="7">
        <v>3871</v>
      </c>
    </row>
    <row r="25" spans="1:7">
      <c r="A25" s="6">
        <v>45323</v>
      </c>
      <c r="B25" t="s">
        <v>126</v>
      </c>
      <c r="C25" t="s">
        <v>82</v>
      </c>
      <c r="D25" s="19">
        <v>13714</v>
      </c>
      <c r="E25" s="19">
        <f>MonthlyTargets[[#This Row],[Sales]]/20</f>
        <v>685.7</v>
      </c>
      <c r="F25" s="19">
        <f>MonthlyTargets[[#This Row],[Profit]]/20</f>
        <v>197.4</v>
      </c>
      <c r="G25" s="7">
        <v>3948</v>
      </c>
    </row>
    <row r="26" spans="1:7">
      <c r="A26" s="6">
        <v>45323</v>
      </c>
      <c r="B26" t="s">
        <v>138</v>
      </c>
      <c r="C26" t="s">
        <v>120</v>
      </c>
      <c r="D26" s="19">
        <v>29751</v>
      </c>
      <c r="E26" s="19">
        <f>MonthlyTargets[[#This Row],[Sales]]/20</f>
        <v>1487.55</v>
      </c>
      <c r="F26" s="19">
        <f>MonthlyTargets[[#This Row],[Profit]]/20</f>
        <v>354.2</v>
      </c>
      <c r="G26" s="7">
        <v>7084</v>
      </c>
    </row>
    <row r="27" spans="1:7">
      <c r="A27" s="6">
        <v>45323</v>
      </c>
      <c r="B27" t="s">
        <v>138</v>
      </c>
      <c r="C27" t="s">
        <v>93</v>
      </c>
      <c r="D27" s="19">
        <v>24048</v>
      </c>
      <c r="E27" s="19">
        <f>MonthlyTargets[[#This Row],[Sales]]/20</f>
        <v>1202.4000000000001</v>
      </c>
      <c r="F27" s="19">
        <f>MonthlyTargets[[#This Row],[Profit]]/20</f>
        <v>300.5</v>
      </c>
      <c r="G27" s="7">
        <v>6010</v>
      </c>
    </row>
    <row r="28" spans="1:7">
      <c r="A28" s="6">
        <v>45323</v>
      </c>
      <c r="B28" t="s">
        <v>138</v>
      </c>
      <c r="C28" t="s">
        <v>103</v>
      </c>
      <c r="D28" s="19">
        <v>13327</v>
      </c>
      <c r="E28" s="19">
        <f>MonthlyTargets[[#This Row],[Sales]]/20</f>
        <v>666.35</v>
      </c>
      <c r="F28" s="19">
        <f>MonthlyTargets[[#This Row],[Profit]]/20</f>
        <v>159.9</v>
      </c>
      <c r="G28" s="7">
        <v>3198</v>
      </c>
    </row>
    <row r="29" spans="1:7">
      <c r="A29" s="6">
        <v>45323</v>
      </c>
      <c r="B29" t="s">
        <v>138</v>
      </c>
      <c r="C29" t="s">
        <v>82</v>
      </c>
      <c r="D29" s="19">
        <v>11758</v>
      </c>
      <c r="E29" s="19">
        <f>MonthlyTargets[[#This Row],[Sales]]/20</f>
        <v>587.9</v>
      </c>
      <c r="F29" s="19">
        <f>MonthlyTargets[[#This Row],[Profit]]/20</f>
        <v>136.1</v>
      </c>
      <c r="G29" s="7">
        <v>2722</v>
      </c>
    </row>
    <row r="30" spans="1:7">
      <c r="A30" s="6">
        <v>45323</v>
      </c>
      <c r="B30" t="s">
        <v>194</v>
      </c>
      <c r="C30" t="s">
        <v>120</v>
      </c>
      <c r="D30" s="19">
        <v>31152</v>
      </c>
      <c r="E30" s="19">
        <f>MonthlyTargets[[#This Row],[Sales]]/20</f>
        <v>1557.6</v>
      </c>
      <c r="F30" s="19">
        <f>MonthlyTargets[[#This Row],[Profit]]/20</f>
        <v>387.25</v>
      </c>
      <c r="G30" s="7">
        <v>7745</v>
      </c>
    </row>
    <row r="31" spans="1:7">
      <c r="A31" s="6">
        <v>45323</v>
      </c>
      <c r="B31" t="s">
        <v>194</v>
      </c>
      <c r="C31" t="s">
        <v>93</v>
      </c>
      <c r="D31" s="19">
        <v>18720</v>
      </c>
      <c r="E31" s="19">
        <f>MonthlyTargets[[#This Row],[Sales]]/20</f>
        <v>936</v>
      </c>
      <c r="F31" s="19">
        <f>MonthlyTargets[[#This Row],[Profit]]/20</f>
        <v>243.95</v>
      </c>
      <c r="G31" s="7">
        <v>4879</v>
      </c>
    </row>
    <row r="32" spans="1:7">
      <c r="A32" s="6">
        <v>45323</v>
      </c>
      <c r="B32" t="s">
        <v>194</v>
      </c>
      <c r="C32" t="s">
        <v>103</v>
      </c>
      <c r="D32" s="19">
        <v>12719</v>
      </c>
      <c r="E32" s="19">
        <f>MonthlyTargets[[#This Row],[Sales]]/20</f>
        <v>635.95000000000005</v>
      </c>
      <c r="F32" s="19">
        <f>MonthlyTargets[[#This Row],[Profit]]/20</f>
        <v>187.15</v>
      </c>
      <c r="G32" s="7">
        <v>3743</v>
      </c>
    </row>
    <row r="33" spans="1:7">
      <c r="A33" s="6">
        <v>45323</v>
      </c>
      <c r="B33" t="s">
        <v>194</v>
      </c>
      <c r="C33" t="s">
        <v>82</v>
      </c>
      <c r="D33" s="19">
        <v>10557</v>
      </c>
      <c r="E33" s="19">
        <f>MonthlyTargets[[#This Row],[Sales]]/20</f>
        <v>527.85</v>
      </c>
      <c r="F33" s="19">
        <f>MonthlyTargets[[#This Row],[Profit]]/20</f>
        <v>142.85</v>
      </c>
      <c r="G33" s="7">
        <v>2857</v>
      </c>
    </row>
    <row r="34" spans="1:7">
      <c r="A34" s="6">
        <v>45352</v>
      </c>
      <c r="B34" t="s">
        <v>75</v>
      </c>
      <c r="C34" t="s">
        <v>120</v>
      </c>
      <c r="D34" s="19">
        <v>35591</v>
      </c>
      <c r="E34" s="19">
        <f>MonthlyTargets[[#This Row],[Sales]]/20</f>
        <v>1779.55</v>
      </c>
      <c r="F34" s="19">
        <f>MonthlyTargets[[#This Row],[Profit]]/20</f>
        <v>422.15</v>
      </c>
      <c r="G34" s="7">
        <v>8443</v>
      </c>
    </row>
    <row r="35" spans="1:7">
      <c r="A35" s="6">
        <v>45352</v>
      </c>
      <c r="B35" t="s">
        <v>75</v>
      </c>
      <c r="C35" t="s">
        <v>93</v>
      </c>
      <c r="D35" s="19">
        <v>29745</v>
      </c>
      <c r="E35" s="19">
        <f>MonthlyTargets[[#This Row],[Sales]]/20</f>
        <v>1487.25</v>
      </c>
      <c r="F35" s="19">
        <f>MonthlyTargets[[#This Row],[Profit]]/20</f>
        <v>355.6</v>
      </c>
      <c r="G35" s="7">
        <v>7112</v>
      </c>
    </row>
    <row r="36" spans="1:7">
      <c r="A36" s="6">
        <v>45352</v>
      </c>
      <c r="B36" t="s">
        <v>75</v>
      </c>
      <c r="C36" t="s">
        <v>103</v>
      </c>
      <c r="D36" s="19">
        <v>15633</v>
      </c>
      <c r="E36" s="19">
        <f>MonthlyTargets[[#This Row],[Sales]]/20</f>
        <v>781.65</v>
      </c>
      <c r="F36" s="19">
        <f>MonthlyTargets[[#This Row],[Profit]]/20</f>
        <v>179.4</v>
      </c>
      <c r="G36" s="7">
        <v>3588</v>
      </c>
    </row>
    <row r="37" spans="1:7">
      <c r="A37" s="6">
        <v>45352</v>
      </c>
      <c r="B37" t="s">
        <v>75</v>
      </c>
      <c r="C37" t="s">
        <v>82</v>
      </c>
      <c r="D37" s="19">
        <v>13630</v>
      </c>
      <c r="E37" s="19">
        <f>MonthlyTargets[[#This Row],[Sales]]/20</f>
        <v>681.5</v>
      </c>
      <c r="F37" s="19">
        <f>MonthlyTargets[[#This Row],[Profit]]/20</f>
        <v>163.6</v>
      </c>
      <c r="G37" s="7">
        <v>3272</v>
      </c>
    </row>
    <row r="38" spans="1:7">
      <c r="A38" s="6">
        <v>45352</v>
      </c>
      <c r="B38" t="s">
        <v>126</v>
      </c>
      <c r="C38" t="s">
        <v>120</v>
      </c>
      <c r="D38" s="19">
        <v>42591</v>
      </c>
      <c r="E38" s="19">
        <f>MonthlyTargets[[#This Row],[Sales]]/20</f>
        <v>2129.5500000000002</v>
      </c>
      <c r="F38" s="19">
        <f>MonthlyTargets[[#This Row],[Profit]]/20</f>
        <v>506.05</v>
      </c>
      <c r="G38" s="7">
        <v>10121</v>
      </c>
    </row>
    <row r="39" spans="1:7">
      <c r="A39" s="6">
        <v>45352</v>
      </c>
      <c r="B39" t="s">
        <v>126</v>
      </c>
      <c r="C39" t="s">
        <v>93</v>
      </c>
      <c r="D39" s="19">
        <v>28095</v>
      </c>
      <c r="E39" s="19">
        <f>MonthlyTargets[[#This Row],[Sales]]/20</f>
        <v>1404.75</v>
      </c>
      <c r="F39" s="19">
        <f>MonthlyTargets[[#This Row],[Profit]]/20</f>
        <v>396.8</v>
      </c>
      <c r="G39" s="7">
        <v>7936</v>
      </c>
    </row>
    <row r="40" spans="1:7">
      <c r="A40" s="6">
        <v>45352</v>
      </c>
      <c r="B40" t="s">
        <v>126</v>
      </c>
      <c r="C40" t="s">
        <v>103</v>
      </c>
      <c r="D40" s="19">
        <v>17038</v>
      </c>
      <c r="E40" s="19">
        <f>MonthlyTargets[[#This Row],[Sales]]/20</f>
        <v>851.9</v>
      </c>
      <c r="F40" s="19">
        <f>MonthlyTargets[[#This Row],[Profit]]/20</f>
        <v>219.85</v>
      </c>
      <c r="G40" s="7">
        <v>4397</v>
      </c>
    </row>
    <row r="41" spans="1:7">
      <c r="A41" s="6">
        <v>45352</v>
      </c>
      <c r="B41" t="s">
        <v>126</v>
      </c>
      <c r="C41" t="s">
        <v>82</v>
      </c>
      <c r="D41" s="19">
        <v>16863</v>
      </c>
      <c r="E41" s="19">
        <f>MonthlyTargets[[#This Row],[Sales]]/20</f>
        <v>843.15</v>
      </c>
      <c r="F41" s="19">
        <f>MonthlyTargets[[#This Row],[Profit]]/20</f>
        <v>210.95</v>
      </c>
      <c r="G41" s="7">
        <v>4219</v>
      </c>
    </row>
    <row r="42" spans="1:7">
      <c r="A42" s="6">
        <v>45352</v>
      </c>
      <c r="B42" t="s">
        <v>138</v>
      </c>
      <c r="C42" t="s">
        <v>120</v>
      </c>
      <c r="D42" s="19">
        <v>33622</v>
      </c>
      <c r="E42" s="19">
        <f>MonthlyTargets[[#This Row],[Sales]]/20</f>
        <v>1681.1</v>
      </c>
      <c r="F42" s="19">
        <f>MonthlyTargets[[#This Row],[Profit]]/20</f>
        <v>389.35</v>
      </c>
      <c r="G42" s="7">
        <v>7787</v>
      </c>
    </row>
    <row r="43" spans="1:7">
      <c r="A43" s="6">
        <v>45352</v>
      </c>
      <c r="B43" t="s">
        <v>138</v>
      </c>
      <c r="C43" t="s">
        <v>93</v>
      </c>
      <c r="D43" s="19">
        <v>23592</v>
      </c>
      <c r="E43" s="19">
        <f>MonthlyTargets[[#This Row],[Sales]]/20</f>
        <v>1179.5999999999999</v>
      </c>
      <c r="F43" s="19">
        <f>MonthlyTargets[[#This Row],[Profit]]/20</f>
        <v>265.8</v>
      </c>
      <c r="G43" s="7">
        <v>5316</v>
      </c>
    </row>
    <row r="44" spans="1:7">
      <c r="A44" s="6">
        <v>45352</v>
      </c>
      <c r="B44" t="s">
        <v>138</v>
      </c>
      <c r="C44" t="s">
        <v>103</v>
      </c>
      <c r="D44" s="19">
        <v>14513</v>
      </c>
      <c r="E44" s="19">
        <f>MonthlyTargets[[#This Row],[Sales]]/20</f>
        <v>725.65</v>
      </c>
      <c r="F44" s="19">
        <f>MonthlyTargets[[#This Row],[Profit]]/20</f>
        <v>174.25</v>
      </c>
      <c r="G44" s="7">
        <v>3485</v>
      </c>
    </row>
    <row r="45" spans="1:7">
      <c r="A45" s="6">
        <v>45352</v>
      </c>
      <c r="B45" t="s">
        <v>138</v>
      </c>
      <c r="C45" t="s">
        <v>82</v>
      </c>
      <c r="D45" s="19">
        <v>12838</v>
      </c>
      <c r="E45" s="19">
        <f>MonthlyTargets[[#This Row],[Sales]]/20</f>
        <v>641.9</v>
      </c>
      <c r="F45" s="19">
        <f>MonthlyTargets[[#This Row],[Profit]]/20</f>
        <v>177.9</v>
      </c>
      <c r="G45" s="7">
        <v>3558</v>
      </c>
    </row>
    <row r="46" spans="1:7">
      <c r="A46" s="6">
        <v>45352</v>
      </c>
      <c r="B46" t="s">
        <v>194</v>
      </c>
      <c r="C46" t="s">
        <v>120</v>
      </c>
      <c r="D46" s="19">
        <v>31764</v>
      </c>
      <c r="E46" s="19">
        <f>MonthlyTargets[[#This Row],[Sales]]/20</f>
        <v>1588.2</v>
      </c>
      <c r="F46" s="19">
        <f>MonthlyTargets[[#This Row],[Profit]]/20</f>
        <v>424.7</v>
      </c>
      <c r="G46" s="7">
        <v>8494</v>
      </c>
    </row>
    <row r="47" spans="1:7">
      <c r="A47" s="6">
        <v>45352</v>
      </c>
      <c r="B47" t="s">
        <v>194</v>
      </c>
      <c r="C47" t="s">
        <v>93</v>
      </c>
      <c r="D47" s="19">
        <v>24970</v>
      </c>
      <c r="E47" s="19">
        <f>MonthlyTargets[[#This Row],[Sales]]/20</f>
        <v>1248.5</v>
      </c>
      <c r="F47" s="19">
        <f>MonthlyTargets[[#This Row],[Profit]]/20</f>
        <v>342.8</v>
      </c>
      <c r="G47" s="7">
        <v>6856</v>
      </c>
    </row>
    <row r="48" spans="1:7">
      <c r="A48" s="6">
        <v>45352</v>
      </c>
      <c r="B48" t="s">
        <v>194</v>
      </c>
      <c r="C48" t="s">
        <v>103</v>
      </c>
      <c r="D48" s="19">
        <v>15439</v>
      </c>
      <c r="E48" s="19">
        <f>MonthlyTargets[[#This Row],[Sales]]/20</f>
        <v>771.95</v>
      </c>
      <c r="F48" s="19">
        <f>MonthlyTargets[[#This Row],[Profit]]/20</f>
        <v>221.2</v>
      </c>
      <c r="G48" s="7">
        <v>4424</v>
      </c>
    </row>
    <row r="49" spans="1:7">
      <c r="A49" s="6">
        <v>45352</v>
      </c>
      <c r="B49" t="s">
        <v>194</v>
      </c>
      <c r="C49" t="s">
        <v>82</v>
      </c>
      <c r="D49" s="19">
        <v>12582</v>
      </c>
      <c r="E49" s="19">
        <f>MonthlyTargets[[#This Row],[Sales]]/20</f>
        <v>629.1</v>
      </c>
      <c r="F49" s="19">
        <f>MonthlyTargets[[#This Row],[Profit]]/20</f>
        <v>178.9</v>
      </c>
      <c r="G49" s="7">
        <v>3578</v>
      </c>
    </row>
    <row r="50" spans="1:7">
      <c r="A50" s="6">
        <v>45383</v>
      </c>
      <c r="B50" t="s">
        <v>75</v>
      </c>
      <c r="C50" t="s">
        <v>120</v>
      </c>
      <c r="D50" s="19">
        <v>36067</v>
      </c>
      <c r="E50" s="19">
        <f>MonthlyTargets[[#This Row],[Sales]]/20</f>
        <v>1803.35</v>
      </c>
      <c r="F50" s="19">
        <f>MonthlyTargets[[#This Row],[Profit]]/20</f>
        <v>466.35</v>
      </c>
      <c r="G50" s="7">
        <v>9327</v>
      </c>
    </row>
    <row r="51" spans="1:7">
      <c r="A51" s="6">
        <v>45383</v>
      </c>
      <c r="B51" t="s">
        <v>75</v>
      </c>
      <c r="C51" t="s">
        <v>93</v>
      </c>
      <c r="D51" s="19">
        <v>26154</v>
      </c>
      <c r="E51" s="19">
        <f>MonthlyTargets[[#This Row],[Sales]]/20</f>
        <v>1307.7</v>
      </c>
      <c r="F51" s="19">
        <f>MonthlyTargets[[#This Row],[Profit]]/20</f>
        <v>353.45</v>
      </c>
      <c r="G51" s="7">
        <v>7069</v>
      </c>
    </row>
    <row r="52" spans="1:7">
      <c r="A52" s="6">
        <v>45383</v>
      </c>
      <c r="B52" t="s">
        <v>75</v>
      </c>
      <c r="C52" t="s">
        <v>103</v>
      </c>
      <c r="D52" s="19">
        <v>16671</v>
      </c>
      <c r="E52" s="19">
        <f>MonthlyTargets[[#This Row],[Sales]]/20</f>
        <v>833.55</v>
      </c>
      <c r="F52" s="19">
        <f>MonthlyTargets[[#This Row],[Profit]]/20</f>
        <v>216.15</v>
      </c>
      <c r="G52" s="7">
        <v>4323</v>
      </c>
    </row>
    <row r="53" spans="1:7">
      <c r="A53" s="6">
        <v>45383</v>
      </c>
      <c r="B53" t="s">
        <v>75</v>
      </c>
      <c r="C53" t="s">
        <v>82</v>
      </c>
      <c r="D53" s="19">
        <v>13564</v>
      </c>
      <c r="E53" s="19">
        <f>MonthlyTargets[[#This Row],[Sales]]/20</f>
        <v>678.2</v>
      </c>
      <c r="F53" s="19">
        <f>MonthlyTargets[[#This Row],[Profit]]/20</f>
        <v>158.30000000000001</v>
      </c>
      <c r="G53" s="7">
        <v>3166</v>
      </c>
    </row>
    <row r="54" spans="1:7">
      <c r="A54" s="6">
        <v>45383</v>
      </c>
      <c r="B54" t="s">
        <v>126</v>
      </c>
      <c r="C54" t="s">
        <v>120</v>
      </c>
      <c r="D54" s="19">
        <v>44271</v>
      </c>
      <c r="E54" s="19">
        <f>MonthlyTargets[[#This Row],[Sales]]/20</f>
        <v>2213.5500000000002</v>
      </c>
      <c r="F54" s="19">
        <f>MonthlyTargets[[#This Row],[Profit]]/20</f>
        <v>506.8</v>
      </c>
      <c r="G54" s="7">
        <v>10136</v>
      </c>
    </row>
    <row r="55" spans="1:7">
      <c r="A55" s="6">
        <v>45383</v>
      </c>
      <c r="B55" t="s">
        <v>126</v>
      </c>
      <c r="C55" t="s">
        <v>93</v>
      </c>
      <c r="D55" s="19">
        <v>26922</v>
      </c>
      <c r="E55" s="19">
        <f>MonthlyTargets[[#This Row],[Sales]]/20</f>
        <v>1346.1</v>
      </c>
      <c r="F55" s="19">
        <f>MonthlyTargets[[#This Row],[Profit]]/20</f>
        <v>296.35000000000002</v>
      </c>
      <c r="G55" s="7">
        <v>5927</v>
      </c>
    </row>
    <row r="56" spans="1:7">
      <c r="A56" s="6">
        <v>45383</v>
      </c>
      <c r="B56" t="s">
        <v>126</v>
      </c>
      <c r="C56" t="s">
        <v>103</v>
      </c>
      <c r="D56" s="19">
        <v>19075</v>
      </c>
      <c r="E56" s="19">
        <f>MonthlyTargets[[#This Row],[Sales]]/20</f>
        <v>953.75</v>
      </c>
      <c r="F56" s="19">
        <f>MonthlyTargets[[#This Row],[Profit]]/20</f>
        <v>275.8</v>
      </c>
      <c r="G56" s="7">
        <v>5516</v>
      </c>
    </row>
    <row r="57" spans="1:7">
      <c r="A57" s="6">
        <v>45383</v>
      </c>
      <c r="B57" t="s">
        <v>126</v>
      </c>
      <c r="C57" t="s">
        <v>82</v>
      </c>
      <c r="D57" s="19">
        <v>16960</v>
      </c>
      <c r="E57" s="19">
        <f>MonthlyTargets[[#This Row],[Sales]]/20</f>
        <v>848</v>
      </c>
      <c r="F57" s="19">
        <f>MonthlyTargets[[#This Row],[Profit]]/20</f>
        <v>248.85</v>
      </c>
      <c r="G57" s="7">
        <v>4977</v>
      </c>
    </row>
    <row r="58" spans="1:7">
      <c r="A58" s="6">
        <v>45383</v>
      </c>
      <c r="B58" t="s">
        <v>138</v>
      </c>
      <c r="C58" t="s">
        <v>120</v>
      </c>
      <c r="D58" s="19">
        <v>34573</v>
      </c>
      <c r="E58" s="19">
        <f>MonthlyTargets[[#This Row],[Sales]]/20</f>
        <v>1728.65</v>
      </c>
      <c r="F58" s="19">
        <f>MonthlyTargets[[#This Row],[Profit]]/20</f>
        <v>381.3</v>
      </c>
      <c r="G58" s="7">
        <v>7626</v>
      </c>
    </row>
    <row r="59" spans="1:7">
      <c r="A59" s="6">
        <v>45383</v>
      </c>
      <c r="B59" t="s">
        <v>138</v>
      </c>
      <c r="C59" t="s">
        <v>93</v>
      </c>
      <c r="D59" s="19">
        <v>23757</v>
      </c>
      <c r="E59" s="19">
        <f>MonthlyTargets[[#This Row],[Sales]]/20</f>
        <v>1187.8499999999999</v>
      </c>
      <c r="F59" s="19">
        <f>MonthlyTargets[[#This Row],[Profit]]/20</f>
        <v>268.05</v>
      </c>
      <c r="G59" s="7">
        <v>5361</v>
      </c>
    </row>
    <row r="60" spans="1:7">
      <c r="A60" s="6">
        <v>45383</v>
      </c>
      <c r="B60" t="s">
        <v>138</v>
      </c>
      <c r="C60" t="s">
        <v>103</v>
      </c>
      <c r="D60" s="19">
        <v>15232</v>
      </c>
      <c r="E60" s="19">
        <f>MonthlyTargets[[#This Row],[Sales]]/20</f>
        <v>761.6</v>
      </c>
      <c r="F60" s="19">
        <f>MonthlyTargets[[#This Row],[Profit]]/20</f>
        <v>168.75</v>
      </c>
      <c r="G60" s="7">
        <v>3375</v>
      </c>
    </row>
    <row r="61" spans="1:7">
      <c r="A61" s="6">
        <v>45383</v>
      </c>
      <c r="B61" t="s">
        <v>138</v>
      </c>
      <c r="C61" t="s">
        <v>82</v>
      </c>
      <c r="D61" s="19">
        <v>12595</v>
      </c>
      <c r="E61" s="19">
        <f>MonthlyTargets[[#This Row],[Sales]]/20</f>
        <v>629.75</v>
      </c>
      <c r="F61" s="19">
        <f>MonthlyTargets[[#This Row],[Profit]]/20</f>
        <v>145.35</v>
      </c>
      <c r="G61" s="7">
        <v>2907</v>
      </c>
    </row>
    <row r="62" spans="1:7">
      <c r="A62" s="6">
        <v>45383</v>
      </c>
      <c r="B62" t="s">
        <v>194</v>
      </c>
      <c r="C62" t="s">
        <v>120</v>
      </c>
      <c r="D62" s="19">
        <v>31252</v>
      </c>
      <c r="E62" s="19">
        <f>MonthlyTargets[[#This Row],[Sales]]/20</f>
        <v>1562.6</v>
      </c>
      <c r="F62" s="19">
        <f>MonthlyTargets[[#This Row],[Profit]]/20</f>
        <v>455.45</v>
      </c>
      <c r="G62" s="7">
        <v>9109</v>
      </c>
    </row>
    <row r="63" spans="1:7">
      <c r="A63" s="6">
        <v>45383</v>
      </c>
      <c r="B63" t="s">
        <v>194</v>
      </c>
      <c r="C63" t="s">
        <v>93</v>
      </c>
      <c r="D63" s="19">
        <v>25129</v>
      </c>
      <c r="E63" s="19">
        <f>MonthlyTargets[[#This Row],[Sales]]/20</f>
        <v>1256.45</v>
      </c>
      <c r="F63" s="19">
        <f>MonthlyTargets[[#This Row],[Profit]]/20</f>
        <v>333.45</v>
      </c>
      <c r="G63" s="7">
        <v>6669</v>
      </c>
    </row>
    <row r="64" spans="1:7">
      <c r="A64" s="6">
        <v>45383</v>
      </c>
      <c r="B64" t="s">
        <v>194</v>
      </c>
      <c r="C64" t="s">
        <v>103</v>
      </c>
      <c r="D64" s="19">
        <v>14112</v>
      </c>
      <c r="E64" s="19">
        <f>MonthlyTargets[[#This Row],[Sales]]/20</f>
        <v>705.6</v>
      </c>
      <c r="F64" s="19">
        <f>MonthlyTargets[[#This Row],[Profit]]/20</f>
        <v>205.45</v>
      </c>
      <c r="G64" s="7">
        <v>4109</v>
      </c>
    </row>
    <row r="65" spans="1:7">
      <c r="A65" s="6">
        <v>45383</v>
      </c>
      <c r="B65" t="s">
        <v>194</v>
      </c>
      <c r="C65" t="s">
        <v>82</v>
      </c>
      <c r="D65" s="19">
        <v>13398</v>
      </c>
      <c r="E65" s="19">
        <f>MonthlyTargets[[#This Row],[Sales]]/20</f>
        <v>669.9</v>
      </c>
      <c r="F65" s="19">
        <f>MonthlyTargets[[#This Row],[Profit]]/20</f>
        <v>188</v>
      </c>
      <c r="G65" s="7">
        <v>3760</v>
      </c>
    </row>
    <row r="66" spans="1:7">
      <c r="A66" s="6">
        <v>45413</v>
      </c>
      <c r="B66" t="s">
        <v>75</v>
      </c>
      <c r="C66" t="s">
        <v>120</v>
      </c>
      <c r="D66" s="19">
        <v>42256</v>
      </c>
      <c r="E66" s="19">
        <f>MonthlyTargets[[#This Row],[Sales]]/20</f>
        <v>2112.8000000000002</v>
      </c>
      <c r="F66" s="19">
        <f>MonthlyTargets[[#This Row],[Profit]]/20</f>
        <v>589.54999999999995</v>
      </c>
      <c r="G66" s="7">
        <v>11791</v>
      </c>
    </row>
    <row r="67" spans="1:7">
      <c r="A67" s="6">
        <v>45413</v>
      </c>
      <c r="B67" t="s">
        <v>75</v>
      </c>
      <c r="C67" t="s">
        <v>93</v>
      </c>
      <c r="D67" s="19">
        <v>25403</v>
      </c>
      <c r="E67" s="19">
        <f>MonthlyTargets[[#This Row],[Sales]]/20</f>
        <v>1270.1500000000001</v>
      </c>
      <c r="F67" s="19">
        <f>MonthlyTargets[[#This Row],[Profit]]/20</f>
        <v>298</v>
      </c>
      <c r="G67" s="7">
        <v>5960</v>
      </c>
    </row>
    <row r="68" spans="1:7">
      <c r="A68" s="6">
        <v>45413</v>
      </c>
      <c r="B68" t="s">
        <v>75</v>
      </c>
      <c r="C68" t="s">
        <v>103</v>
      </c>
      <c r="D68" s="19">
        <v>16933</v>
      </c>
      <c r="E68" s="19">
        <f>MonthlyTargets[[#This Row],[Sales]]/20</f>
        <v>846.65</v>
      </c>
      <c r="F68" s="19">
        <f>MonthlyTargets[[#This Row],[Profit]]/20</f>
        <v>212.6</v>
      </c>
      <c r="G68" s="7">
        <v>4252</v>
      </c>
    </row>
    <row r="69" spans="1:7">
      <c r="A69" s="6">
        <v>45413</v>
      </c>
      <c r="B69" t="s">
        <v>75</v>
      </c>
      <c r="C69" t="s">
        <v>82</v>
      </c>
      <c r="D69" s="19">
        <v>14783</v>
      </c>
      <c r="E69" s="19">
        <f>MonthlyTargets[[#This Row],[Sales]]/20</f>
        <v>739.15</v>
      </c>
      <c r="F69" s="19">
        <f>MonthlyTargets[[#This Row],[Profit]]/20</f>
        <v>214.95</v>
      </c>
      <c r="G69" s="7">
        <v>4299</v>
      </c>
    </row>
    <row r="70" spans="1:7">
      <c r="A70" s="6">
        <v>45413</v>
      </c>
      <c r="B70" t="s">
        <v>126</v>
      </c>
      <c r="C70" t="s">
        <v>120</v>
      </c>
      <c r="D70" s="19">
        <v>37763</v>
      </c>
      <c r="E70" s="19">
        <f>MonthlyTargets[[#This Row],[Sales]]/20</f>
        <v>1888.15</v>
      </c>
      <c r="F70" s="19">
        <f>MonthlyTargets[[#This Row],[Profit]]/20</f>
        <v>429.55</v>
      </c>
      <c r="G70" s="7">
        <v>8591</v>
      </c>
    </row>
    <row r="71" spans="1:7">
      <c r="A71" s="6">
        <v>45413</v>
      </c>
      <c r="B71" t="s">
        <v>126</v>
      </c>
      <c r="C71" t="s">
        <v>93</v>
      </c>
      <c r="D71" s="19">
        <v>28279</v>
      </c>
      <c r="E71" s="19">
        <f>MonthlyTargets[[#This Row],[Sales]]/20</f>
        <v>1413.95</v>
      </c>
      <c r="F71" s="19">
        <f>MonthlyTargets[[#This Row],[Profit]]/20</f>
        <v>384.35</v>
      </c>
      <c r="G71" s="7">
        <v>7687</v>
      </c>
    </row>
    <row r="72" spans="1:7">
      <c r="A72" s="6">
        <v>45413</v>
      </c>
      <c r="B72" t="s">
        <v>126</v>
      </c>
      <c r="C72" t="s">
        <v>103</v>
      </c>
      <c r="D72" s="19">
        <v>16648</v>
      </c>
      <c r="E72" s="19">
        <f>MonthlyTargets[[#This Row],[Sales]]/20</f>
        <v>832.4</v>
      </c>
      <c r="F72" s="19">
        <f>MonthlyTargets[[#This Row],[Profit]]/20</f>
        <v>192.4</v>
      </c>
      <c r="G72" s="7">
        <v>3848</v>
      </c>
    </row>
    <row r="73" spans="1:7">
      <c r="A73" s="6">
        <v>45413</v>
      </c>
      <c r="B73" t="s">
        <v>126</v>
      </c>
      <c r="C73" t="s">
        <v>82</v>
      </c>
      <c r="D73" s="19">
        <v>15599</v>
      </c>
      <c r="E73" s="19">
        <f>MonthlyTargets[[#This Row],[Sales]]/20</f>
        <v>779.95</v>
      </c>
      <c r="F73" s="19">
        <f>MonthlyTargets[[#This Row],[Profit]]/20</f>
        <v>213.9</v>
      </c>
      <c r="G73" s="7">
        <v>4278</v>
      </c>
    </row>
    <row r="74" spans="1:7">
      <c r="A74" s="6">
        <v>45413</v>
      </c>
      <c r="B74" t="s">
        <v>138</v>
      </c>
      <c r="C74" t="s">
        <v>120</v>
      </c>
      <c r="D74" s="19">
        <v>33224</v>
      </c>
      <c r="E74" s="19">
        <f>MonthlyTargets[[#This Row],[Sales]]/20</f>
        <v>1661.2</v>
      </c>
      <c r="F74" s="19">
        <f>MonthlyTargets[[#This Row],[Profit]]/20</f>
        <v>426.55</v>
      </c>
      <c r="G74" s="7">
        <v>8531</v>
      </c>
    </row>
    <row r="75" spans="1:7">
      <c r="A75" s="6">
        <v>45413</v>
      </c>
      <c r="B75" t="s">
        <v>138</v>
      </c>
      <c r="C75" t="s">
        <v>93</v>
      </c>
      <c r="D75" s="19">
        <v>25515</v>
      </c>
      <c r="E75" s="19">
        <f>MonthlyTargets[[#This Row],[Sales]]/20</f>
        <v>1275.75</v>
      </c>
      <c r="F75" s="19">
        <f>MonthlyTargets[[#This Row],[Profit]]/20</f>
        <v>350.05</v>
      </c>
      <c r="G75" s="7">
        <v>7001</v>
      </c>
    </row>
    <row r="76" spans="1:7">
      <c r="A76" s="6">
        <v>45413</v>
      </c>
      <c r="B76" t="s">
        <v>138</v>
      </c>
      <c r="C76" t="s">
        <v>103</v>
      </c>
      <c r="D76" s="19">
        <v>16248</v>
      </c>
      <c r="E76" s="19">
        <f>MonthlyTargets[[#This Row],[Sales]]/20</f>
        <v>812.4</v>
      </c>
      <c r="F76" s="19">
        <f>MonthlyTargets[[#This Row],[Profit]]/20</f>
        <v>237.7</v>
      </c>
      <c r="G76" s="7">
        <v>4754</v>
      </c>
    </row>
    <row r="77" spans="1:7">
      <c r="A77" s="6">
        <v>45413</v>
      </c>
      <c r="B77" t="s">
        <v>138</v>
      </c>
      <c r="C77" t="s">
        <v>82</v>
      </c>
      <c r="D77" s="19">
        <v>12878</v>
      </c>
      <c r="E77" s="19">
        <f>MonthlyTargets[[#This Row],[Sales]]/20</f>
        <v>643.9</v>
      </c>
      <c r="F77" s="19">
        <f>MonthlyTargets[[#This Row],[Profit]]/20</f>
        <v>163.30000000000001</v>
      </c>
      <c r="G77" s="7">
        <v>3266</v>
      </c>
    </row>
    <row r="78" spans="1:7">
      <c r="A78" s="6">
        <v>45413</v>
      </c>
      <c r="B78" t="s">
        <v>194</v>
      </c>
      <c r="C78" t="s">
        <v>120</v>
      </c>
      <c r="D78" s="19">
        <v>29697</v>
      </c>
      <c r="E78" s="19">
        <f>MonthlyTargets[[#This Row],[Sales]]/20</f>
        <v>1484.85</v>
      </c>
      <c r="F78" s="19">
        <f>MonthlyTargets[[#This Row],[Profit]]/20</f>
        <v>351.45</v>
      </c>
      <c r="G78" s="7">
        <v>7029</v>
      </c>
    </row>
    <row r="79" spans="1:7">
      <c r="A79" s="6">
        <v>45413</v>
      </c>
      <c r="B79" t="s">
        <v>194</v>
      </c>
      <c r="C79" t="s">
        <v>93</v>
      </c>
      <c r="D79" s="19">
        <v>23096</v>
      </c>
      <c r="E79" s="19">
        <f>MonthlyTargets[[#This Row],[Sales]]/20</f>
        <v>1154.8</v>
      </c>
      <c r="F79" s="19">
        <f>MonthlyTargets[[#This Row],[Profit]]/20</f>
        <v>319</v>
      </c>
      <c r="G79" s="7">
        <v>6380</v>
      </c>
    </row>
    <row r="80" spans="1:7">
      <c r="A80" s="6">
        <v>45413</v>
      </c>
      <c r="B80" t="s">
        <v>194</v>
      </c>
      <c r="C80" t="s">
        <v>103</v>
      </c>
      <c r="D80" s="19">
        <v>14408</v>
      </c>
      <c r="E80" s="19">
        <f>MonthlyTargets[[#This Row],[Sales]]/20</f>
        <v>720.4</v>
      </c>
      <c r="F80" s="19">
        <f>MonthlyTargets[[#This Row],[Profit]]/20</f>
        <v>204.8</v>
      </c>
      <c r="G80" s="7">
        <v>4096</v>
      </c>
    </row>
    <row r="81" spans="1:7">
      <c r="A81" s="6">
        <v>45413</v>
      </c>
      <c r="B81" t="s">
        <v>194</v>
      </c>
      <c r="C81" t="s">
        <v>82</v>
      </c>
      <c r="D81" s="19">
        <v>12948</v>
      </c>
      <c r="E81" s="19">
        <f>MonthlyTargets[[#This Row],[Sales]]/20</f>
        <v>647.4</v>
      </c>
      <c r="F81" s="19">
        <f>MonthlyTargets[[#This Row],[Profit]]/20</f>
        <v>166.2</v>
      </c>
      <c r="G81" s="7">
        <v>3324</v>
      </c>
    </row>
    <row r="82" spans="1:7">
      <c r="A82" s="6">
        <v>45444</v>
      </c>
      <c r="B82" t="s">
        <v>75</v>
      </c>
      <c r="C82" t="s">
        <v>120</v>
      </c>
      <c r="D82" s="19">
        <v>42097</v>
      </c>
      <c r="E82" s="19">
        <f>MonthlyTargets[[#This Row],[Sales]]/20</f>
        <v>2104.85</v>
      </c>
      <c r="F82" s="19">
        <f>MonthlyTargets[[#This Row],[Profit]]/20</f>
        <v>569.45000000000005</v>
      </c>
      <c r="G82" s="7">
        <v>11389</v>
      </c>
    </row>
    <row r="83" spans="1:7">
      <c r="A83" s="6">
        <v>45444</v>
      </c>
      <c r="B83" t="s">
        <v>75</v>
      </c>
      <c r="C83" t="s">
        <v>93</v>
      </c>
      <c r="D83" s="19">
        <v>28858</v>
      </c>
      <c r="E83" s="19">
        <f>MonthlyTargets[[#This Row],[Sales]]/20</f>
        <v>1442.9</v>
      </c>
      <c r="F83" s="19">
        <f>MonthlyTargets[[#This Row],[Profit]]/20</f>
        <v>418.85</v>
      </c>
      <c r="G83" s="7">
        <v>8377</v>
      </c>
    </row>
    <row r="84" spans="1:7">
      <c r="A84" s="6">
        <v>45444</v>
      </c>
      <c r="B84" t="s">
        <v>75</v>
      </c>
      <c r="C84" t="s">
        <v>103</v>
      </c>
      <c r="D84" s="19">
        <v>15593</v>
      </c>
      <c r="E84" s="19">
        <f>MonthlyTargets[[#This Row],[Sales]]/20</f>
        <v>779.65</v>
      </c>
      <c r="F84" s="19">
        <f>MonthlyTargets[[#This Row],[Profit]]/20</f>
        <v>209.05</v>
      </c>
      <c r="G84" s="7">
        <v>4181</v>
      </c>
    </row>
    <row r="85" spans="1:7">
      <c r="A85" s="6">
        <v>45444</v>
      </c>
      <c r="B85" t="s">
        <v>75</v>
      </c>
      <c r="C85" t="s">
        <v>82</v>
      </c>
      <c r="D85" s="19">
        <v>16371</v>
      </c>
      <c r="E85" s="19">
        <f>MonthlyTargets[[#This Row],[Sales]]/20</f>
        <v>818.55</v>
      </c>
      <c r="F85" s="19">
        <f>MonthlyTargets[[#This Row],[Profit]]/20</f>
        <v>228.2</v>
      </c>
      <c r="G85" s="7">
        <v>4564</v>
      </c>
    </row>
    <row r="86" spans="1:7">
      <c r="A86" s="6">
        <v>45444</v>
      </c>
      <c r="B86" t="s">
        <v>126</v>
      </c>
      <c r="C86" t="s">
        <v>120</v>
      </c>
      <c r="D86" s="19">
        <v>37341</v>
      </c>
      <c r="E86" s="19">
        <f>MonthlyTargets[[#This Row],[Sales]]/20</f>
        <v>1867.05</v>
      </c>
      <c r="F86" s="19">
        <f>MonthlyTargets[[#This Row],[Profit]]/20</f>
        <v>450.3</v>
      </c>
      <c r="G86" s="7">
        <v>9006</v>
      </c>
    </row>
    <row r="87" spans="1:7">
      <c r="A87" s="6">
        <v>45444</v>
      </c>
      <c r="B87" t="s">
        <v>126</v>
      </c>
      <c r="C87" t="s">
        <v>93</v>
      </c>
      <c r="D87" s="19">
        <v>27250</v>
      </c>
      <c r="E87" s="19">
        <f>MonthlyTargets[[#This Row],[Sales]]/20</f>
        <v>1362.5</v>
      </c>
      <c r="F87" s="19">
        <f>MonthlyTargets[[#This Row],[Profit]]/20</f>
        <v>334.85</v>
      </c>
      <c r="G87" s="7">
        <v>6697</v>
      </c>
    </row>
    <row r="88" spans="1:7">
      <c r="A88" s="6">
        <v>45444</v>
      </c>
      <c r="B88" t="s">
        <v>126</v>
      </c>
      <c r="C88" t="s">
        <v>103</v>
      </c>
      <c r="D88" s="19">
        <v>19664</v>
      </c>
      <c r="E88" s="19">
        <f>MonthlyTargets[[#This Row],[Sales]]/20</f>
        <v>983.2</v>
      </c>
      <c r="F88" s="19">
        <f>MonthlyTargets[[#This Row],[Profit]]/20</f>
        <v>268.89999999999998</v>
      </c>
      <c r="G88" s="7">
        <v>5378</v>
      </c>
    </row>
    <row r="89" spans="1:7">
      <c r="A89" s="6">
        <v>45444</v>
      </c>
      <c r="B89" t="s">
        <v>126</v>
      </c>
      <c r="C89" t="s">
        <v>82</v>
      </c>
      <c r="D89" s="19">
        <v>14562</v>
      </c>
      <c r="E89" s="19">
        <f>MonthlyTargets[[#This Row],[Sales]]/20</f>
        <v>728.1</v>
      </c>
      <c r="F89" s="19">
        <f>MonthlyTargets[[#This Row],[Profit]]/20</f>
        <v>200.35</v>
      </c>
      <c r="G89" s="7">
        <v>4007</v>
      </c>
    </row>
    <row r="90" spans="1:7">
      <c r="A90" s="6">
        <v>45444</v>
      </c>
      <c r="B90" t="s">
        <v>138</v>
      </c>
      <c r="C90" t="s">
        <v>120</v>
      </c>
      <c r="D90" s="19">
        <v>33748</v>
      </c>
      <c r="E90" s="19">
        <f>MonthlyTargets[[#This Row],[Sales]]/20</f>
        <v>1687.4</v>
      </c>
      <c r="F90" s="19">
        <f>MonthlyTargets[[#This Row],[Profit]]/20</f>
        <v>489</v>
      </c>
      <c r="G90" s="7">
        <v>9780</v>
      </c>
    </row>
    <row r="91" spans="1:7">
      <c r="A91" s="6">
        <v>45444</v>
      </c>
      <c r="B91" t="s">
        <v>138</v>
      </c>
      <c r="C91" t="s">
        <v>93</v>
      </c>
      <c r="D91" s="19">
        <v>26794</v>
      </c>
      <c r="E91" s="19">
        <f>MonthlyTargets[[#This Row],[Sales]]/20</f>
        <v>1339.7</v>
      </c>
      <c r="F91" s="19">
        <f>MonthlyTargets[[#This Row],[Profit]]/20</f>
        <v>348.6</v>
      </c>
      <c r="G91" s="7">
        <v>6972</v>
      </c>
    </row>
    <row r="92" spans="1:7">
      <c r="A92" s="6">
        <v>45444</v>
      </c>
      <c r="B92" t="s">
        <v>138</v>
      </c>
      <c r="C92" t="s">
        <v>103</v>
      </c>
      <c r="D92" s="19">
        <v>15717</v>
      </c>
      <c r="E92" s="19">
        <f>MonthlyTargets[[#This Row],[Sales]]/20</f>
        <v>785.85</v>
      </c>
      <c r="F92" s="19">
        <f>MonthlyTargets[[#This Row],[Profit]]/20</f>
        <v>191.6</v>
      </c>
      <c r="G92" s="7">
        <v>3832</v>
      </c>
    </row>
    <row r="93" spans="1:7">
      <c r="A93" s="6">
        <v>45444</v>
      </c>
      <c r="B93" t="s">
        <v>138</v>
      </c>
      <c r="C93" t="s">
        <v>82</v>
      </c>
      <c r="D93" s="19">
        <v>12702</v>
      </c>
      <c r="E93" s="19">
        <f>MonthlyTargets[[#This Row],[Sales]]/20</f>
        <v>635.1</v>
      </c>
      <c r="F93" s="19">
        <f>MonthlyTargets[[#This Row],[Profit]]/20</f>
        <v>179.9</v>
      </c>
      <c r="G93" s="7">
        <v>3598</v>
      </c>
    </row>
    <row r="94" spans="1:7">
      <c r="A94" s="6">
        <v>45444</v>
      </c>
      <c r="B94" t="s">
        <v>194</v>
      </c>
      <c r="C94" t="s">
        <v>120</v>
      </c>
      <c r="D94" s="19">
        <v>35573</v>
      </c>
      <c r="E94" s="19">
        <f>MonthlyTargets[[#This Row],[Sales]]/20</f>
        <v>1778.65</v>
      </c>
      <c r="F94" s="19">
        <f>MonthlyTargets[[#This Row],[Profit]]/20</f>
        <v>446.6</v>
      </c>
      <c r="G94" s="7">
        <v>8932</v>
      </c>
    </row>
    <row r="95" spans="1:7">
      <c r="A95" s="6">
        <v>45444</v>
      </c>
      <c r="B95" t="s">
        <v>194</v>
      </c>
      <c r="C95" t="s">
        <v>93</v>
      </c>
      <c r="D95" s="19">
        <v>23461</v>
      </c>
      <c r="E95" s="19">
        <f>MonthlyTargets[[#This Row],[Sales]]/20</f>
        <v>1173.05</v>
      </c>
      <c r="F95" s="19">
        <f>MonthlyTargets[[#This Row],[Profit]]/20</f>
        <v>297.5</v>
      </c>
      <c r="G95" s="7">
        <v>5950</v>
      </c>
    </row>
    <row r="96" spans="1:7">
      <c r="A96" s="6">
        <v>45444</v>
      </c>
      <c r="B96" t="s">
        <v>194</v>
      </c>
      <c r="C96" t="s">
        <v>103</v>
      </c>
      <c r="D96" s="19">
        <v>14482</v>
      </c>
      <c r="E96" s="19">
        <f>MonthlyTargets[[#This Row],[Sales]]/20</f>
        <v>724.1</v>
      </c>
      <c r="F96" s="19">
        <f>MonthlyTargets[[#This Row],[Profit]]/20</f>
        <v>197.1</v>
      </c>
      <c r="G96" s="7">
        <v>3942</v>
      </c>
    </row>
    <row r="97" spans="1:7">
      <c r="A97" s="6">
        <v>45444</v>
      </c>
      <c r="B97" t="s">
        <v>194</v>
      </c>
      <c r="C97" t="s">
        <v>82</v>
      </c>
      <c r="D97" s="19">
        <v>11524</v>
      </c>
      <c r="E97" s="19">
        <f>MonthlyTargets[[#This Row],[Sales]]/20</f>
        <v>576.20000000000005</v>
      </c>
      <c r="F97" s="19">
        <f>MonthlyTargets[[#This Row],[Profit]]/20</f>
        <v>167.55</v>
      </c>
      <c r="G97" s="7">
        <v>3351</v>
      </c>
    </row>
    <row r="98" spans="1:7">
      <c r="A98" s="6">
        <v>45474</v>
      </c>
      <c r="B98" t="s">
        <v>75</v>
      </c>
      <c r="C98" t="s">
        <v>120</v>
      </c>
      <c r="D98" s="19">
        <v>38231</v>
      </c>
      <c r="E98" s="19">
        <f>MonthlyTargets[[#This Row],[Sales]]/20</f>
        <v>1911.55</v>
      </c>
      <c r="F98" s="19">
        <f>MonthlyTargets[[#This Row],[Profit]]/20</f>
        <v>430.15</v>
      </c>
      <c r="G98" s="7">
        <v>8603</v>
      </c>
    </row>
    <row r="99" spans="1:7">
      <c r="A99" s="6">
        <v>45474</v>
      </c>
      <c r="B99" t="s">
        <v>75</v>
      </c>
      <c r="C99" t="s">
        <v>93</v>
      </c>
      <c r="D99" s="19">
        <v>27570</v>
      </c>
      <c r="E99" s="19">
        <f>MonthlyTargets[[#This Row],[Sales]]/20</f>
        <v>1378.5</v>
      </c>
      <c r="F99" s="19">
        <f>MonthlyTargets[[#This Row],[Profit]]/20</f>
        <v>342.9</v>
      </c>
      <c r="G99" s="7">
        <v>6858</v>
      </c>
    </row>
    <row r="100" spans="1:7">
      <c r="A100" s="6">
        <v>45474</v>
      </c>
      <c r="B100" t="s">
        <v>75</v>
      </c>
      <c r="C100" t="s">
        <v>103</v>
      </c>
      <c r="D100" s="19">
        <v>16716</v>
      </c>
      <c r="E100" s="19">
        <f>MonthlyTargets[[#This Row],[Sales]]/20</f>
        <v>835.8</v>
      </c>
      <c r="F100" s="19">
        <f>MonthlyTargets[[#This Row],[Profit]]/20</f>
        <v>234.45</v>
      </c>
      <c r="G100" s="7">
        <v>4689</v>
      </c>
    </row>
    <row r="101" spans="1:7">
      <c r="A101" s="6">
        <v>45474</v>
      </c>
      <c r="B101" t="s">
        <v>75</v>
      </c>
      <c r="C101" t="s">
        <v>82</v>
      </c>
      <c r="D101" s="19">
        <v>15525</v>
      </c>
      <c r="E101" s="19">
        <f>MonthlyTargets[[#This Row],[Sales]]/20</f>
        <v>776.25</v>
      </c>
      <c r="F101" s="19">
        <f>MonthlyTargets[[#This Row],[Profit]]/20</f>
        <v>221.4</v>
      </c>
      <c r="G101" s="7">
        <v>4428</v>
      </c>
    </row>
    <row r="102" spans="1:7">
      <c r="A102" s="6">
        <v>45474</v>
      </c>
      <c r="B102" t="s">
        <v>126</v>
      </c>
      <c r="C102" t="s">
        <v>120</v>
      </c>
      <c r="D102" s="19">
        <v>42957</v>
      </c>
      <c r="E102" s="19">
        <f>MonthlyTargets[[#This Row],[Sales]]/20</f>
        <v>2147.85</v>
      </c>
      <c r="F102" s="19">
        <f>MonthlyTargets[[#This Row],[Profit]]/20</f>
        <v>562.79999999999995</v>
      </c>
      <c r="G102" s="7">
        <v>11256</v>
      </c>
    </row>
    <row r="103" spans="1:7">
      <c r="A103" s="6">
        <v>45474</v>
      </c>
      <c r="B103" t="s">
        <v>126</v>
      </c>
      <c r="C103" t="s">
        <v>93</v>
      </c>
      <c r="D103" s="19">
        <v>27525</v>
      </c>
      <c r="E103" s="19">
        <f>MonthlyTargets[[#This Row],[Sales]]/20</f>
        <v>1376.25</v>
      </c>
      <c r="F103" s="19">
        <f>MonthlyTargets[[#This Row],[Profit]]/20</f>
        <v>359.7</v>
      </c>
      <c r="G103" s="7">
        <v>7194</v>
      </c>
    </row>
    <row r="104" spans="1:7">
      <c r="A104" s="6">
        <v>45474</v>
      </c>
      <c r="B104" t="s">
        <v>126</v>
      </c>
      <c r="C104" t="s">
        <v>103</v>
      </c>
      <c r="D104" s="19">
        <v>18399</v>
      </c>
      <c r="E104" s="19">
        <f>MonthlyTargets[[#This Row],[Sales]]/20</f>
        <v>919.95</v>
      </c>
      <c r="F104" s="19">
        <f>MonthlyTargets[[#This Row],[Profit]]/20</f>
        <v>247.95</v>
      </c>
      <c r="G104" s="7">
        <v>4959</v>
      </c>
    </row>
    <row r="105" spans="1:7">
      <c r="A105" s="6">
        <v>45474</v>
      </c>
      <c r="B105" t="s">
        <v>126</v>
      </c>
      <c r="C105" t="s">
        <v>82</v>
      </c>
      <c r="D105" s="19">
        <v>15745</v>
      </c>
      <c r="E105" s="19">
        <f>MonthlyTargets[[#This Row],[Sales]]/20</f>
        <v>787.25</v>
      </c>
      <c r="F105" s="19">
        <f>MonthlyTargets[[#This Row],[Profit]]/20</f>
        <v>209.55</v>
      </c>
      <c r="G105" s="7">
        <v>4191</v>
      </c>
    </row>
    <row r="106" spans="1:7">
      <c r="A106" s="6">
        <v>45474</v>
      </c>
      <c r="B106" t="s">
        <v>138</v>
      </c>
      <c r="C106" t="s">
        <v>120</v>
      </c>
      <c r="D106" s="19">
        <v>31801</v>
      </c>
      <c r="E106" s="19">
        <f>MonthlyTargets[[#This Row],[Sales]]/20</f>
        <v>1590.05</v>
      </c>
      <c r="F106" s="19">
        <f>MonthlyTargets[[#This Row],[Profit]]/20</f>
        <v>353.25</v>
      </c>
      <c r="G106" s="7">
        <v>7065</v>
      </c>
    </row>
    <row r="107" spans="1:7">
      <c r="A107" s="6">
        <v>45474</v>
      </c>
      <c r="B107" t="s">
        <v>138</v>
      </c>
      <c r="C107" t="s">
        <v>93</v>
      </c>
      <c r="D107" s="19">
        <v>25962</v>
      </c>
      <c r="E107" s="19">
        <f>MonthlyTargets[[#This Row],[Sales]]/20</f>
        <v>1298.0999999999999</v>
      </c>
      <c r="F107" s="19">
        <f>MonthlyTargets[[#This Row],[Profit]]/20</f>
        <v>370.35</v>
      </c>
      <c r="G107" s="7">
        <v>7407</v>
      </c>
    </row>
    <row r="108" spans="1:7">
      <c r="A108" s="6">
        <v>45474</v>
      </c>
      <c r="B108" t="s">
        <v>138</v>
      </c>
      <c r="C108" t="s">
        <v>103</v>
      </c>
      <c r="D108" s="19">
        <v>14265</v>
      </c>
      <c r="E108" s="19">
        <f>MonthlyTargets[[#This Row],[Sales]]/20</f>
        <v>713.25</v>
      </c>
      <c r="F108" s="19">
        <f>MonthlyTargets[[#This Row],[Profit]]/20</f>
        <v>184.8</v>
      </c>
      <c r="G108" s="7">
        <v>3696</v>
      </c>
    </row>
    <row r="109" spans="1:7">
      <c r="A109" s="6">
        <v>45474</v>
      </c>
      <c r="B109" t="s">
        <v>138</v>
      </c>
      <c r="C109" t="s">
        <v>82</v>
      </c>
      <c r="D109" s="19">
        <v>12802</v>
      </c>
      <c r="E109" s="19">
        <f>MonthlyTargets[[#This Row],[Sales]]/20</f>
        <v>640.1</v>
      </c>
      <c r="F109" s="19">
        <f>MonthlyTargets[[#This Row],[Profit]]/20</f>
        <v>154.94999999999999</v>
      </c>
      <c r="G109" s="7">
        <v>3099</v>
      </c>
    </row>
    <row r="110" spans="1:7">
      <c r="A110" s="6">
        <v>45474</v>
      </c>
      <c r="B110" t="s">
        <v>194</v>
      </c>
      <c r="C110" t="s">
        <v>120</v>
      </c>
      <c r="D110" s="19">
        <v>33103</v>
      </c>
      <c r="E110" s="19">
        <f>MonthlyTargets[[#This Row],[Sales]]/20</f>
        <v>1655.15</v>
      </c>
      <c r="F110" s="19">
        <f>MonthlyTargets[[#This Row],[Profit]]/20</f>
        <v>432.5</v>
      </c>
      <c r="G110" s="7">
        <v>8650</v>
      </c>
    </row>
    <row r="111" spans="1:7">
      <c r="A111" s="6">
        <v>45474</v>
      </c>
      <c r="B111" t="s">
        <v>194</v>
      </c>
      <c r="C111" t="s">
        <v>93</v>
      </c>
      <c r="D111" s="19">
        <v>24182</v>
      </c>
      <c r="E111" s="19">
        <f>MonthlyTargets[[#This Row],[Sales]]/20</f>
        <v>1209.0999999999999</v>
      </c>
      <c r="F111" s="19">
        <f>MonthlyTargets[[#This Row],[Profit]]/20</f>
        <v>318.64999999999998</v>
      </c>
      <c r="G111" s="7">
        <v>6373</v>
      </c>
    </row>
    <row r="112" spans="1:7">
      <c r="A112" s="6">
        <v>45474</v>
      </c>
      <c r="B112" t="s">
        <v>194</v>
      </c>
      <c r="C112" t="s">
        <v>103</v>
      </c>
      <c r="D112" s="19">
        <v>14307</v>
      </c>
      <c r="E112" s="19">
        <f>MonthlyTargets[[#This Row],[Sales]]/20</f>
        <v>715.35</v>
      </c>
      <c r="F112" s="19">
        <f>MonthlyTargets[[#This Row],[Profit]]/20</f>
        <v>177.9</v>
      </c>
      <c r="G112" s="7">
        <v>3558</v>
      </c>
    </row>
    <row r="113" spans="1:7">
      <c r="A113" s="6">
        <v>45474</v>
      </c>
      <c r="B113" t="s">
        <v>194</v>
      </c>
      <c r="C113" t="s">
        <v>82</v>
      </c>
      <c r="D113" s="19">
        <v>13451</v>
      </c>
      <c r="E113" s="19">
        <f>MonthlyTargets[[#This Row],[Sales]]/20</f>
        <v>672.55</v>
      </c>
      <c r="F113" s="19">
        <f>MonthlyTargets[[#This Row],[Profit]]/20</f>
        <v>201.7</v>
      </c>
      <c r="G113" s="7">
        <v>4034</v>
      </c>
    </row>
    <row r="114" spans="1:7">
      <c r="A114" s="6">
        <v>45505</v>
      </c>
      <c r="B114" t="s">
        <v>75</v>
      </c>
      <c r="C114" t="s">
        <v>120</v>
      </c>
      <c r="D114" s="19">
        <v>42191</v>
      </c>
      <c r="E114" s="19">
        <f>MonthlyTargets[[#This Row],[Sales]]/20</f>
        <v>2109.5500000000002</v>
      </c>
      <c r="F114" s="19">
        <f>MonthlyTargets[[#This Row],[Profit]]/20</f>
        <v>484.35</v>
      </c>
      <c r="G114" s="7">
        <v>9687</v>
      </c>
    </row>
    <row r="115" spans="1:7">
      <c r="A115" s="6">
        <v>45505</v>
      </c>
      <c r="B115" t="s">
        <v>75</v>
      </c>
      <c r="C115" t="s">
        <v>93</v>
      </c>
      <c r="D115" s="19">
        <v>28725</v>
      </c>
      <c r="E115" s="19">
        <f>MonthlyTargets[[#This Row],[Sales]]/20</f>
        <v>1436.25</v>
      </c>
      <c r="F115" s="19">
        <f>MonthlyTargets[[#This Row],[Profit]]/20</f>
        <v>377.15</v>
      </c>
      <c r="G115" s="7">
        <v>7543</v>
      </c>
    </row>
    <row r="116" spans="1:7">
      <c r="A116" s="6">
        <v>45505</v>
      </c>
      <c r="B116" t="s">
        <v>75</v>
      </c>
      <c r="C116" t="s">
        <v>103</v>
      </c>
      <c r="D116" s="19">
        <v>16535</v>
      </c>
      <c r="E116" s="19">
        <f>MonthlyTargets[[#This Row],[Sales]]/20</f>
        <v>826.75</v>
      </c>
      <c r="F116" s="19">
        <f>MonthlyTargets[[#This Row],[Profit]]/20</f>
        <v>213.45</v>
      </c>
      <c r="G116" s="7">
        <v>4269</v>
      </c>
    </row>
    <row r="117" spans="1:7">
      <c r="A117" s="6">
        <v>45505</v>
      </c>
      <c r="B117" t="s">
        <v>75</v>
      </c>
      <c r="C117" t="s">
        <v>82</v>
      </c>
      <c r="D117" s="19">
        <v>14255</v>
      </c>
      <c r="E117" s="19">
        <f>MonthlyTargets[[#This Row],[Sales]]/20</f>
        <v>712.75</v>
      </c>
      <c r="F117" s="19">
        <f>MonthlyTargets[[#This Row],[Profit]]/20</f>
        <v>157.15</v>
      </c>
      <c r="G117" s="7">
        <v>3143</v>
      </c>
    </row>
    <row r="118" spans="1:7">
      <c r="A118" s="6">
        <v>45505</v>
      </c>
      <c r="B118" t="s">
        <v>126</v>
      </c>
      <c r="C118" t="s">
        <v>120</v>
      </c>
      <c r="D118" s="19">
        <v>44875</v>
      </c>
      <c r="E118" s="19">
        <f>MonthlyTargets[[#This Row],[Sales]]/20</f>
        <v>2243.75</v>
      </c>
      <c r="F118" s="19">
        <f>MonthlyTargets[[#This Row],[Profit]]/20</f>
        <v>605.95000000000005</v>
      </c>
      <c r="G118" s="7">
        <v>12119</v>
      </c>
    </row>
    <row r="119" spans="1:7">
      <c r="A119" s="6">
        <v>45505</v>
      </c>
      <c r="B119" t="s">
        <v>126</v>
      </c>
      <c r="C119" t="s">
        <v>93</v>
      </c>
      <c r="D119" s="19">
        <v>31443</v>
      </c>
      <c r="E119" s="19">
        <f>MonthlyTargets[[#This Row],[Sales]]/20</f>
        <v>1572.15</v>
      </c>
      <c r="F119" s="19">
        <f>MonthlyTargets[[#This Row],[Profit]]/20</f>
        <v>352.5</v>
      </c>
      <c r="G119" s="7">
        <v>7050</v>
      </c>
    </row>
    <row r="120" spans="1:7">
      <c r="A120" s="6">
        <v>45505</v>
      </c>
      <c r="B120" t="s">
        <v>126</v>
      </c>
      <c r="C120" t="s">
        <v>103</v>
      </c>
      <c r="D120" s="19">
        <v>18067</v>
      </c>
      <c r="E120" s="19">
        <f>MonthlyTargets[[#This Row],[Sales]]/20</f>
        <v>903.35</v>
      </c>
      <c r="F120" s="19">
        <f>MonthlyTargets[[#This Row],[Profit]]/20</f>
        <v>224.35</v>
      </c>
      <c r="G120" s="7">
        <v>4487</v>
      </c>
    </row>
    <row r="121" spans="1:7">
      <c r="A121" s="6">
        <v>45505</v>
      </c>
      <c r="B121" t="s">
        <v>126</v>
      </c>
      <c r="C121" t="s">
        <v>82</v>
      </c>
      <c r="D121" s="19">
        <v>15050</v>
      </c>
      <c r="E121" s="19">
        <f>MonthlyTargets[[#This Row],[Sales]]/20</f>
        <v>752.5</v>
      </c>
      <c r="F121" s="19">
        <f>MonthlyTargets[[#This Row],[Profit]]/20</f>
        <v>218.25</v>
      </c>
      <c r="G121" s="7">
        <v>4365</v>
      </c>
    </row>
    <row r="122" spans="1:7">
      <c r="A122" s="6">
        <v>45505</v>
      </c>
      <c r="B122" t="s">
        <v>138</v>
      </c>
      <c r="C122" t="s">
        <v>120</v>
      </c>
      <c r="D122" s="19">
        <v>33487</v>
      </c>
      <c r="E122" s="19">
        <f>MonthlyTargets[[#This Row],[Sales]]/20</f>
        <v>1674.35</v>
      </c>
      <c r="F122" s="19">
        <f>MonthlyTargets[[#This Row],[Profit]]/20</f>
        <v>415.9</v>
      </c>
      <c r="G122" s="7">
        <v>8318</v>
      </c>
    </row>
    <row r="123" spans="1:7">
      <c r="A123" s="6">
        <v>45505</v>
      </c>
      <c r="B123" t="s">
        <v>138</v>
      </c>
      <c r="C123" t="s">
        <v>93</v>
      </c>
      <c r="D123" s="19">
        <v>26928</v>
      </c>
      <c r="E123" s="19">
        <f>MonthlyTargets[[#This Row],[Sales]]/20</f>
        <v>1346.4</v>
      </c>
      <c r="F123" s="19">
        <f>MonthlyTargets[[#This Row],[Profit]]/20</f>
        <v>392.65</v>
      </c>
      <c r="G123" s="7">
        <v>7853</v>
      </c>
    </row>
    <row r="124" spans="1:7">
      <c r="A124" s="6">
        <v>45505</v>
      </c>
      <c r="B124" t="s">
        <v>138</v>
      </c>
      <c r="C124" t="s">
        <v>103</v>
      </c>
      <c r="D124" s="19">
        <v>14767</v>
      </c>
      <c r="E124" s="19">
        <f>MonthlyTargets[[#This Row],[Sales]]/20</f>
        <v>738.35</v>
      </c>
      <c r="F124" s="19">
        <f>MonthlyTargets[[#This Row],[Profit]]/20</f>
        <v>187.25</v>
      </c>
      <c r="G124" s="7">
        <v>3745</v>
      </c>
    </row>
    <row r="125" spans="1:7">
      <c r="A125" s="6">
        <v>45505</v>
      </c>
      <c r="B125" t="s">
        <v>138</v>
      </c>
      <c r="C125" t="s">
        <v>82</v>
      </c>
      <c r="D125" s="19">
        <v>13743</v>
      </c>
      <c r="E125" s="19">
        <f>MonthlyTargets[[#This Row],[Sales]]/20</f>
        <v>687.15</v>
      </c>
      <c r="F125" s="19">
        <f>MonthlyTargets[[#This Row],[Profit]]/20</f>
        <v>183.6</v>
      </c>
      <c r="G125" s="7">
        <v>3672</v>
      </c>
    </row>
    <row r="126" spans="1:7">
      <c r="A126" s="6">
        <v>45505</v>
      </c>
      <c r="B126" t="s">
        <v>194</v>
      </c>
      <c r="C126" t="s">
        <v>120</v>
      </c>
      <c r="D126" s="19">
        <v>33568</v>
      </c>
      <c r="E126" s="19">
        <f>MonthlyTargets[[#This Row],[Sales]]/20</f>
        <v>1678.4</v>
      </c>
      <c r="F126" s="19">
        <f>MonthlyTargets[[#This Row],[Profit]]/20</f>
        <v>432.6</v>
      </c>
      <c r="G126" s="7">
        <v>8652</v>
      </c>
    </row>
    <row r="127" spans="1:7">
      <c r="A127" s="6">
        <v>45505</v>
      </c>
      <c r="B127" t="s">
        <v>194</v>
      </c>
      <c r="C127" t="s">
        <v>93</v>
      </c>
      <c r="D127" s="19">
        <v>23648</v>
      </c>
      <c r="E127" s="19">
        <f>MonthlyTargets[[#This Row],[Sales]]/20</f>
        <v>1182.4000000000001</v>
      </c>
      <c r="F127" s="19">
        <f>MonthlyTargets[[#This Row],[Profit]]/20</f>
        <v>274.55</v>
      </c>
      <c r="G127" s="7">
        <v>5491</v>
      </c>
    </row>
    <row r="128" spans="1:7">
      <c r="A128" s="6">
        <v>45505</v>
      </c>
      <c r="B128" t="s">
        <v>194</v>
      </c>
      <c r="C128" t="s">
        <v>103</v>
      </c>
      <c r="D128" s="19">
        <v>14255</v>
      </c>
      <c r="E128" s="19">
        <f>MonthlyTargets[[#This Row],[Sales]]/20</f>
        <v>712.75</v>
      </c>
      <c r="F128" s="19">
        <f>MonthlyTargets[[#This Row],[Profit]]/20</f>
        <v>168.25</v>
      </c>
      <c r="G128" s="7">
        <v>3365</v>
      </c>
    </row>
    <row r="129" spans="1:7">
      <c r="A129" s="6">
        <v>45505</v>
      </c>
      <c r="B129" t="s">
        <v>194</v>
      </c>
      <c r="C129" t="s">
        <v>82</v>
      </c>
      <c r="D129" s="19">
        <v>12781</v>
      </c>
      <c r="E129" s="19">
        <f>MonthlyTargets[[#This Row],[Sales]]/20</f>
        <v>639.04999999999995</v>
      </c>
      <c r="F129" s="19">
        <f>MonthlyTargets[[#This Row],[Profit]]/20</f>
        <v>154.5</v>
      </c>
      <c r="G129" s="7">
        <v>3090</v>
      </c>
    </row>
    <row r="130" spans="1:7">
      <c r="A130" s="6">
        <v>45536</v>
      </c>
      <c r="B130" t="s">
        <v>75</v>
      </c>
      <c r="C130" t="s">
        <v>120</v>
      </c>
      <c r="D130" s="19">
        <v>40953</v>
      </c>
      <c r="E130" s="19">
        <f>MonthlyTargets[[#This Row],[Sales]]/20</f>
        <v>2047.65</v>
      </c>
      <c r="F130" s="19">
        <f>MonthlyTargets[[#This Row],[Profit]]/20</f>
        <v>564.54999999999995</v>
      </c>
      <c r="G130" s="7">
        <v>11291</v>
      </c>
    </row>
    <row r="131" spans="1:7">
      <c r="A131" s="6">
        <v>45536</v>
      </c>
      <c r="B131" t="s">
        <v>75</v>
      </c>
      <c r="C131" t="s">
        <v>93</v>
      </c>
      <c r="D131" s="19">
        <v>28144</v>
      </c>
      <c r="E131" s="19">
        <f>MonthlyTargets[[#This Row],[Sales]]/20</f>
        <v>1407.2</v>
      </c>
      <c r="F131" s="19">
        <f>MonthlyTargets[[#This Row],[Profit]]/20</f>
        <v>320.85000000000002</v>
      </c>
      <c r="G131" s="7">
        <v>6417</v>
      </c>
    </row>
    <row r="132" spans="1:7">
      <c r="A132" s="6">
        <v>45536</v>
      </c>
      <c r="B132" t="s">
        <v>75</v>
      </c>
      <c r="C132" t="s">
        <v>103</v>
      </c>
      <c r="D132" s="19">
        <v>17907</v>
      </c>
      <c r="E132" s="19">
        <f>MonthlyTargets[[#This Row],[Sales]]/20</f>
        <v>895.35</v>
      </c>
      <c r="F132" s="19">
        <f>MonthlyTargets[[#This Row],[Profit]]/20</f>
        <v>245.05</v>
      </c>
      <c r="G132" s="7">
        <v>4901</v>
      </c>
    </row>
    <row r="133" spans="1:7">
      <c r="A133" s="6">
        <v>45536</v>
      </c>
      <c r="B133" t="s">
        <v>75</v>
      </c>
      <c r="C133" t="s">
        <v>82</v>
      </c>
      <c r="D133" s="19">
        <v>15844</v>
      </c>
      <c r="E133" s="19">
        <f>MonthlyTargets[[#This Row],[Sales]]/20</f>
        <v>792.2</v>
      </c>
      <c r="F133" s="19">
        <f>MonthlyTargets[[#This Row],[Profit]]/20</f>
        <v>218.05</v>
      </c>
      <c r="G133" s="7">
        <v>4361</v>
      </c>
    </row>
    <row r="134" spans="1:7">
      <c r="A134" s="6">
        <v>45536</v>
      </c>
      <c r="B134" t="s">
        <v>126</v>
      </c>
      <c r="C134" t="s">
        <v>120</v>
      </c>
      <c r="D134" s="19">
        <v>43100</v>
      </c>
      <c r="E134" s="19">
        <f>MonthlyTargets[[#This Row],[Sales]]/20</f>
        <v>2155</v>
      </c>
      <c r="F134" s="19">
        <f>MonthlyTargets[[#This Row],[Profit]]/20</f>
        <v>552.1</v>
      </c>
      <c r="G134" s="7">
        <v>11042</v>
      </c>
    </row>
    <row r="135" spans="1:7">
      <c r="A135" s="6">
        <v>45536</v>
      </c>
      <c r="B135" t="s">
        <v>126</v>
      </c>
      <c r="C135" t="s">
        <v>93</v>
      </c>
      <c r="D135" s="19">
        <v>27141</v>
      </c>
      <c r="E135" s="19">
        <f>MonthlyTargets[[#This Row],[Sales]]/20</f>
        <v>1357.05</v>
      </c>
      <c r="F135" s="19">
        <f>MonthlyTargets[[#This Row],[Profit]]/20</f>
        <v>375.95</v>
      </c>
      <c r="G135" s="7">
        <v>7519</v>
      </c>
    </row>
    <row r="136" spans="1:7">
      <c r="A136" s="6">
        <v>45536</v>
      </c>
      <c r="B136" t="s">
        <v>126</v>
      </c>
      <c r="C136" t="s">
        <v>103</v>
      </c>
      <c r="D136" s="19">
        <v>17618</v>
      </c>
      <c r="E136" s="19">
        <f>MonthlyTargets[[#This Row],[Sales]]/20</f>
        <v>880.9</v>
      </c>
      <c r="F136" s="19">
        <f>MonthlyTargets[[#This Row],[Profit]]/20</f>
        <v>259.8</v>
      </c>
      <c r="G136" s="7">
        <v>5196</v>
      </c>
    </row>
    <row r="137" spans="1:7">
      <c r="A137" s="6">
        <v>45536</v>
      </c>
      <c r="B137" t="s">
        <v>126</v>
      </c>
      <c r="C137" t="s">
        <v>82</v>
      </c>
      <c r="D137" s="19">
        <v>14940</v>
      </c>
      <c r="E137" s="19">
        <f>MonthlyTargets[[#This Row],[Sales]]/20</f>
        <v>747</v>
      </c>
      <c r="F137" s="19">
        <f>MonthlyTargets[[#This Row],[Profit]]/20</f>
        <v>207.95</v>
      </c>
      <c r="G137" s="7">
        <v>4159</v>
      </c>
    </row>
    <row r="138" spans="1:7">
      <c r="A138" s="6">
        <v>45536</v>
      </c>
      <c r="B138" t="s">
        <v>138</v>
      </c>
      <c r="C138" t="s">
        <v>120</v>
      </c>
      <c r="D138" s="19">
        <v>33090</v>
      </c>
      <c r="E138" s="19">
        <f>MonthlyTargets[[#This Row],[Sales]]/20</f>
        <v>1654.5</v>
      </c>
      <c r="F138" s="19">
        <f>MonthlyTargets[[#This Row],[Profit]]/20</f>
        <v>454.1</v>
      </c>
      <c r="G138" s="7">
        <v>9082</v>
      </c>
    </row>
    <row r="139" spans="1:7">
      <c r="A139" s="6">
        <v>45536</v>
      </c>
      <c r="B139" t="s">
        <v>138</v>
      </c>
      <c r="C139" t="s">
        <v>93</v>
      </c>
      <c r="D139" s="19">
        <v>22812</v>
      </c>
      <c r="E139" s="19">
        <f>MonthlyTargets[[#This Row],[Sales]]/20</f>
        <v>1140.5999999999999</v>
      </c>
      <c r="F139" s="19">
        <f>MonthlyTargets[[#This Row],[Profit]]/20</f>
        <v>341.5</v>
      </c>
      <c r="G139" s="7">
        <v>6830</v>
      </c>
    </row>
    <row r="140" spans="1:7">
      <c r="A140" s="6">
        <v>45536</v>
      </c>
      <c r="B140" t="s">
        <v>138</v>
      </c>
      <c r="C140" t="s">
        <v>103</v>
      </c>
      <c r="D140" s="19">
        <v>14850</v>
      </c>
      <c r="E140" s="19">
        <f>MonthlyTargets[[#This Row],[Sales]]/20</f>
        <v>742.5</v>
      </c>
      <c r="F140" s="19">
        <f>MonthlyTargets[[#This Row],[Profit]]/20</f>
        <v>205.75</v>
      </c>
      <c r="G140" s="7">
        <v>4115</v>
      </c>
    </row>
    <row r="141" spans="1:7">
      <c r="A141" s="6">
        <v>45536</v>
      </c>
      <c r="B141" t="s">
        <v>138</v>
      </c>
      <c r="C141" t="s">
        <v>82</v>
      </c>
      <c r="D141" s="19">
        <v>12719</v>
      </c>
      <c r="E141" s="19">
        <f>MonthlyTargets[[#This Row],[Sales]]/20</f>
        <v>635.95000000000005</v>
      </c>
      <c r="F141" s="19">
        <f>MonthlyTargets[[#This Row],[Profit]]/20</f>
        <v>173.35</v>
      </c>
      <c r="G141" s="7">
        <v>3467</v>
      </c>
    </row>
    <row r="142" spans="1:7">
      <c r="A142" s="6">
        <v>45536</v>
      </c>
      <c r="B142" t="s">
        <v>194</v>
      </c>
      <c r="C142" t="s">
        <v>120</v>
      </c>
      <c r="D142" s="19">
        <v>33643</v>
      </c>
      <c r="E142" s="19">
        <f>MonthlyTargets[[#This Row],[Sales]]/20</f>
        <v>1682.15</v>
      </c>
      <c r="F142" s="19">
        <f>MonthlyTargets[[#This Row],[Profit]]/20</f>
        <v>483.8</v>
      </c>
      <c r="G142" s="7">
        <v>9676</v>
      </c>
    </row>
    <row r="143" spans="1:7">
      <c r="A143" s="6">
        <v>45536</v>
      </c>
      <c r="B143" t="s">
        <v>194</v>
      </c>
      <c r="C143" t="s">
        <v>93</v>
      </c>
      <c r="D143" s="19">
        <v>24032</v>
      </c>
      <c r="E143" s="19">
        <f>MonthlyTargets[[#This Row],[Sales]]/20</f>
        <v>1201.5999999999999</v>
      </c>
      <c r="F143" s="19">
        <f>MonthlyTargets[[#This Row],[Profit]]/20</f>
        <v>309.05</v>
      </c>
      <c r="G143" s="7">
        <v>6181</v>
      </c>
    </row>
    <row r="144" spans="1:7">
      <c r="A144" s="6">
        <v>45536</v>
      </c>
      <c r="B144" t="s">
        <v>194</v>
      </c>
      <c r="C144" t="s">
        <v>103</v>
      </c>
      <c r="D144" s="19">
        <v>13622</v>
      </c>
      <c r="E144" s="19">
        <f>MonthlyTargets[[#This Row],[Sales]]/20</f>
        <v>681.1</v>
      </c>
      <c r="F144" s="19">
        <f>MonthlyTargets[[#This Row],[Profit]]/20</f>
        <v>199.15</v>
      </c>
      <c r="G144" s="7">
        <v>3983</v>
      </c>
    </row>
    <row r="145" spans="1:7">
      <c r="A145" s="6">
        <v>45536</v>
      </c>
      <c r="B145" t="s">
        <v>194</v>
      </c>
      <c r="C145" t="s">
        <v>82</v>
      </c>
      <c r="D145" s="19">
        <v>11711</v>
      </c>
      <c r="E145" s="19">
        <f>MonthlyTargets[[#This Row],[Sales]]/20</f>
        <v>585.54999999999995</v>
      </c>
      <c r="F145" s="19">
        <f>MonthlyTargets[[#This Row],[Profit]]/20</f>
        <v>170.05</v>
      </c>
      <c r="G145" s="7">
        <v>3401</v>
      </c>
    </row>
    <row r="146" spans="1:7">
      <c r="A146" s="6">
        <v>45566</v>
      </c>
      <c r="B146" t="s">
        <v>75</v>
      </c>
      <c r="C146" t="s">
        <v>120</v>
      </c>
      <c r="D146" s="19">
        <v>37486</v>
      </c>
      <c r="E146" s="19">
        <f>MonthlyTargets[[#This Row],[Sales]]/20</f>
        <v>1874.3</v>
      </c>
      <c r="F146" s="19">
        <f>MonthlyTargets[[#This Row],[Profit]]/20</f>
        <v>496.4</v>
      </c>
      <c r="G146" s="7">
        <v>9928</v>
      </c>
    </row>
    <row r="147" spans="1:7">
      <c r="A147" s="6">
        <v>45566</v>
      </c>
      <c r="B147" t="s">
        <v>75</v>
      </c>
      <c r="C147" t="s">
        <v>93</v>
      </c>
      <c r="D147" s="19">
        <v>30282</v>
      </c>
      <c r="E147" s="19">
        <f>MonthlyTargets[[#This Row],[Sales]]/20</f>
        <v>1514.1</v>
      </c>
      <c r="F147" s="19">
        <f>MonthlyTargets[[#This Row],[Profit]]/20</f>
        <v>389.85</v>
      </c>
      <c r="G147" s="7">
        <v>7797</v>
      </c>
    </row>
    <row r="148" spans="1:7">
      <c r="A148" s="6">
        <v>45566</v>
      </c>
      <c r="B148" t="s">
        <v>75</v>
      </c>
      <c r="C148" t="s">
        <v>103</v>
      </c>
      <c r="D148" s="19">
        <v>16007</v>
      </c>
      <c r="E148" s="19">
        <f>MonthlyTargets[[#This Row],[Sales]]/20</f>
        <v>800.35</v>
      </c>
      <c r="F148" s="19">
        <f>MonthlyTargets[[#This Row],[Profit]]/20</f>
        <v>238</v>
      </c>
      <c r="G148" s="7">
        <v>4760</v>
      </c>
    </row>
    <row r="149" spans="1:7">
      <c r="A149" s="6">
        <v>45566</v>
      </c>
      <c r="B149" t="s">
        <v>75</v>
      </c>
      <c r="C149" t="s">
        <v>82</v>
      </c>
      <c r="D149" s="19">
        <v>15746</v>
      </c>
      <c r="E149" s="19">
        <f>MonthlyTargets[[#This Row],[Sales]]/20</f>
        <v>787.3</v>
      </c>
      <c r="F149" s="19">
        <f>MonthlyTargets[[#This Row],[Profit]]/20</f>
        <v>232.05</v>
      </c>
      <c r="G149" s="7">
        <v>4641</v>
      </c>
    </row>
    <row r="150" spans="1:7">
      <c r="A150" s="6">
        <v>45566</v>
      </c>
      <c r="B150" t="s">
        <v>126</v>
      </c>
      <c r="C150" t="s">
        <v>120</v>
      </c>
      <c r="D150" s="19">
        <v>39683</v>
      </c>
      <c r="E150" s="19">
        <f>MonthlyTargets[[#This Row],[Sales]]/20</f>
        <v>1984.15</v>
      </c>
      <c r="F150" s="19">
        <f>MonthlyTargets[[#This Row],[Profit]]/20</f>
        <v>449.3</v>
      </c>
      <c r="G150" s="7">
        <v>8986</v>
      </c>
    </row>
    <row r="151" spans="1:7">
      <c r="A151" s="6">
        <v>45566</v>
      </c>
      <c r="B151" t="s">
        <v>126</v>
      </c>
      <c r="C151" t="s">
        <v>93</v>
      </c>
      <c r="D151" s="19">
        <v>27009</v>
      </c>
      <c r="E151" s="19">
        <f>MonthlyTargets[[#This Row],[Sales]]/20</f>
        <v>1350.45</v>
      </c>
      <c r="F151" s="19">
        <f>MonthlyTargets[[#This Row],[Profit]]/20</f>
        <v>371.75</v>
      </c>
      <c r="G151" s="7">
        <v>7435</v>
      </c>
    </row>
    <row r="152" spans="1:7">
      <c r="A152" s="6">
        <v>45566</v>
      </c>
      <c r="B152" t="s">
        <v>126</v>
      </c>
      <c r="C152" t="s">
        <v>103</v>
      </c>
      <c r="D152" s="19">
        <v>16462</v>
      </c>
      <c r="E152" s="19">
        <f>MonthlyTargets[[#This Row],[Sales]]/20</f>
        <v>823.1</v>
      </c>
      <c r="F152" s="19">
        <f>MonthlyTargets[[#This Row],[Profit]]/20</f>
        <v>187.1</v>
      </c>
      <c r="G152" s="7">
        <v>3742</v>
      </c>
    </row>
    <row r="153" spans="1:7">
      <c r="A153" s="6">
        <v>45566</v>
      </c>
      <c r="B153" t="s">
        <v>126</v>
      </c>
      <c r="C153" t="s">
        <v>82</v>
      </c>
      <c r="D153" s="19">
        <v>16184</v>
      </c>
      <c r="E153" s="19">
        <f>MonthlyTargets[[#This Row],[Sales]]/20</f>
        <v>809.2</v>
      </c>
      <c r="F153" s="19">
        <f>MonthlyTargets[[#This Row],[Profit]]/20</f>
        <v>225.2</v>
      </c>
      <c r="G153" s="7">
        <v>4504</v>
      </c>
    </row>
    <row r="154" spans="1:7">
      <c r="A154" s="6">
        <v>45566</v>
      </c>
      <c r="B154" t="s">
        <v>138</v>
      </c>
      <c r="C154" t="s">
        <v>120</v>
      </c>
      <c r="D154" s="19">
        <v>35421</v>
      </c>
      <c r="E154" s="19">
        <f>MonthlyTargets[[#This Row],[Sales]]/20</f>
        <v>1771.05</v>
      </c>
      <c r="F154" s="19">
        <f>MonthlyTargets[[#This Row],[Profit]]/20</f>
        <v>499.85</v>
      </c>
      <c r="G154" s="7">
        <v>9997</v>
      </c>
    </row>
    <row r="155" spans="1:7">
      <c r="A155" s="6">
        <v>45566</v>
      </c>
      <c r="B155" t="s">
        <v>138</v>
      </c>
      <c r="C155" t="s">
        <v>93</v>
      </c>
      <c r="D155" s="19">
        <v>22654</v>
      </c>
      <c r="E155" s="19">
        <f>MonthlyTargets[[#This Row],[Sales]]/20</f>
        <v>1132.7</v>
      </c>
      <c r="F155" s="19">
        <f>MonthlyTargets[[#This Row],[Profit]]/20</f>
        <v>270.10000000000002</v>
      </c>
      <c r="G155" s="7">
        <v>5402</v>
      </c>
    </row>
    <row r="156" spans="1:7">
      <c r="A156" s="6">
        <v>45566</v>
      </c>
      <c r="B156" t="s">
        <v>138</v>
      </c>
      <c r="C156" t="s">
        <v>103</v>
      </c>
      <c r="D156" s="19">
        <v>13946</v>
      </c>
      <c r="E156" s="19">
        <f>MonthlyTargets[[#This Row],[Sales]]/20</f>
        <v>697.3</v>
      </c>
      <c r="F156" s="19">
        <f>MonthlyTargets[[#This Row],[Profit]]/20</f>
        <v>175.4</v>
      </c>
      <c r="G156" s="7">
        <v>3508</v>
      </c>
    </row>
    <row r="157" spans="1:7">
      <c r="A157" s="6">
        <v>45566</v>
      </c>
      <c r="B157" t="s">
        <v>138</v>
      </c>
      <c r="C157" t="s">
        <v>82</v>
      </c>
      <c r="D157" s="19">
        <v>13035</v>
      </c>
      <c r="E157" s="19">
        <f>MonthlyTargets[[#This Row],[Sales]]/20</f>
        <v>651.75</v>
      </c>
      <c r="F157" s="19">
        <f>MonthlyTargets[[#This Row],[Profit]]/20</f>
        <v>179.45</v>
      </c>
      <c r="G157" s="7">
        <v>3589</v>
      </c>
    </row>
    <row r="158" spans="1:7">
      <c r="A158" s="6">
        <v>45566</v>
      </c>
      <c r="B158" t="s">
        <v>194</v>
      </c>
      <c r="C158" t="s">
        <v>120</v>
      </c>
      <c r="D158" s="19">
        <v>32318</v>
      </c>
      <c r="E158" s="19">
        <f>MonthlyTargets[[#This Row],[Sales]]/20</f>
        <v>1615.9</v>
      </c>
      <c r="F158" s="19">
        <f>MonthlyTargets[[#This Row],[Profit]]/20</f>
        <v>479</v>
      </c>
      <c r="G158" s="7">
        <v>9580</v>
      </c>
    </row>
    <row r="159" spans="1:7">
      <c r="A159" s="6">
        <v>45566</v>
      </c>
      <c r="B159" t="s">
        <v>194</v>
      </c>
      <c r="C159" t="s">
        <v>93</v>
      </c>
      <c r="D159" s="19">
        <v>22209</v>
      </c>
      <c r="E159" s="19">
        <f>MonthlyTargets[[#This Row],[Sales]]/20</f>
        <v>1110.45</v>
      </c>
      <c r="F159" s="19">
        <f>MonthlyTargets[[#This Row],[Profit]]/20</f>
        <v>263.39999999999998</v>
      </c>
      <c r="G159" s="7">
        <v>5268</v>
      </c>
    </row>
    <row r="160" spans="1:7">
      <c r="A160" s="6">
        <v>45566</v>
      </c>
      <c r="B160" t="s">
        <v>194</v>
      </c>
      <c r="C160" t="s">
        <v>103</v>
      </c>
      <c r="D160" s="19">
        <v>15156</v>
      </c>
      <c r="E160" s="19">
        <f>MonthlyTargets[[#This Row],[Sales]]/20</f>
        <v>757.8</v>
      </c>
      <c r="F160" s="19">
        <f>MonthlyTargets[[#This Row],[Profit]]/20</f>
        <v>227</v>
      </c>
      <c r="G160" s="7">
        <v>4540</v>
      </c>
    </row>
    <row r="161" spans="1:7">
      <c r="A161" s="6">
        <v>45566</v>
      </c>
      <c r="B161" t="s">
        <v>194</v>
      </c>
      <c r="C161" t="s">
        <v>82</v>
      </c>
      <c r="D161" s="19">
        <v>13687</v>
      </c>
      <c r="E161" s="19">
        <f>MonthlyTargets[[#This Row],[Sales]]/20</f>
        <v>684.35</v>
      </c>
      <c r="F161" s="19">
        <f>MonthlyTargets[[#This Row],[Profit]]/20</f>
        <v>204.5</v>
      </c>
      <c r="G161" s="7">
        <v>4090</v>
      </c>
    </row>
    <row r="162" spans="1:7">
      <c r="A162" s="6">
        <v>45597</v>
      </c>
      <c r="B162" t="s">
        <v>75</v>
      </c>
      <c r="C162" t="s">
        <v>120</v>
      </c>
      <c r="D162" s="19">
        <v>44123</v>
      </c>
      <c r="E162" s="19">
        <f>MonthlyTargets[[#This Row],[Sales]]/20</f>
        <v>2206.15</v>
      </c>
      <c r="F162" s="19">
        <f>MonthlyTargets[[#This Row],[Profit]]/20</f>
        <v>499.8</v>
      </c>
      <c r="G162" s="7">
        <v>9996</v>
      </c>
    </row>
    <row r="163" spans="1:7">
      <c r="A163" s="6">
        <v>45597</v>
      </c>
      <c r="B163" t="s">
        <v>75</v>
      </c>
      <c r="C163" t="s">
        <v>93</v>
      </c>
      <c r="D163" s="19">
        <v>33538</v>
      </c>
      <c r="E163" s="19">
        <f>MonthlyTargets[[#This Row],[Sales]]/20</f>
        <v>1676.9</v>
      </c>
      <c r="F163" s="19">
        <f>MonthlyTargets[[#This Row],[Profit]]/20</f>
        <v>486.2</v>
      </c>
      <c r="G163" s="7">
        <v>9724</v>
      </c>
    </row>
    <row r="164" spans="1:7">
      <c r="A164" s="6">
        <v>45597</v>
      </c>
      <c r="B164" t="s">
        <v>75</v>
      </c>
      <c r="C164" t="s">
        <v>103</v>
      </c>
      <c r="D164" s="19">
        <v>18560</v>
      </c>
      <c r="E164" s="19">
        <f>MonthlyTargets[[#This Row],[Sales]]/20</f>
        <v>928</v>
      </c>
      <c r="F164" s="19">
        <f>MonthlyTargets[[#This Row],[Profit]]/20</f>
        <v>241.45</v>
      </c>
      <c r="G164" s="7">
        <v>4829</v>
      </c>
    </row>
    <row r="165" spans="1:7">
      <c r="A165" s="6">
        <v>45597</v>
      </c>
      <c r="B165" t="s">
        <v>75</v>
      </c>
      <c r="C165" t="s">
        <v>82</v>
      </c>
      <c r="D165" s="19">
        <v>18711</v>
      </c>
      <c r="E165" s="19">
        <f>MonthlyTargets[[#This Row],[Sales]]/20</f>
        <v>935.55</v>
      </c>
      <c r="F165" s="19">
        <f>MonthlyTargets[[#This Row],[Profit]]/20</f>
        <v>236.65</v>
      </c>
      <c r="G165" s="7">
        <v>4733</v>
      </c>
    </row>
    <row r="166" spans="1:7">
      <c r="A166" s="6">
        <v>45597</v>
      </c>
      <c r="B166" t="s">
        <v>126</v>
      </c>
      <c r="C166" t="s">
        <v>120</v>
      </c>
      <c r="D166" s="19">
        <v>47438</v>
      </c>
      <c r="E166" s="19">
        <f>MonthlyTargets[[#This Row],[Sales]]/20</f>
        <v>2371.9</v>
      </c>
      <c r="F166" s="19">
        <f>MonthlyTargets[[#This Row],[Profit]]/20</f>
        <v>587.45000000000005</v>
      </c>
      <c r="G166" s="7">
        <v>11749</v>
      </c>
    </row>
    <row r="167" spans="1:7">
      <c r="A167" s="6">
        <v>45597</v>
      </c>
      <c r="B167" t="s">
        <v>126</v>
      </c>
      <c r="C167" t="s">
        <v>93</v>
      </c>
      <c r="D167" s="19">
        <v>32746</v>
      </c>
      <c r="E167" s="19">
        <f>MonthlyTargets[[#This Row],[Sales]]/20</f>
        <v>1637.3</v>
      </c>
      <c r="F167" s="19">
        <f>MonthlyTargets[[#This Row],[Profit]]/20</f>
        <v>393.05</v>
      </c>
      <c r="G167" s="7">
        <v>7861</v>
      </c>
    </row>
    <row r="168" spans="1:7">
      <c r="A168" s="6">
        <v>45597</v>
      </c>
      <c r="B168" t="s">
        <v>126</v>
      </c>
      <c r="C168" t="s">
        <v>103</v>
      </c>
      <c r="D168" s="19">
        <v>23568</v>
      </c>
      <c r="E168" s="19">
        <f>MonthlyTargets[[#This Row],[Sales]]/20</f>
        <v>1178.4000000000001</v>
      </c>
      <c r="F168" s="19">
        <f>MonthlyTargets[[#This Row],[Profit]]/20</f>
        <v>291.5</v>
      </c>
      <c r="G168" s="7">
        <v>5830</v>
      </c>
    </row>
    <row r="169" spans="1:7">
      <c r="A169" s="6">
        <v>45597</v>
      </c>
      <c r="B169" t="s">
        <v>126</v>
      </c>
      <c r="C169" t="s">
        <v>82</v>
      </c>
      <c r="D169" s="19">
        <v>20717</v>
      </c>
      <c r="E169" s="19">
        <f>MonthlyTargets[[#This Row],[Sales]]/20</f>
        <v>1035.8499999999999</v>
      </c>
      <c r="F169" s="19">
        <f>MonthlyTargets[[#This Row],[Profit]]/20</f>
        <v>266.60000000000002</v>
      </c>
      <c r="G169" s="7">
        <v>5332</v>
      </c>
    </row>
    <row r="170" spans="1:7">
      <c r="A170" s="6">
        <v>45597</v>
      </c>
      <c r="B170" t="s">
        <v>138</v>
      </c>
      <c r="C170" t="s">
        <v>120</v>
      </c>
      <c r="D170" s="19">
        <v>39034</v>
      </c>
      <c r="E170" s="19">
        <f>MonthlyTargets[[#This Row],[Sales]]/20</f>
        <v>1951.7</v>
      </c>
      <c r="F170" s="19">
        <f>MonthlyTargets[[#This Row],[Profit]]/20</f>
        <v>470.85</v>
      </c>
      <c r="G170" s="7">
        <v>9417</v>
      </c>
    </row>
    <row r="171" spans="1:7">
      <c r="A171" s="6">
        <v>45597</v>
      </c>
      <c r="B171" t="s">
        <v>138</v>
      </c>
      <c r="C171" t="s">
        <v>93</v>
      </c>
      <c r="D171" s="19">
        <v>31812</v>
      </c>
      <c r="E171" s="19">
        <f>MonthlyTargets[[#This Row],[Sales]]/20</f>
        <v>1590.6</v>
      </c>
      <c r="F171" s="19">
        <f>MonthlyTargets[[#This Row],[Profit]]/20</f>
        <v>353.75</v>
      </c>
      <c r="G171" s="7">
        <v>7075</v>
      </c>
    </row>
    <row r="172" spans="1:7">
      <c r="A172" s="6">
        <v>45597</v>
      </c>
      <c r="B172" t="s">
        <v>138</v>
      </c>
      <c r="C172" t="s">
        <v>103</v>
      </c>
      <c r="D172" s="19">
        <v>19604</v>
      </c>
      <c r="E172" s="19">
        <f>MonthlyTargets[[#This Row],[Sales]]/20</f>
        <v>980.2</v>
      </c>
      <c r="F172" s="19">
        <f>MonthlyTargets[[#This Row],[Profit]]/20</f>
        <v>224.9</v>
      </c>
      <c r="G172" s="7">
        <v>4498</v>
      </c>
    </row>
    <row r="173" spans="1:7">
      <c r="A173" s="6">
        <v>45597</v>
      </c>
      <c r="B173" t="s">
        <v>138</v>
      </c>
      <c r="C173" t="s">
        <v>82</v>
      </c>
      <c r="D173" s="19">
        <v>16498</v>
      </c>
      <c r="E173" s="19">
        <f>MonthlyTargets[[#This Row],[Sales]]/20</f>
        <v>824.9</v>
      </c>
      <c r="F173" s="19">
        <f>MonthlyTargets[[#This Row],[Profit]]/20</f>
        <v>185.05</v>
      </c>
      <c r="G173" s="7">
        <v>3701</v>
      </c>
    </row>
    <row r="174" spans="1:7">
      <c r="A174" s="6">
        <v>45597</v>
      </c>
      <c r="B174" t="s">
        <v>194</v>
      </c>
      <c r="C174" t="s">
        <v>120</v>
      </c>
      <c r="D174" s="19">
        <v>38503</v>
      </c>
      <c r="E174" s="19">
        <f>MonthlyTargets[[#This Row],[Sales]]/20</f>
        <v>1925.15</v>
      </c>
      <c r="F174" s="19">
        <f>MonthlyTargets[[#This Row],[Profit]]/20</f>
        <v>444.2</v>
      </c>
      <c r="G174" s="7">
        <v>8884</v>
      </c>
    </row>
    <row r="175" spans="1:7">
      <c r="A175" s="6">
        <v>45597</v>
      </c>
      <c r="B175" t="s">
        <v>194</v>
      </c>
      <c r="C175" t="s">
        <v>93</v>
      </c>
      <c r="D175" s="19">
        <v>30744</v>
      </c>
      <c r="E175" s="19">
        <f>MonthlyTargets[[#This Row],[Sales]]/20</f>
        <v>1537.2</v>
      </c>
      <c r="F175" s="19">
        <f>MonthlyTargets[[#This Row],[Profit]]/20</f>
        <v>411.1</v>
      </c>
      <c r="G175" s="7">
        <v>8222</v>
      </c>
    </row>
    <row r="176" spans="1:7">
      <c r="A176" s="6">
        <v>45597</v>
      </c>
      <c r="B176" t="s">
        <v>194</v>
      </c>
      <c r="C176" t="s">
        <v>103</v>
      </c>
      <c r="D176" s="19">
        <v>17730</v>
      </c>
      <c r="E176" s="19">
        <f>MonthlyTargets[[#This Row],[Sales]]/20</f>
        <v>886.5</v>
      </c>
      <c r="F176" s="19">
        <f>MonthlyTargets[[#This Row],[Profit]]/20</f>
        <v>256.55</v>
      </c>
      <c r="G176" s="7">
        <v>5131</v>
      </c>
    </row>
    <row r="177" spans="1:7">
      <c r="A177" s="6">
        <v>45597</v>
      </c>
      <c r="B177" t="s">
        <v>194</v>
      </c>
      <c r="C177" t="s">
        <v>82</v>
      </c>
      <c r="D177" s="19">
        <v>16363</v>
      </c>
      <c r="E177" s="19">
        <f>MonthlyTargets[[#This Row],[Sales]]/20</f>
        <v>818.15</v>
      </c>
      <c r="F177" s="19">
        <f>MonthlyTargets[[#This Row],[Profit]]/20</f>
        <v>198.65</v>
      </c>
      <c r="G177" s="7">
        <v>3973</v>
      </c>
    </row>
    <row r="178" spans="1:7">
      <c r="A178" s="6">
        <v>45627</v>
      </c>
      <c r="B178" t="s">
        <v>75</v>
      </c>
      <c r="C178" t="s">
        <v>120</v>
      </c>
      <c r="D178" s="19">
        <v>43823</v>
      </c>
      <c r="E178" s="19">
        <f>MonthlyTargets[[#This Row],[Sales]]/20</f>
        <v>2191.15</v>
      </c>
      <c r="F178" s="19">
        <f>MonthlyTargets[[#This Row],[Profit]]/20</f>
        <v>614.95000000000005</v>
      </c>
      <c r="G178" s="7">
        <v>12299</v>
      </c>
    </row>
    <row r="179" spans="1:7">
      <c r="A179" s="6">
        <v>45627</v>
      </c>
      <c r="B179" t="s">
        <v>75</v>
      </c>
      <c r="C179" t="s">
        <v>93</v>
      </c>
      <c r="D179" s="19">
        <v>32321</v>
      </c>
      <c r="E179" s="19">
        <f>MonthlyTargets[[#This Row],[Sales]]/20</f>
        <v>1616.05</v>
      </c>
      <c r="F179" s="19">
        <f>MonthlyTargets[[#This Row],[Profit]]/20</f>
        <v>380.75</v>
      </c>
      <c r="G179" s="7">
        <v>7615</v>
      </c>
    </row>
    <row r="180" spans="1:7">
      <c r="A180" s="6">
        <v>45627</v>
      </c>
      <c r="B180" t="s">
        <v>75</v>
      </c>
      <c r="C180" t="s">
        <v>103</v>
      </c>
      <c r="D180" s="19">
        <v>21942</v>
      </c>
      <c r="E180" s="19">
        <f>MonthlyTargets[[#This Row],[Sales]]/20</f>
        <v>1097.0999999999999</v>
      </c>
      <c r="F180" s="19">
        <f>MonthlyTargets[[#This Row],[Profit]]/20</f>
        <v>244.15</v>
      </c>
      <c r="G180" s="7">
        <v>4883</v>
      </c>
    </row>
    <row r="181" spans="1:7">
      <c r="A181" s="6">
        <v>45627</v>
      </c>
      <c r="B181" t="s">
        <v>75</v>
      </c>
      <c r="C181" t="s">
        <v>82</v>
      </c>
      <c r="D181" s="19">
        <v>19220</v>
      </c>
      <c r="E181" s="19">
        <f>MonthlyTargets[[#This Row],[Sales]]/20</f>
        <v>961</v>
      </c>
      <c r="F181" s="19">
        <f>MonthlyTargets[[#This Row],[Profit]]/20</f>
        <v>286.55</v>
      </c>
      <c r="G181" s="7">
        <v>5731</v>
      </c>
    </row>
    <row r="182" spans="1:7">
      <c r="A182" s="6">
        <v>45627</v>
      </c>
      <c r="B182" t="s">
        <v>126</v>
      </c>
      <c r="C182" t="s">
        <v>120</v>
      </c>
      <c r="D182" s="19">
        <v>46055</v>
      </c>
      <c r="E182" s="19">
        <f>MonthlyTargets[[#This Row],[Sales]]/20</f>
        <v>2302.75</v>
      </c>
      <c r="F182" s="19">
        <f>MonthlyTargets[[#This Row],[Profit]]/20</f>
        <v>524.85</v>
      </c>
      <c r="G182" s="7">
        <v>10497</v>
      </c>
    </row>
    <row r="183" spans="1:7">
      <c r="A183" s="6">
        <v>45627</v>
      </c>
      <c r="B183" t="s">
        <v>126</v>
      </c>
      <c r="C183" t="s">
        <v>93</v>
      </c>
      <c r="D183" s="19">
        <v>37070</v>
      </c>
      <c r="E183" s="19">
        <f>MonthlyTargets[[#This Row],[Sales]]/20</f>
        <v>1853.5</v>
      </c>
      <c r="F183" s="19">
        <f>MonthlyTargets[[#This Row],[Profit]]/20</f>
        <v>420.15</v>
      </c>
      <c r="G183" s="7">
        <v>8403</v>
      </c>
    </row>
    <row r="184" spans="1:7">
      <c r="A184" s="6">
        <v>45627</v>
      </c>
      <c r="B184" t="s">
        <v>126</v>
      </c>
      <c r="C184" t="s">
        <v>103</v>
      </c>
      <c r="D184" s="19">
        <v>22508</v>
      </c>
      <c r="E184" s="19">
        <f>MonthlyTargets[[#This Row],[Sales]]/20</f>
        <v>1125.4000000000001</v>
      </c>
      <c r="F184" s="19">
        <f>MonthlyTargets[[#This Row],[Profit]]/20</f>
        <v>297.39999999999998</v>
      </c>
      <c r="G184" s="7">
        <v>5948</v>
      </c>
    </row>
    <row r="185" spans="1:7">
      <c r="A185" s="6">
        <v>45627</v>
      </c>
      <c r="B185" t="s">
        <v>126</v>
      </c>
      <c r="C185" t="s">
        <v>82</v>
      </c>
      <c r="D185" s="19">
        <v>20608</v>
      </c>
      <c r="E185" s="19">
        <f>MonthlyTargets[[#This Row],[Sales]]/20</f>
        <v>1030.4000000000001</v>
      </c>
      <c r="F185" s="19">
        <f>MonthlyTargets[[#This Row],[Profit]]/20</f>
        <v>292.14999999999998</v>
      </c>
      <c r="G185" s="7">
        <v>5843</v>
      </c>
    </row>
    <row r="186" spans="1:7">
      <c r="A186" s="6">
        <v>45627</v>
      </c>
      <c r="B186" t="s">
        <v>138</v>
      </c>
      <c r="C186" t="s">
        <v>120</v>
      </c>
      <c r="D186" s="19">
        <v>41461</v>
      </c>
      <c r="E186" s="19">
        <f>MonthlyTargets[[#This Row],[Sales]]/20</f>
        <v>2073.0500000000002</v>
      </c>
      <c r="F186" s="19">
        <f>MonthlyTargets[[#This Row],[Profit]]/20</f>
        <v>480.15</v>
      </c>
      <c r="G186" s="7">
        <v>9603</v>
      </c>
    </row>
    <row r="187" spans="1:7">
      <c r="A187" s="6">
        <v>45627</v>
      </c>
      <c r="B187" t="s">
        <v>138</v>
      </c>
      <c r="C187" t="s">
        <v>93</v>
      </c>
      <c r="D187" s="19">
        <v>31545</v>
      </c>
      <c r="E187" s="19">
        <f>MonthlyTargets[[#This Row],[Sales]]/20</f>
        <v>1577.25</v>
      </c>
      <c r="F187" s="19">
        <f>MonthlyTargets[[#This Row],[Profit]]/20</f>
        <v>451.6</v>
      </c>
      <c r="G187" s="7">
        <v>9032</v>
      </c>
    </row>
    <row r="188" spans="1:7">
      <c r="A188" s="6">
        <v>45627</v>
      </c>
      <c r="B188" t="s">
        <v>138</v>
      </c>
      <c r="C188" t="s">
        <v>103</v>
      </c>
      <c r="D188" s="19">
        <v>18265</v>
      </c>
      <c r="E188" s="19">
        <f>MonthlyTargets[[#This Row],[Sales]]/20</f>
        <v>913.25</v>
      </c>
      <c r="F188" s="19">
        <f>MonthlyTargets[[#This Row],[Profit]]/20</f>
        <v>263.25</v>
      </c>
      <c r="G188" s="7">
        <v>5265</v>
      </c>
    </row>
    <row r="189" spans="1:7">
      <c r="A189" s="6">
        <v>45627</v>
      </c>
      <c r="B189" t="s">
        <v>138</v>
      </c>
      <c r="C189" t="s">
        <v>82</v>
      </c>
      <c r="D189" s="19">
        <v>17649</v>
      </c>
      <c r="E189" s="19">
        <f>MonthlyTargets[[#This Row],[Sales]]/20</f>
        <v>882.45</v>
      </c>
      <c r="F189" s="19">
        <f>MonthlyTargets[[#This Row],[Profit]]/20</f>
        <v>247</v>
      </c>
      <c r="G189" s="7">
        <v>4940</v>
      </c>
    </row>
    <row r="190" spans="1:7">
      <c r="A190" s="6">
        <v>45627</v>
      </c>
      <c r="B190" t="s">
        <v>194</v>
      </c>
      <c r="C190" t="s">
        <v>120</v>
      </c>
      <c r="D190" s="19">
        <v>36327</v>
      </c>
      <c r="E190" s="19">
        <f>MonthlyTargets[[#This Row],[Sales]]/20</f>
        <v>1816.35</v>
      </c>
      <c r="F190" s="19">
        <f>MonthlyTargets[[#This Row],[Profit]]/20</f>
        <v>489.05</v>
      </c>
      <c r="G190" s="7">
        <v>9781</v>
      </c>
    </row>
    <row r="191" spans="1:7">
      <c r="A191" s="6">
        <v>45627</v>
      </c>
      <c r="B191" t="s">
        <v>194</v>
      </c>
      <c r="C191" t="s">
        <v>93</v>
      </c>
      <c r="D191" s="19">
        <v>28732</v>
      </c>
      <c r="E191" s="19">
        <f>MonthlyTargets[[#This Row],[Sales]]/20</f>
        <v>1436.6</v>
      </c>
      <c r="F191" s="19">
        <f>MonthlyTargets[[#This Row],[Profit]]/20</f>
        <v>355.2</v>
      </c>
      <c r="G191" s="7">
        <v>7104</v>
      </c>
    </row>
    <row r="192" spans="1:7">
      <c r="A192" s="6">
        <v>45627</v>
      </c>
      <c r="B192" t="s">
        <v>194</v>
      </c>
      <c r="C192" t="s">
        <v>103</v>
      </c>
      <c r="D192" s="19">
        <v>17471</v>
      </c>
      <c r="E192" s="19">
        <f>MonthlyTargets[[#This Row],[Sales]]/20</f>
        <v>873.55</v>
      </c>
      <c r="F192" s="19">
        <f>MonthlyTargets[[#This Row],[Profit]]/20</f>
        <v>245.65</v>
      </c>
      <c r="G192" s="7">
        <v>4913</v>
      </c>
    </row>
    <row r="193" spans="1:7">
      <c r="A193" s="6">
        <v>45627</v>
      </c>
      <c r="B193" t="s">
        <v>194</v>
      </c>
      <c r="C193" t="s">
        <v>82</v>
      </c>
      <c r="D193" s="19">
        <v>16370</v>
      </c>
      <c r="E193" s="19">
        <f>MonthlyTargets[[#This Row],[Sales]]/20</f>
        <v>818.5</v>
      </c>
      <c r="F193" s="19">
        <f>MonthlyTargets[[#This Row],[Profit]]/20</f>
        <v>236.5</v>
      </c>
      <c r="G193" s="7">
        <v>4730</v>
      </c>
    </row>
    <row r="194" spans="1:7">
      <c r="A194" s="6">
        <v>45658</v>
      </c>
      <c r="B194" t="s">
        <v>75</v>
      </c>
      <c r="C194" t="s">
        <v>120</v>
      </c>
      <c r="D194" s="19">
        <v>36704</v>
      </c>
      <c r="E194" s="19">
        <f>MonthlyTargets[[#This Row],[Sales]]/20</f>
        <v>1835.2</v>
      </c>
      <c r="F194" s="19">
        <f>MonthlyTargets[[#This Row],[Profit]]/20</f>
        <v>439.15</v>
      </c>
      <c r="G194" s="7">
        <v>8783</v>
      </c>
    </row>
    <row r="195" spans="1:7">
      <c r="A195" s="6">
        <v>45658</v>
      </c>
      <c r="B195" t="s">
        <v>75</v>
      </c>
      <c r="C195" t="s">
        <v>93</v>
      </c>
      <c r="D195" s="19">
        <v>24647</v>
      </c>
      <c r="E195" s="19">
        <f>MonthlyTargets[[#This Row],[Sales]]/20</f>
        <v>1232.3499999999999</v>
      </c>
      <c r="F195" s="19">
        <f>MonthlyTargets[[#This Row],[Profit]]/20</f>
        <v>300.85000000000002</v>
      </c>
      <c r="G195" s="7">
        <v>6017</v>
      </c>
    </row>
    <row r="196" spans="1:7">
      <c r="A196" s="6">
        <v>45658</v>
      </c>
      <c r="B196" t="s">
        <v>75</v>
      </c>
      <c r="C196" t="s">
        <v>103</v>
      </c>
      <c r="D196" s="19">
        <v>16016</v>
      </c>
      <c r="E196" s="19">
        <f>MonthlyTargets[[#This Row],[Sales]]/20</f>
        <v>800.8</v>
      </c>
      <c r="F196" s="19">
        <f>MonthlyTargets[[#This Row],[Profit]]/20</f>
        <v>219</v>
      </c>
      <c r="G196" s="7">
        <v>4380</v>
      </c>
    </row>
    <row r="197" spans="1:7">
      <c r="A197" s="6">
        <v>45658</v>
      </c>
      <c r="B197" t="s">
        <v>75</v>
      </c>
      <c r="C197" t="s">
        <v>82</v>
      </c>
      <c r="D197" s="19">
        <v>12932</v>
      </c>
      <c r="E197" s="19">
        <f>MonthlyTargets[[#This Row],[Sales]]/20</f>
        <v>646.6</v>
      </c>
      <c r="F197" s="19">
        <f>MonthlyTargets[[#This Row],[Profit]]/20</f>
        <v>154.25</v>
      </c>
      <c r="G197" s="7">
        <v>3085</v>
      </c>
    </row>
    <row r="198" spans="1:7">
      <c r="A198" s="6">
        <v>45658</v>
      </c>
      <c r="B198" t="s">
        <v>126</v>
      </c>
      <c r="C198" t="s">
        <v>120</v>
      </c>
      <c r="D198" s="19">
        <v>35733</v>
      </c>
      <c r="E198" s="19">
        <f>MonthlyTargets[[#This Row],[Sales]]/20</f>
        <v>1786.65</v>
      </c>
      <c r="F198" s="19">
        <f>MonthlyTargets[[#This Row],[Profit]]/20</f>
        <v>393.6</v>
      </c>
      <c r="G198" s="7">
        <v>7872</v>
      </c>
    </row>
    <row r="199" spans="1:7">
      <c r="A199" s="6">
        <v>45658</v>
      </c>
      <c r="B199" t="s">
        <v>126</v>
      </c>
      <c r="C199" t="s">
        <v>93</v>
      </c>
      <c r="D199" s="19">
        <v>27450</v>
      </c>
      <c r="E199" s="19">
        <f>MonthlyTargets[[#This Row],[Sales]]/20</f>
        <v>1372.5</v>
      </c>
      <c r="F199" s="19">
        <f>MonthlyTargets[[#This Row],[Profit]]/20</f>
        <v>311.35000000000002</v>
      </c>
      <c r="G199" s="7">
        <v>6227</v>
      </c>
    </row>
    <row r="200" spans="1:7">
      <c r="A200" s="6">
        <v>45658</v>
      </c>
      <c r="B200" t="s">
        <v>126</v>
      </c>
      <c r="C200" t="s">
        <v>103</v>
      </c>
      <c r="D200" s="19">
        <v>17467</v>
      </c>
      <c r="E200" s="19">
        <f>MonthlyTargets[[#This Row],[Sales]]/20</f>
        <v>873.35</v>
      </c>
      <c r="F200" s="19">
        <f>MonthlyTargets[[#This Row],[Profit]]/20</f>
        <v>227.05</v>
      </c>
      <c r="G200" s="7">
        <v>4541</v>
      </c>
    </row>
    <row r="201" spans="1:7">
      <c r="A201" s="6">
        <v>45658</v>
      </c>
      <c r="B201" t="s">
        <v>126</v>
      </c>
      <c r="C201" t="s">
        <v>82</v>
      </c>
      <c r="D201" s="19">
        <v>13272</v>
      </c>
      <c r="E201" s="19">
        <f>MonthlyTargets[[#This Row],[Sales]]/20</f>
        <v>663.6</v>
      </c>
      <c r="F201" s="19">
        <f>MonthlyTargets[[#This Row],[Profit]]/20</f>
        <v>177.05</v>
      </c>
      <c r="G201" s="7">
        <v>3541</v>
      </c>
    </row>
    <row r="202" spans="1:7">
      <c r="A202" s="6">
        <v>45658</v>
      </c>
      <c r="B202" t="s">
        <v>138</v>
      </c>
      <c r="C202" t="s">
        <v>120</v>
      </c>
      <c r="D202" s="19">
        <v>31430</v>
      </c>
      <c r="E202" s="19">
        <f>MonthlyTargets[[#This Row],[Sales]]/20</f>
        <v>1571.5</v>
      </c>
      <c r="F202" s="19">
        <f>MonthlyTargets[[#This Row],[Profit]]/20</f>
        <v>386.5</v>
      </c>
      <c r="G202" s="7">
        <v>7730</v>
      </c>
    </row>
    <row r="203" spans="1:7">
      <c r="A203" s="6">
        <v>45658</v>
      </c>
      <c r="B203" t="s">
        <v>138</v>
      </c>
      <c r="C203" t="s">
        <v>93</v>
      </c>
      <c r="D203" s="19">
        <v>23048</v>
      </c>
      <c r="E203" s="19">
        <f>MonthlyTargets[[#This Row],[Sales]]/20</f>
        <v>1152.4000000000001</v>
      </c>
      <c r="F203" s="19">
        <f>MonthlyTargets[[#This Row],[Profit]]/20</f>
        <v>318.64999999999998</v>
      </c>
      <c r="G203" s="7">
        <v>6373</v>
      </c>
    </row>
    <row r="204" spans="1:7">
      <c r="A204" s="6">
        <v>45658</v>
      </c>
      <c r="B204" t="s">
        <v>138</v>
      </c>
      <c r="C204" t="s">
        <v>103</v>
      </c>
      <c r="D204" s="19">
        <v>14805</v>
      </c>
      <c r="E204" s="19">
        <f>MonthlyTargets[[#This Row],[Sales]]/20</f>
        <v>740.25</v>
      </c>
      <c r="F204" s="19">
        <f>MonthlyTargets[[#This Row],[Profit]]/20</f>
        <v>175.05</v>
      </c>
      <c r="G204" s="7">
        <v>3501</v>
      </c>
    </row>
    <row r="205" spans="1:7">
      <c r="A205" s="6">
        <v>45658</v>
      </c>
      <c r="B205" t="s">
        <v>138</v>
      </c>
      <c r="C205" t="s">
        <v>82</v>
      </c>
      <c r="D205" s="19">
        <v>11545</v>
      </c>
      <c r="E205" s="19">
        <f>MonthlyTargets[[#This Row],[Sales]]/20</f>
        <v>577.25</v>
      </c>
      <c r="F205" s="19">
        <f>MonthlyTargets[[#This Row],[Profit]]/20</f>
        <v>161.80000000000001</v>
      </c>
      <c r="G205" s="7">
        <v>3236</v>
      </c>
    </row>
    <row r="206" spans="1:7">
      <c r="A206" s="6">
        <v>45658</v>
      </c>
      <c r="B206" t="s">
        <v>194</v>
      </c>
      <c r="C206" t="s">
        <v>120</v>
      </c>
      <c r="D206" s="19">
        <v>28288</v>
      </c>
      <c r="E206" s="19">
        <f>MonthlyTargets[[#This Row],[Sales]]/20</f>
        <v>1414.4</v>
      </c>
      <c r="F206" s="19">
        <f>MonthlyTargets[[#This Row],[Profit]]/20</f>
        <v>392.65</v>
      </c>
      <c r="G206" s="7">
        <v>7853</v>
      </c>
    </row>
    <row r="207" spans="1:7">
      <c r="A207" s="6">
        <v>45658</v>
      </c>
      <c r="B207" t="s">
        <v>194</v>
      </c>
      <c r="C207" t="s">
        <v>93</v>
      </c>
      <c r="D207" s="19">
        <v>19327</v>
      </c>
      <c r="E207" s="19">
        <f>MonthlyTargets[[#This Row],[Sales]]/20</f>
        <v>966.35</v>
      </c>
      <c r="F207" s="19">
        <f>MonthlyTargets[[#This Row],[Profit]]/20</f>
        <v>255.05</v>
      </c>
      <c r="G207" s="7">
        <v>5101</v>
      </c>
    </row>
    <row r="208" spans="1:7">
      <c r="A208" s="6">
        <v>45658</v>
      </c>
      <c r="B208" t="s">
        <v>194</v>
      </c>
      <c r="C208" t="s">
        <v>103</v>
      </c>
      <c r="D208" s="19">
        <v>13278</v>
      </c>
      <c r="E208" s="19">
        <f>MonthlyTargets[[#This Row],[Sales]]/20</f>
        <v>663.9</v>
      </c>
      <c r="F208" s="19">
        <f>MonthlyTargets[[#This Row],[Profit]]/20</f>
        <v>162.85</v>
      </c>
      <c r="G208" s="7">
        <v>3257</v>
      </c>
    </row>
    <row r="209" spans="1:7">
      <c r="A209" s="6">
        <v>45658</v>
      </c>
      <c r="B209" t="s">
        <v>194</v>
      </c>
      <c r="C209" t="s">
        <v>82</v>
      </c>
      <c r="D209" s="19">
        <v>10057</v>
      </c>
      <c r="E209" s="19">
        <f>MonthlyTargets[[#This Row],[Sales]]/20</f>
        <v>502.85</v>
      </c>
      <c r="F209" s="19">
        <f>MonthlyTargets[[#This Row],[Profit]]/20</f>
        <v>123.9</v>
      </c>
      <c r="G209" s="7">
        <v>2478</v>
      </c>
    </row>
    <row r="210" spans="1:7">
      <c r="A210" s="6">
        <v>45689</v>
      </c>
      <c r="B210" t="s">
        <v>75</v>
      </c>
      <c r="C210" t="s">
        <v>120</v>
      </c>
      <c r="D210" s="19">
        <v>34514</v>
      </c>
      <c r="E210" s="19">
        <f>MonthlyTargets[[#This Row],[Sales]]/20</f>
        <v>1725.7</v>
      </c>
      <c r="F210" s="19">
        <f>MonthlyTargets[[#This Row],[Profit]]/20</f>
        <v>409.6</v>
      </c>
      <c r="G210" s="7">
        <v>8192</v>
      </c>
    </row>
    <row r="211" spans="1:7">
      <c r="A211" s="6">
        <v>45689</v>
      </c>
      <c r="B211" t="s">
        <v>75</v>
      </c>
      <c r="C211" t="s">
        <v>93</v>
      </c>
      <c r="D211" s="19">
        <v>25318</v>
      </c>
      <c r="E211" s="19">
        <f>MonthlyTargets[[#This Row],[Sales]]/20</f>
        <v>1265.9000000000001</v>
      </c>
      <c r="F211" s="19">
        <f>MonthlyTargets[[#This Row],[Profit]]/20</f>
        <v>282.60000000000002</v>
      </c>
      <c r="G211" s="7">
        <v>5652</v>
      </c>
    </row>
    <row r="212" spans="1:7">
      <c r="A212" s="6">
        <v>45689</v>
      </c>
      <c r="B212" t="s">
        <v>75</v>
      </c>
      <c r="C212" t="s">
        <v>103</v>
      </c>
      <c r="D212" s="19">
        <v>16229</v>
      </c>
      <c r="E212" s="19">
        <f>MonthlyTargets[[#This Row],[Sales]]/20</f>
        <v>811.45</v>
      </c>
      <c r="F212" s="19">
        <f>MonthlyTargets[[#This Row],[Profit]]/20</f>
        <v>191.4</v>
      </c>
      <c r="G212" s="7">
        <v>3828</v>
      </c>
    </row>
    <row r="213" spans="1:7">
      <c r="A213" s="6">
        <v>45689</v>
      </c>
      <c r="B213" t="s">
        <v>75</v>
      </c>
      <c r="C213" t="s">
        <v>82</v>
      </c>
      <c r="D213" s="19">
        <v>12465</v>
      </c>
      <c r="E213" s="19">
        <f>MonthlyTargets[[#This Row],[Sales]]/20</f>
        <v>623.25</v>
      </c>
      <c r="F213" s="19">
        <f>MonthlyTargets[[#This Row],[Profit]]/20</f>
        <v>176.85</v>
      </c>
      <c r="G213" s="7">
        <v>3537</v>
      </c>
    </row>
    <row r="214" spans="1:7">
      <c r="A214" s="6">
        <v>45689</v>
      </c>
      <c r="B214" t="s">
        <v>126</v>
      </c>
      <c r="C214" t="s">
        <v>120</v>
      </c>
      <c r="D214" s="19">
        <v>37576</v>
      </c>
      <c r="E214" s="19">
        <f>MonthlyTargets[[#This Row],[Sales]]/20</f>
        <v>1878.8</v>
      </c>
      <c r="F214" s="19">
        <f>MonthlyTargets[[#This Row],[Profit]]/20</f>
        <v>511.4</v>
      </c>
      <c r="G214" s="7">
        <v>10228</v>
      </c>
    </row>
    <row r="215" spans="1:7">
      <c r="A215" s="6">
        <v>45689</v>
      </c>
      <c r="B215" t="s">
        <v>126</v>
      </c>
      <c r="C215" t="s">
        <v>93</v>
      </c>
      <c r="D215" s="19">
        <v>24862</v>
      </c>
      <c r="E215" s="19">
        <f>MonthlyTargets[[#This Row],[Sales]]/20</f>
        <v>1243.0999999999999</v>
      </c>
      <c r="F215" s="19">
        <f>MonthlyTargets[[#This Row],[Profit]]/20</f>
        <v>345.9</v>
      </c>
      <c r="G215" s="7">
        <v>6918</v>
      </c>
    </row>
    <row r="216" spans="1:7">
      <c r="A216" s="6">
        <v>45689</v>
      </c>
      <c r="B216" t="s">
        <v>126</v>
      </c>
      <c r="C216" t="s">
        <v>103</v>
      </c>
      <c r="D216" s="19">
        <v>16558</v>
      </c>
      <c r="E216" s="19">
        <f>MonthlyTargets[[#This Row],[Sales]]/20</f>
        <v>827.9</v>
      </c>
      <c r="F216" s="19">
        <f>MonthlyTargets[[#This Row],[Profit]]/20</f>
        <v>215.25</v>
      </c>
      <c r="G216" s="7">
        <v>4305</v>
      </c>
    </row>
    <row r="217" spans="1:7">
      <c r="A217" s="6">
        <v>45689</v>
      </c>
      <c r="B217" t="s">
        <v>126</v>
      </c>
      <c r="C217" t="s">
        <v>82</v>
      </c>
      <c r="D217" s="19">
        <v>14732</v>
      </c>
      <c r="E217" s="19">
        <f>MonthlyTargets[[#This Row],[Sales]]/20</f>
        <v>736.6</v>
      </c>
      <c r="F217" s="19">
        <f>MonthlyTargets[[#This Row],[Profit]]/20</f>
        <v>170.25</v>
      </c>
      <c r="G217" s="7">
        <v>3405</v>
      </c>
    </row>
    <row r="218" spans="1:7">
      <c r="A218" s="6">
        <v>45689</v>
      </c>
      <c r="B218" t="s">
        <v>138</v>
      </c>
      <c r="C218" t="s">
        <v>120</v>
      </c>
      <c r="D218" s="19">
        <v>32559</v>
      </c>
      <c r="E218" s="19">
        <f>MonthlyTargets[[#This Row],[Sales]]/20</f>
        <v>1627.95</v>
      </c>
      <c r="F218" s="19">
        <f>MonthlyTargets[[#This Row],[Profit]]/20</f>
        <v>449.4</v>
      </c>
      <c r="G218" s="7">
        <v>8988</v>
      </c>
    </row>
    <row r="219" spans="1:7">
      <c r="A219" s="6">
        <v>45689</v>
      </c>
      <c r="B219" t="s">
        <v>138</v>
      </c>
      <c r="C219" t="s">
        <v>93</v>
      </c>
      <c r="D219" s="19">
        <v>23180</v>
      </c>
      <c r="E219" s="19">
        <f>MonthlyTargets[[#This Row],[Sales]]/20</f>
        <v>1159</v>
      </c>
      <c r="F219" s="19">
        <f>MonthlyTargets[[#This Row],[Profit]]/20</f>
        <v>297.10000000000002</v>
      </c>
      <c r="G219" s="7">
        <v>5942</v>
      </c>
    </row>
    <row r="220" spans="1:7">
      <c r="A220" s="6">
        <v>45689</v>
      </c>
      <c r="B220" t="s">
        <v>138</v>
      </c>
      <c r="C220" t="s">
        <v>103</v>
      </c>
      <c r="D220" s="19">
        <v>14467</v>
      </c>
      <c r="E220" s="19">
        <f>MonthlyTargets[[#This Row],[Sales]]/20</f>
        <v>723.35</v>
      </c>
      <c r="F220" s="19">
        <f>MonthlyTargets[[#This Row],[Profit]]/20</f>
        <v>184.05</v>
      </c>
      <c r="G220" s="7">
        <v>3681</v>
      </c>
    </row>
    <row r="221" spans="1:7">
      <c r="A221" s="6">
        <v>45689</v>
      </c>
      <c r="B221" t="s">
        <v>138</v>
      </c>
      <c r="C221" t="s">
        <v>82</v>
      </c>
      <c r="D221" s="19">
        <v>12422</v>
      </c>
      <c r="E221" s="19">
        <f>MonthlyTargets[[#This Row],[Sales]]/20</f>
        <v>621.1</v>
      </c>
      <c r="F221" s="19">
        <f>MonthlyTargets[[#This Row],[Profit]]/20</f>
        <v>142.5</v>
      </c>
      <c r="G221" s="7">
        <v>2850</v>
      </c>
    </row>
    <row r="222" spans="1:7">
      <c r="A222" s="6">
        <v>45689</v>
      </c>
      <c r="B222" t="s">
        <v>194</v>
      </c>
      <c r="C222" t="s">
        <v>120</v>
      </c>
      <c r="D222" s="19">
        <v>29509</v>
      </c>
      <c r="E222" s="19">
        <f>MonthlyTargets[[#This Row],[Sales]]/20</f>
        <v>1475.45</v>
      </c>
      <c r="F222" s="19">
        <f>MonthlyTargets[[#This Row],[Profit]]/20</f>
        <v>442.3</v>
      </c>
      <c r="G222" s="7">
        <v>8846</v>
      </c>
    </row>
    <row r="223" spans="1:7">
      <c r="A223" s="6">
        <v>45689</v>
      </c>
      <c r="B223" t="s">
        <v>194</v>
      </c>
      <c r="C223" t="s">
        <v>93</v>
      </c>
      <c r="D223" s="19">
        <v>21551</v>
      </c>
      <c r="E223" s="19">
        <f>MonthlyTargets[[#This Row],[Sales]]/20</f>
        <v>1077.55</v>
      </c>
      <c r="F223" s="19">
        <f>MonthlyTargets[[#This Row],[Profit]]/20</f>
        <v>317.60000000000002</v>
      </c>
      <c r="G223" s="7">
        <v>6352</v>
      </c>
    </row>
    <row r="224" spans="1:7">
      <c r="A224" s="6">
        <v>45689</v>
      </c>
      <c r="B224" t="s">
        <v>194</v>
      </c>
      <c r="C224" t="s">
        <v>103</v>
      </c>
      <c r="D224" s="19">
        <v>11561</v>
      </c>
      <c r="E224" s="19">
        <f>MonthlyTargets[[#This Row],[Sales]]/20</f>
        <v>578.04999999999995</v>
      </c>
      <c r="F224" s="19">
        <f>MonthlyTargets[[#This Row],[Profit]]/20</f>
        <v>152.4</v>
      </c>
      <c r="G224" s="7">
        <v>3048</v>
      </c>
    </row>
    <row r="225" spans="1:7">
      <c r="A225" s="6">
        <v>45689</v>
      </c>
      <c r="B225" t="s">
        <v>194</v>
      </c>
      <c r="C225" t="s">
        <v>82</v>
      </c>
      <c r="D225" s="19">
        <v>11331</v>
      </c>
      <c r="E225" s="19">
        <f>MonthlyTargets[[#This Row],[Sales]]/20</f>
        <v>566.54999999999995</v>
      </c>
      <c r="F225" s="19">
        <f>MonthlyTargets[[#This Row],[Profit]]/20</f>
        <v>168</v>
      </c>
      <c r="G225" s="7">
        <v>3360</v>
      </c>
    </row>
    <row r="226" spans="1:7">
      <c r="A226" s="6">
        <v>45717</v>
      </c>
      <c r="B226" t="s">
        <v>75</v>
      </c>
      <c r="C226" t="s">
        <v>120</v>
      </c>
      <c r="D226" s="19">
        <v>34889</v>
      </c>
      <c r="E226" s="19">
        <f>MonthlyTargets[[#This Row],[Sales]]/20</f>
        <v>1744.45</v>
      </c>
      <c r="F226" s="19">
        <f>MonthlyTargets[[#This Row],[Profit]]/20</f>
        <v>450.15</v>
      </c>
      <c r="G226" s="7">
        <v>9003</v>
      </c>
    </row>
    <row r="227" spans="1:7">
      <c r="A227" s="6">
        <v>45717</v>
      </c>
      <c r="B227" t="s">
        <v>75</v>
      </c>
      <c r="C227" t="s">
        <v>93</v>
      </c>
      <c r="D227" s="19">
        <v>28449</v>
      </c>
      <c r="E227" s="19">
        <f>MonthlyTargets[[#This Row],[Sales]]/20</f>
        <v>1422.45</v>
      </c>
      <c r="F227" s="19">
        <f>MonthlyTargets[[#This Row],[Profit]]/20</f>
        <v>360.75</v>
      </c>
      <c r="G227" s="7">
        <v>7215</v>
      </c>
    </row>
    <row r="228" spans="1:7">
      <c r="A228" s="6">
        <v>45717</v>
      </c>
      <c r="B228" t="s">
        <v>75</v>
      </c>
      <c r="C228" t="s">
        <v>103</v>
      </c>
      <c r="D228" s="19">
        <v>18180</v>
      </c>
      <c r="E228" s="19">
        <f>MonthlyTargets[[#This Row],[Sales]]/20</f>
        <v>909</v>
      </c>
      <c r="F228" s="19">
        <f>MonthlyTargets[[#This Row],[Profit]]/20</f>
        <v>218.95</v>
      </c>
      <c r="G228" s="7">
        <v>4379</v>
      </c>
    </row>
    <row r="229" spans="1:7">
      <c r="A229" s="6">
        <v>45717</v>
      </c>
      <c r="B229" t="s">
        <v>75</v>
      </c>
      <c r="C229" t="s">
        <v>82</v>
      </c>
      <c r="D229" s="19">
        <v>16266</v>
      </c>
      <c r="E229" s="19">
        <f>MonthlyTargets[[#This Row],[Sales]]/20</f>
        <v>813.3</v>
      </c>
      <c r="F229" s="19">
        <f>MonthlyTargets[[#This Row],[Profit]]/20</f>
        <v>182.2</v>
      </c>
      <c r="G229" s="7">
        <v>3644</v>
      </c>
    </row>
    <row r="230" spans="1:7">
      <c r="A230" s="6">
        <v>45717</v>
      </c>
      <c r="B230" t="s">
        <v>126</v>
      </c>
      <c r="C230" t="s">
        <v>120</v>
      </c>
      <c r="D230" s="19">
        <v>41800</v>
      </c>
      <c r="E230" s="19">
        <f>MonthlyTargets[[#This Row],[Sales]]/20</f>
        <v>2090</v>
      </c>
      <c r="F230" s="19">
        <f>MonthlyTargets[[#This Row],[Profit]]/20</f>
        <v>460.8</v>
      </c>
      <c r="G230" s="7">
        <v>9216</v>
      </c>
    </row>
    <row r="231" spans="1:7">
      <c r="A231" s="6">
        <v>45717</v>
      </c>
      <c r="B231" t="s">
        <v>126</v>
      </c>
      <c r="C231" t="s">
        <v>93</v>
      </c>
      <c r="D231" s="19">
        <v>32045</v>
      </c>
      <c r="E231" s="19">
        <f>MonthlyTargets[[#This Row],[Sales]]/20</f>
        <v>1602.25</v>
      </c>
      <c r="F231" s="19">
        <f>MonthlyTargets[[#This Row],[Profit]]/20</f>
        <v>405.9</v>
      </c>
      <c r="G231" s="7">
        <v>8118</v>
      </c>
    </row>
    <row r="232" spans="1:7">
      <c r="A232" s="6">
        <v>45717</v>
      </c>
      <c r="B232" t="s">
        <v>126</v>
      </c>
      <c r="C232" t="s">
        <v>103</v>
      </c>
      <c r="D232" s="19">
        <v>17441</v>
      </c>
      <c r="E232" s="19">
        <f>MonthlyTargets[[#This Row],[Sales]]/20</f>
        <v>872.05</v>
      </c>
      <c r="F232" s="19">
        <f>MonthlyTargets[[#This Row],[Profit]]/20</f>
        <v>248.3</v>
      </c>
      <c r="G232" s="7">
        <v>4966</v>
      </c>
    </row>
    <row r="233" spans="1:7">
      <c r="A233" s="6">
        <v>45717</v>
      </c>
      <c r="B233" t="s">
        <v>126</v>
      </c>
      <c r="C233" t="s">
        <v>82</v>
      </c>
      <c r="D233" s="19">
        <v>17266</v>
      </c>
      <c r="E233" s="19">
        <f>MonthlyTargets[[#This Row],[Sales]]/20</f>
        <v>863.3</v>
      </c>
      <c r="F233" s="19">
        <f>MonthlyTargets[[#This Row],[Profit]]/20</f>
        <v>256.64999999999998</v>
      </c>
      <c r="G233" s="7">
        <v>5133</v>
      </c>
    </row>
    <row r="234" spans="1:7">
      <c r="A234" s="6">
        <v>45717</v>
      </c>
      <c r="B234" t="s">
        <v>138</v>
      </c>
      <c r="C234" t="s">
        <v>120</v>
      </c>
      <c r="D234" s="19">
        <v>32720</v>
      </c>
      <c r="E234" s="19">
        <f>MonthlyTargets[[#This Row],[Sales]]/20</f>
        <v>1636</v>
      </c>
      <c r="F234" s="19">
        <f>MonthlyTargets[[#This Row],[Profit]]/20</f>
        <v>389.95</v>
      </c>
      <c r="G234" s="7">
        <v>7799</v>
      </c>
    </row>
    <row r="235" spans="1:7">
      <c r="A235" s="6">
        <v>45717</v>
      </c>
      <c r="B235" t="s">
        <v>138</v>
      </c>
      <c r="C235" t="s">
        <v>93</v>
      </c>
      <c r="D235" s="19">
        <v>24695</v>
      </c>
      <c r="E235" s="19">
        <f>MonthlyTargets[[#This Row],[Sales]]/20</f>
        <v>1234.75</v>
      </c>
      <c r="F235" s="19">
        <f>MonthlyTargets[[#This Row],[Profit]]/20</f>
        <v>333.7</v>
      </c>
      <c r="G235" s="7">
        <v>6674</v>
      </c>
    </row>
    <row r="236" spans="1:7">
      <c r="A236" s="6">
        <v>45717</v>
      </c>
      <c r="B236" t="s">
        <v>138</v>
      </c>
      <c r="C236" t="s">
        <v>103</v>
      </c>
      <c r="D236" s="19">
        <v>15432</v>
      </c>
      <c r="E236" s="19">
        <f>MonthlyTargets[[#This Row],[Sales]]/20</f>
        <v>771.6</v>
      </c>
      <c r="F236" s="19">
        <f>MonthlyTargets[[#This Row],[Profit]]/20</f>
        <v>209.8</v>
      </c>
      <c r="G236" s="7">
        <v>4196</v>
      </c>
    </row>
    <row r="237" spans="1:7">
      <c r="A237" s="6">
        <v>45717</v>
      </c>
      <c r="B237" t="s">
        <v>138</v>
      </c>
      <c r="C237" t="s">
        <v>82</v>
      </c>
      <c r="D237" s="19">
        <v>12253</v>
      </c>
      <c r="E237" s="19">
        <f>MonthlyTargets[[#This Row],[Sales]]/20</f>
        <v>612.65</v>
      </c>
      <c r="F237" s="19">
        <f>MonthlyTargets[[#This Row],[Profit]]/20</f>
        <v>154.94999999999999</v>
      </c>
      <c r="G237" s="7">
        <v>3099</v>
      </c>
    </row>
    <row r="238" spans="1:7">
      <c r="A238" s="6">
        <v>45717</v>
      </c>
      <c r="B238" t="s">
        <v>194</v>
      </c>
      <c r="C238" t="s">
        <v>120</v>
      </c>
      <c r="D238" s="19">
        <v>33653</v>
      </c>
      <c r="E238" s="19">
        <f>MonthlyTargets[[#This Row],[Sales]]/20</f>
        <v>1682.65</v>
      </c>
      <c r="F238" s="19">
        <f>MonthlyTargets[[#This Row],[Profit]]/20</f>
        <v>450.9</v>
      </c>
      <c r="G238" s="7">
        <v>9018</v>
      </c>
    </row>
    <row r="239" spans="1:7">
      <c r="A239" s="6">
        <v>45717</v>
      </c>
      <c r="B239" t="s">
        <v>194</v>
      </c>
      <c r="C239" t="s">
        <v>93</v>
      </c>
      <c r="D239" s="19">
        <v>24079</v>
      </c>
      <c r="E239" s="19">
        <f>MonthlyTargets[[#This Row],[Sales]]/20</f>
        <v>1203.95</v>
      </c>
      <c r="F239" s="19">
        <f>MonthlyTargets[[#This Row],[Profit]]/20</f>
        <v>347.25</v>
      </c>
      <c r="G239" s="7">
        <v>6945</v>
      </c>
    </row>
    <row r="240" spans="1:7">
      <c r="A240" s="6">
        <v>45717</v>
      </c>
      <c r="B240" t="s">
        <v>194</v>
      </c>
      <c r="C240" t="s">
        <v>103</v>
      </c>
      <c r="D240" s="19">
        <v>14357</v>
      </c>
      <c r="E240" s="19">
        <f>MonthlyTargets[[#This Row],[Sales]]/20</f>
        <v>717.85</v>
      </c>
      <c r="F240" s="19">
        <f>MonthlyTargets[[#This Row],[Profit]]/20</f>
        <v>195.9</v>
      </c>
      <c r="G240" s="7">
        <v>3918</v>
      </c>
    </row>
    <row r="241" spans="1:7">
      <c r="A241" s="6">
        <v>45717</v>
      </c>
      <c r="B241" t="s">
        <v>194</v>
      </c>
      <c r="C241" t="s">
        <v>82</v>
      </c>
      <c r="D241" s="19">
        <v>11636</v>
      </c>
      <c r="E241" s="19">
        <f>MonthlyTargets[[#This Row],[Sales]]/20</f>
        <v>581.79999999999995</v>
      </c>
      <c r="F241" s="19">
        <f>MonthlyTargets[[#This Row],[Profit]]/20</f>
        <v>156.9</v>
      </c>
      <c r="G241" s="7">
        <v>3138</v>
      </c>
    </row>
    <row r="242" spans="1:7">
      <c r="A242" s="6">
        <v>45748</v>
      </c>
      <c r="B242" t="s">
        <v>75</v>
      </c>
      <c r="C242" t="s">
        <v>120</v>
      </c>
      <c r="D242" s="19">
        <v>38689</v>
      </c>
      <c r="E242" s="19">
        <f>MonthlyTargets[[#This Row],[Sales]]/20</f>
        <v>1934.45</v>
      </c>
      <c r="F242" s="19">
        <f>MonthlyTargets[[#This Row],[Profit]]/20</f>
        <v>476.75</v>
      </c>
      <c r="G242" s="7">
        <v>9535</v>
      </c>
    </row>
    <row r="243" spans="1:7">
      <c r="A243" s="6">
        <v>45748</v>
      </c>
      <c r="B243" t="s">
        <v>75</v>
      </c>
      <c r="C243" t="s">
        <v>93</v>
      </c>
      <c r="D243" s="19">
        <v>28960</v>
      </c>
      <c r="E243" s="19">
        <f>MonthlyTargets[[#This Row],[Sales]]/20</f>
        <v>1448</v>
      </c>
      <c r="F243" s="19">
        <f>MonthlyTargets[[#This Row],[Profit]]/20</f>
        <v>411.6</v>
      </c>
      <c r="G243" s="7">
        <v>8232</v>
      </c>
    </row>
    <row r="244" spans="1:7">
      <c r="A244" s="6">
        <v>45748</v>
      </c>
      <c r="B244" t="s">
        <v>75</v>
      </c>
      <c r="C244" t="s">
        <v>103</v>
      </c>
      <c r="D244" s="19">
        <v>17828</v>
      </c>
      <c r="E244" s="19">
        <f>MonthlyTargets[[#This Row],[Sales]]/20</f>
        <v>891.4</v>
      </c>
      <c r="F244" s="19">
        <f>MonthlyTargets[[#This Row],[Profit]]/20</f>
        <v>249.25</v>
      </c>
      <c r="G244" s="7">
        <v>4985</v>
      </c>
    </row>
    <row r="245" spans="1:7">
      <c r="A245" s="6">
        <v>45748</v>
      </c>
      <c r="B245" t="s">
        <v>75</v>
      </c>
      <c r="C245" t="s">
        <v>82</v>
      </c>
      <c r="D245" s="19">
        <v>16161</v>
      </c>
      <c r="E245" s="19">
        <f>MonthlyTargets[[#This Row],[Sales]]/20</f>
        <v>808.05</v>
      </c>
      <c r="F245" s="19">
        <f>MonthlyTargets[[#This Row],[Profit]]/20</f>
        <v>236.15</v>
      </c>
      <c r="G245" s="7">
        <v>4723</v>
      </c>
    </row>
    <row r="246" spans="1:7">
      <c r="A246" s="6">
        <v>45748</v>
      </c>
      <c r="B246" t="s">
        <v>126</v>
      </c>
      <c r="C246" t="s">
        <v>120</v>
      </c>
      <c r="D246" s="19">
        <v>39544</v>
      </c>
      <c r="E246" s="19">
        <f>MonthlyTargets[[#This Row],[Sales]]/20</f>
        <v>1977.2</v>
      </c>
      <c r="F246" s="19">
        <f>MonthlyTargets[[#This Row],[Profit]]/20</f>
        <v>526.5</v>
      </c>
      <c r="G246" s="7">
        <v>10530</v>
      </c>
    </row>
    <row r="247" spans="1:7">
      <c r="A247" s="6">
        <v>45748</v>
      </c>
      <c r="B247" t="s">
        <v>126</v>
      </c>
      <c r="C247" t="s">
        <v>93</v>
      </c>
      <c r="D247" s="19">
        <v>31829</v>
      </c>
      <c r="E247" s="19">
        <f>MonthlyTargets[[#This Row],[Sales]]/20</f>
        <v>1591.45</v>
      </c>
      <c r="F247" s="19">
        <f>MonthlyTargets[[#This Row],[Profit]]/20</f>
        <v>351.8</v>
      </c>
      <c r="G247" s="7">
        <v>7036</v>
      </c>
    </row>
    <row r="248" spans="1:7">
      <c r="A248" s="6">
        <v>45748</v>
      </c>
      <c r="B248" t="s">
        <v>126</v>
      </c>
      <c r="C248" t="s">
        <v>103</v>
      </c>
      <c r="D248" s="19">
        <v>18687</v>
      </c>
      <c r="E248" s="19">
        <f>MonthlyTargets[[#This Row],[Sales]]/20</f>
        <v>934.35</v>
      </c>
      <c r="F248" s="19">
        <f>MonthlyTargets[[#This Row],[Profit]]/20</f>
        <v>271.5</v>
      </c>
      <c r="G248" s="7">
        <v>5430</v>
      </c>
    </row>
    <row r="249" spans="1:7">
      <c r="A249" s="6">
        <v>45748</v>
      </c>
      <c r="B249" t="s">
        <v>126</v>
      </c>
      <c r="C249" t="s">
        <v>82</v>
      </c>
      <c r="D249" s="19">
        <v>17392</v>
      </c>
      <c r="E249" s="19">
        <f>MonthlyTargets[[#This Row],[Sales]]/20</f>
        <v>869.6</v>
      </c>
      <c r="F249" s="19">
        <f>MonthlyTargets[[#This Row],[Profit]]/20</f>
        <v>246.55</v>
      </c>
      <c r="G249" s="7">
        <v>4931</v>
      </c>
    </row>
    <row r="250" spans="1:7">
      <c r="A250" s="6">
        <v>45748</v>
      </c>
      <c r="B250" t="s">
        <v>138</v>
      </c>
      <c r="C250" t="s">
        <v>120</v>
      </c>
      <c r="D250" s="19">
        <v>33084</v>
      </c>
      <c r="E250" s="19">
        <f>MonthlyTargets[[#This Row],[Sales]]/20</f>
        <v>1654.2</v>
      </c>
      <c r="F250" s="19">
        <f>MonthlyTargets[[#This Row],[Profit]]/20</f>
        <v>371.25</v>
      </c>
      <c r="G250" s="7">
        <v>7425</v>
      </c>
    </row>
    <row r="251" spans="1:7">
      <c r="A251" s="6">
        <v>45748</v>
      </c>
      <c r="B251" t="s">
        <v>138</v>
      </c>
      <c r="C251" t="s">
        <v>93</v>
      </c>
      <c r="D251" s="19">
        <v>25889</v>
      </c>
      <c r="E251" s="19">
        <f>MonthlyTargets[[#This Row],[Sales]]/20</f>
        <v>1294.45</v>
      </c>
      <c r="F251" s="19">
        <f>MonthlyTargets[[#This Row],[Profit]]/20</f>
        <v>327.3</v>
      </c>
      <c r="G251" s="7">
        <v>6546</v>
      </c>
    </row>
    <row r="252" spans="1:7">
      <c r="A252" s="6">
        <v>45748</v>
      </c>
      <c r="B252" t="s">
        <v>138</v>
      </c>
      <c r="C252" t="s">
        <v>103</v>
      </c>
      <c r="D252" s="19">
        <v>16566</v>
      </c>
      <c r="E252" s="19">
        <f>MonthlyTargets[[#This Row],[Sales]]/20</f>
        <v>828.3</v>
      </c>
      <c r="F252" s="19">
        <f>MonthlyTargets[[#This Row],[Profit]]/20</f>
        <v>216.2</v>
      </c>
      <c r="G252" s="7">
        <v>4324</v>
      </c>
    </row>
    <row r="253" spans="1:7">
      <c r="A253" s="6">
        <v>45748</v>
      </c>
      <c r="B253" t="s">
        <v>138</v>
      </c>
      <c r="C253" t="s">
        <v>82</v>
      </c>
      <c r="D253" s="19">
        <v>14127</v>
      </c>
      <c r="E253" s="19">
        <f>MonthlyTargets[[#This Row],[Sales]]/20</f>
        <v>706.35</v>
      </c>
      <c r="F253" s="19">
        <f>MonthlyTargets[[#This Row],[Profit]]/20</f>
        <v>202.15</v>
      </c>
      <c r="G253" s="7">
        <v>4043</v>
      </c>
    </row>
    <row r="254" spans="1:7">
      <c r="A254" s="6">
        <v>45748</v>
      </c>
      <c r="B254" t="s">
        <v>194</v>
      </c>
      <c r="C254" t="s">
        <v>120</v>
      </c>
      <c r="D254" s="19">
        <v>34773</v>
      </c>
      <c r="E254" s="19">
        <f>MonthlyTargets[[#This Row],[Sales]]/20</f>
        <v>1738.65</v>
      </c>
      <c r="F254" s="19">
        <f>MonthlyTargets[[#This Row],[Profit]]/20</f>
        <v>398.7</v>
      </c>
      <c r="G254" s="7">
        <v>7974</v>
      </c>
    </row>
    <row r="255" spans="1:7">
      <c r="A255" s="6">
        <v>45748</v>
      </c>
      <c r="B255" t="s">
        <v>194</v>
      </c>
      <c r="C255" t="s">
        <v>93</v>
      </c>
      <c r="D255" s="19">
        <v>21754</v>
      </c>
      <c r="E255" s="19">
        <f>MonthlyTargets[[#This Row],[Sales]]/20</f>
        <v>1087.7</v>
      </c>
      <c r="F255" s="19">
        <f>MonthlyTargets[[#This Row],[Profit]]/20</f>
        <v>324.14999999999998</v>
      </c>
      <c r="G255" s="7">
        <v>6483</v>
      </c>
    </row>
    <row r="256" spans="1:7">
      <c r="A256" s="6">
        <v>45748</v>
      </c>
      <c r="B256" t="s">
        <v>194</v>
      </c>
      <c r="C256" t="s">
        <v>103</v>
      </c>
      <c r="D256" s="19">
        <v>14128</v>
      </c>
      <c r="E256" s="19">
        <f>MonthlyTargets[[#This Row],[Sales]]/20</f>
        <v>706.4</v>
      </c>
      <c r="F256" s="19">
        <f>MonthlyTargets[[#This Row],[Profit]]/20</f>
        <v>171.45</v>
      </c>
      <c r="G256" s="7">
        <v>3429</v>
      </c>
    </row>
    <row r="257" spans="1:7">
      <c r="A257" s="6">
        <v>45748</v>
      </c>
      <c r="B257" t="s">
        <v>194</v>
      </c>
      <c r="C257" t="s">
        <v>82</v>
      </c>
      <c r="D257" s="19">
        <v>11640</v>
      </c>
      <c r="E257" s="19">
        <f>MonthlyTargets[[#This Row],[Sales]]/20</f>
        <v>582</v>
      </c>
      <c r="F257" s="19">
        <f>MonthlyTargets[[#This Row],[Profit]]/20</f>
        <v>155.15</v>
      </c>
      <c r="G257" s="7">
        <v>3103</v>
      </c>
    </row>
    <row r="258" spans="1:7">
      <c r="A258" s="6">
        <v>45778</v>
      </c>
      <c r="B258" t="s">
        <v>75</v>
      </c>
      <c r="C258" t="s">
        <v>120</v>
      </c>
      <c r="D258" s="19">
        <v>41275</v>
      </c>
      <c r="E258" s="19">
        <f>MonthlyTargets[[#This Row],[Sales]]/20</f>
        <v>2063.75</v>
      </c>
      <c r="F258" s="19">
        <f>MonthlyTargets[[#This Row],[Profit]]/20</f>
        <v>559.75</v>
      </c>
      <c r="G258" s="7">
        <v>11195</v>
      </c>
    </row>
    <row r="259" spans="1:7">
      <c r="A259" s="6">
        <v>45778</v>
      </c>
      <c r="B259" t="s">
        <v>75</v>
      </c>
      <c r="C259" t="s">
        <v>93</v>
      </c>
      <c r="D259" s="19">
        <v>29200</v>
      </c>
      <c r="E259" s="19">
        <f>MonthlyTargets[[#This Row],[Sales]]/20</f>
        <v>1460</v>
      </c>
      <c r="F259" s="19">
        <f>MonthlyTargets[[#This Row],[Profit]]/20</f>
        <v>421</v>
      </c>
      <c r="G259" s="7">
        <v>8420</v>
      </c>
    </row>
    <row r="260" spans="1:7">
      <c r="A260" s="6">
        <v>45778</v>
      </c>
      <c r="B260" t="s">
        <v>75</v>
      </c>
      <c r="C260" t="s">
        <v>103</v>
      </c>
      <c r="D260" s="19">
        <v>15800</v>
      </c>
      <c r="E260" s="19">
        <f>MonthlyTargets[[#This Row],[Sales]]/20</f>
        <v>790</v>
      </c>
      <c r="F260" s="19">
        <f>MonthlyTargets[[#This Row],[Profit]]/20</f>
        <v>217.9</v>
      </c>
      <c r="G260" s="7">
        <v>4358</v>
      </c>
    </row>
    <row r="261" spans="1:7">
      <c r="A261" s="6">
        <v>45778</v>
      </c>
      <c r="B261" t="s">
        <v>75</v>
      </c>
      <c r="C261" t="s">
        <v>82</v>
      </c>
      <c r="D261" s="19">
        <v>15019</v>
      </c>
      <c r="E261" s="19">
        <f>MonthlyTargets[[#This Row],[Sales]]/20</f>
        <v>750.95</v>
      </c>
      <c r="F261" s="19">
        <f>MonthlyTargets[[#This Row],[Profit]]/20</f>
        <v>189.3</v>
      </c>
      <c r="G261" s="7">
        <v>3786</v>
      </c>
    </row>
    <row r="262" spans="1:7">
      <c r="A262" s="6">
        <v>45778</v>
      </c>
      <c r="B262" t="s">
        <v>126</v>
      </c>
      <c r="C262" t="s">
        <v>120</v>
      </c>
      <c r="D262" s="19">
        <v>41543</v>
      </c>
      <c r="E262" s="19">
        <f>MonthlyTargets[[#This Row],[Sales]]/20</f>
        <v>2077.15</v>
      </c>
      <c r="F262" s="19">
        <f>MonthlyTargets[[#This Row],[Profit]]/20</f>
        <v>591.54999999999995</v>
      </c>
      <c r="G262" s="7">
        <v>11831</v>
      </c>
    </row>
    <row r="263" spans="1:7">
      <c r="A263" s="6">
        <v>45778</v>
      </c>
      <c r="B263" t="s">
        <v>126</v>
      </c>
      <c r="C263" t="s">
        <v>93</v>
      </c>
      <c r="D263" s="19">
        <v>26905</v>
      </c>
      <c r="E263" s="19">
        <f>MonthlyTargets[[#This Row],[Sales]]/20</f>
        <v>1345.25</v>
      </c>
      <c r="F263" s="19">
        <f>MonthlyTargets[[#This Row],[Profit]]/20</f>
        <v>375.15</v>
      </c>
      <c r="G263" s="7">
        <v>7503</v>
      </c>
    </row>
    <row r="264" spans="1:7">
      <c r="A264" s="6">
        <v>45778</v>
      </c>
      <c r="B264" t="s">
        <v>126</v>
      </c>
      <c r="C264" t="s">
        <v>103</v>
      </c>
      <c r="D264" s="19">
        <v>19294</v>
      </c>
      <c r="E264" s="19">
        <f>MonthlyTargets[[#This Row],[Sales]]/20</f>
        <v>964.7</v>
      </c>
      <c r="F264" s="19">
        <f>MonthlyTargets[[#This Row],[Profit]]/20</f>
        <v>224.3</v>
      </c>
      <c r="G264" s="7">
        <v>4486</v>
      </c>
    </row>
    <row r="265" spans="1:7">
      <c r="A265" s="6">
        <v>45778</v>
      </c>
      <c r="B265" t="s">
        <v>126</v>
      </c>
      <c r="C265" t="s">
        <v>82</v>
      </c>
      <c r="D265" s="19">
        <v>17179</v>
      </c>
      <c r="E265" s="19">
        <f>MonthlyTargets[[#This Row],[Sales]]/20</f>
        <v>858.95</v>
      </c>
      <c r="F265" s="19">
        <f>MonthlyTargets[[#This Row],[Profit]]/20</f>
        <v>251.05</v>
      </c>
      <c r="G265" s="7">
        <v>5021</v>
      </c>
    </row>
    <row r="266" spans="1:7">
      <c r="A266" s="6">
        <v>45778</v>
      </c>
      <c r="B266" t="s">
        <v>138</v>
      </c>
      <c r="C266" t="s">
        <v>120</v>
      </c>
      <c r="D266" s="19">
        <v>36515</v>
      </c>
      <c r="E266" s="19">
        <f>MonthlyTargets[[#This Row],[Sales]]/20</f>
        <v>1825.75</v>
      </c>
      <c r="F266" s="19">
        <f>MonthlyTargets[[#This Row],[Profit]]/20</f>
        <v>413.05</v>
      </c>
      <c r="G266" s="7">
        <v>8261</v>
      </c>
    </row>
    <row r="267" spans="1:7">
      <c r="A267" s="6">
        <v>45778</v>
      </c>
      <c r="B267" t="s">
        <v>138</v>
      </c>
      <c r="C267" t="s">
        <v>93</v>
      </c>
      <c r="D267" s="19">
        <v>25690</v>
      </c>
      <c r="E267" s="19">
        <f>MonthlyTargets[[#This Row],[Sales]]/20</f>
        <v>1284.5</v>
      </c>
      <c r="F267" s="19">
        <f>MonthlyTargets[[#This Row],[Profit]]/20</f>
        <v>358.05</v>
      </c>
      <c r="G267" s="7">
        <v>7161</v>
      </c>
    </row>
    <row r="268" spans="1:7">
      <c r="A268" s="6">
        <v>45778</v>
      </c>
      <c r="B268" t="s">
        <v>138</v>
      </c>
      <c r="C268" t="s">
        <v>103</v>
      </c>
      <c r="D268" s="19">
        <v>16391</v>
      </c>
      <c r="E268" s="19">
        <f>MonthlyTargets[[#This Row],[Sales]]/20</f>
        <v>819.55</v>
      </c>
      <c r="F268" s="19">
        <f>MonthlyTargets[[#This Row],[Profit]]/20</f>
        <v>184.4</v>
      </c>
      <c r="G268" s="7">
        <v>3688</v>
      </c>
    </row>
    <row r="269" spans="1:7">
      <c r="A269" s="6">
        <v>45778</v>
      </c>
      <c r="B269" t="s">
        <v>138</v>
      </c>
      <c r="C269" t="s">
        <v>82</v>
      </c>
      <c r="D269" s="19">
        <v>13742</v>
      </c>
      <c r="E269" s="19">
        <f>MonthlyTargets[[#This Row],[Sales]]/20</f>
        <v>687.1</v>
      </c>
      <c r="F269" s="19">
        <f>MonthlyTargets[[#This Row],[Profit]]/20</f>
        <v>193.5</v>
      </c>
      <c r="G269" s="7">
        <v>3870</v>
      </c>
    </row>
    <row r="270" spans="1:7">
      <c r="A270" s="6">
        <v>45778</v>
      </c>
      <c r="B270" t="s">
        <v>194</v>
      </c>
      <c r="C270" t="s">
        <v>120</v>
      </c>
      <c r="D270" s="19">
        <v>30532</v>
      </c>
      <c r="E270" s="19">
        <f>MonthlyTargets[[#This Row],[Sales]]/20</f>
        <v>1526.6</v>
      </c>
      <c r="F270" s="19">
        <f>MonthlyTargets[[#This Row],[Profit]]/20</f>
        <v>424.9</v>
      </c>
      <c r="G270" s="7">
        <v>8498</v>
      </c>
    </row>
    <row r="271" spans="1:7">
      <c r="A271" s="6">
        <v>45778</v>
      </c>
      <c r="B271" t="s">
        <v>194</v>
      </c>
      <c r="C271" t="s">
        <v>93</v>
      </c>
      <c r="D271" s="19">
        <v>21708</v>
      </c>
      <c r="E271" s="19">
        <f>MonthlyTargets[[#This Row],[Sales]]/20</f>
        <v>1085.4000000000001</v>
      </c>
      <c r="F271" s="19">
        <f>MonthlyTargets[[#This Row],[Profit]]/20</f>
        <v>316.7</v>
      </c>
      <c r="G271" s="7">
        <v>6334</v>
      </c>
    </row>
    <row r="272" spans="1:7">
      <c r="A272" s="6">
        <v>45778</v>
      </c>
      <c r="B272" t="s">
        <v>194</v>
      </c>
      <c r="C272" t="s">
        <v>103</v>
      </c>
      <c r="D272" s="19">
        <v>15571</v>
      </c>
      <c r="E272" s="19">
        <f>MonthlyTargets[[#This Row],[Sales]]/20</f>
        <v>778.55</v>
      </c>
      <c r="F272" s="19">
        <f>MonthlyTargets[[#This Row],[Profit]]/20</f>
        <v>220.95</v>
      </c>
      <c r="G272" s="7">
        <v>4419</v>
      </c>
    </row>
    <row r="273" spans="1:7">
      <c r="A273" s="6">
        <v>45778</v>
      </c>
      <c r="B273" t="s">
        <v>194</v>
      </c>
      <c r="C273" t="s">
        <v>82</v>
      </c>
      <c r="D273" s="19">
        <v>11564</v>
      </c>
      <c r="E273" s="19">
        <f>MonthlyTargets[[#This Row],[Sales]]/20</f>
        <v>578.20000000000005</v>
      </c>
      <c r="F273" s="19">
        <f>MonthlyTargets[[#This Row],[Profit]]/20</f>
        <v>153.80000000000001</v>
      </c>
      <c r="G273" s="7">
        <v>3076</v>
      </c>
    </row>
    <row r="274" spans="1:7">
      <c r="A274" s="6">
        <v>45809</v>
      </c>
      <c r="B274" t="s">
        <v>75</v>
      </c>
      <c r="C274" t="s">
        <v>120</v>
      </c>
      <c r="D274" s="19">
        <v>39009</v>
      </c>
      <c r="E274" s="19">
        <f>MonthlyTargets[[#This Row],[Sales]]/20</f>
        <v>1950.45</v>
      </c>
      <c r="F274" s="19">
        <f>MonthlyTargets[[#This Row],[Profit]]/20</f>
        <v>480.4</v>
      </c>
      <c r="G274" s="7">
        <v>9608</v>
      </c>
    </row>
    <row r="275" spans="1:7">
      <c r="A275" s="6">
        <v>45809</v>
      </c>
      <c r="B275" t="s">
        <v>75</v>
      </c>
      <c r="C275" t="s">
        <v>93</v>
      </c>
      <c r="D275" s="19">
        <v>29860</v>
      </c>
      <c r="E275" s="19">
        <f>MonthlyTargets[[#This Row],[Sales]]/20</f>
        <v>1493</v>
      </c>
      <c r="F275" s="19">
        <f>MonthlyTargets[[#This Row],[Profit]]/20</f>
        <v>338.95</v>
      </c>
      <c r="G275" s="7">
        <v>6779</v>
      </c>
    </row>
    <row r="276" spans="1:7">
      <c r="A276" s="6">
        <v>45809</v>
      </c>
      <c r="B276" t="s">
        <v>75</v>
      </c>
      <c r="C276" t="s">
        <v>103</v>
      </c>
      <c r="D276" s="19">
        <v>17363</v>
      </c>
      <c r="E276" s="19">
        <f>MonthlyTargets[[#This Row],[Sales]]/20</f>
        <v>868.15</v>
      </c>
      <c r="F276" s="19">
        <f>MonthlyTargets[[#This Row],[Profit]]/20</f>
        <v>197.5</v>
      </c>
      <c r="G276" s="7">
        <v>3950</v>
      </c>
    </row>
    <row r="277" spans="1:7">
      <c r="A277" s="6">
        <v>45809</v>
      </c>
      <c r="B277" t="s">
        <v>75</v>
      </c>
      <c r="C277" t="s">
        <v>82</v>
      </c>
      <c r="D277" s="19">
        <v>16076</v>
      </c>
      <c r="E277" s="19">
        <f>MonthlyTargets[[#This Row],[Sales]]/20</f>
        <v>803.8</v>
      </c>
      <c r="F277" s="19">
        <f>MonthlyTargets[[#This Row],[Profit]]/20</f>
        <v>240.2</v>
      </c>
      <c r="G277" s="7">
        <v>4804</v>
      </c>
    </row>
    <row r="278" spans="1:7">
      <c r="A278" s="6">
        <v>45809</v>
      </c>
      <c r="B278" t="s">
        <v>126</v>
      </c>
      <c r="C278" t="s">
        <v>120</v>
      </c>
      <c r="D278" s="19">
        <v>39310</v>
      </c>
      <c r="E278" s="19">
        <f>MonthlyTargets[[#This Row],[Sales]]/20</f>
        <v>1965.5</v>
      </c>
      <c r="F278" s="19">
        <f>MonthlyTargets[[#This Row],[Profit]]/20</f>
        <v>579.20000000000005</v>
      </c>
      <c r="G278" s="7">
        <v>11584</v>
      </c>
    </row>
    <row r="279" spans="1:7">
      <c r="A279" s="6">
        <v>45809</v>
      </c>
      <c r="B279" t="s">
        <v>126</v>
      </c>
      <c r="C279" t="s">
        <v>93</v>
      </c>
      <c r="D279" s="19">
        <v>30534</v>
      </c>
      <c r="E279" s="19">
        <f>MonthlyTargets[[#This Row],[Sales]]/20</f>
        <v>1526.7</v>
      </c>
      <c r="F279" s="19">
        <f>MonthlyTargets[[#This Row],[Profit]]/20</f>
        <v>362.75</v>
      </c>
      <c r="G279" s="7">
        <v>7255</v>
      </c>
    </row>
    <row r="280" spans="1:7">
      <c r="A280" s="6">
        <v>45809</v>
      </c>
      <c r="B280" t="s">
        <v>126</v>
      </c>
      <c r="C280" t="s">
        <v>103</v>
      </c>
      <c r="D280" s="19">
        <v>19738</v>
      </c>
      <c r="E280" s="19">
        <f>MonthlyTargets[[#This Row],[Sales]]/20</f>
        <v>986.9</v>
      </c>
      <c r="F280" s="19">
        <f>MonthlyTargets[[#This Row],[Profit]]/20</f>
        <v>246.4</v>
      </c>
      <c r="G280" s="7">
        <v>4928</v>
      </c>
    </row>
    <row r="281" spans="1:7">
      <c r="A281" s="6">
        <v>45809</v>
      </c>
      <c r="B281" t="s">
        <v>126</v>
      </c>
      <c r="C281" t="s">
        <v>82</v>
      </c>
      <c r="D281" s="19">
        <v>15717</v>
      </c>
      <c r="E281" s="19">
        <f>MonthlyTargets[[#This Row],[Sales]]/20</f>
        <v>785.85</v>
      </c>
      <c r="F281" s="19">
        <f>MonthlyTargets[[#This Row],[Profit]]/20</f>
        <v>185.55</v>
      </c>
      <c r="G281" s="7">
        <v>3711</v>
      </c>
    </row>
    <row r="282" spans="1:7">
      <c r="A282" s="6">
        <v>45809</v>
      </c>
      <c r="B282" t="s">
        <v>138</v>
      </c>
      <c r="C282" t="s">
        <v>120</v>
      </c>
      <c r="D282" s="19">
        <v>31493</v>
      </c>
      <c r="E282" s="19">
        <f>MonthlyTargets[[#This Row],[Sales]]/20</f>
        <v>1574.65</v>
      </c>
      <c r="F282" s="19">
        <f>MonthlyTargets[[#This Row],[Profit]]/20</f>
        <v>351</v>
      </c>
      <c r="G282" s="7">
        <v>7020</v>
      </c>
    </row>
    <row r="283" spans="1:7">
      <c r="A283" s="6">
        <v>45809</v>
      </c>
      <c r="B283" t="s">
        <v>138</v>
      </c>
      <c r="C283" t="s">
        <v>93</v>
      </c>
      <c r="D283" s="19">
        <v>24518</v>
      </c>
      <c r="E283" s="19">
        <f>MonthlyTargets[[#This Row],[Sales]]/20</f>
        <v>1225.9000000000001</v>
      </c>
      <c r="F283" s="19">
        <f>MonthlyTargets[[#This Row],[Profit]]/20</f>
        <v>342</v>
      </c>
      <c r="G283" s="7">
        <v>6840</v>
      </c>
    </row>
    <row r="284" spans="1:7">
      <c r="A284" s="6">
        <v>45809</v>
      </c>
      <c r="B284" t="s">
        <v>138</v>
      </c>
      <c r="C284" t="s">
        <v>103</v>
      </c>
      <c r="D284" s="19">
        <v>16017</v>
      </c>
      <c r="E284" s="19">
        <f>MonthlyTargets[[#This Row],[Sales]]/20</f>
        <v>800.85</v>
      </c>
      <c r="F284" s="19">
        <f>MonthlyTargets[[#This Row],[Profit]]/20</f>
        <v>236.2</v>
      </c>
      <c r="G284" s="7">
        <v>4724</v>
      </c>
    </row>
    <row r="285" spans="1:7">
      <c r="A285" s="6">
        <v>45809</v>
      </c>
      <c r="B285" t="s">
        <v>138</v>
      </c>
      <c r="C285" t="s">
        <v>82</v>
      </c>
      <c r="D285" s="19">
        <v>12400</v>
      </c>
      <c r="E285" s="19">
        <f>MonthlyTargets[[#This Row],[Sales]]/20</f>
        <v>620</v>
      </c>
      <c r="F285" s="19">
        <f>MonthlyTargets[[#This Row],[Profit]]/20</f>
        <v>160.65</v>
      </c>
      <c r="G285" s="7">
        <v>3213</v>
      </c>
    </row>
    <row r="286" spans="1:7">
      <c r="A286" s="6">
        <v>45809</v>
      </c>
      <c r="B286" t="s">
        <v>194</v>
      </c>
      <c r="C286" t="s">
        <v>120</v>
      </c>
      <c r="D286" s="19">
        <v>32233</v>
      </c>
      <c r="E286" s="19">
        <f>MonthlyTargets[[#This Row],[Sales]]/20</f>
        <v>1611.65</v>
      </c>
      <c r="F286" s="19">
        <f>MonthlyTargets[[#This Row],[Profit]]/20</f>
        <v>381.45</v>
      </c>
      <c r="G286" s="7">
        <v>7629</v>
      </c>
    </row>
    <row r="287" spans="1:7">
      <c r="A287" s="6">
        <v>45809</v>
      </c>
      <c r="B287" t="s">
        <v>194</v>
      </c>
      <c r="C287" t="s">
        <v>93</v>
      </c>
      <c r="D287" s="19">
        <v>21119</v>
      </c>
      <c r="E287" s="19">
        <f>MonthlyTargets[[#This Row],[Sales]]/20</f>
        <v>1055.95</v>
      </c>
      <c r="F287" s="19">
        <f>MonthlyTargets[[#This Row],[Profit]]/20</f>
        <v>244.35</v>
      </c>
      <c r="G287" s="7">
        <v>4887</v>
      </c>
    </row>
    <row r="288" spans="1:7">
      <c r="A288" s="6">
        <v>45809</v>
      </c>
      <c r="B288" t="s">
        <v>194</v>
      </c>
      <c r="C288" t="s">
        <v>103</v>
      </c>
      <c r="D288" s="19">
        <v>13329</v>
      </c>
      <c r="E288" s="19">
        <f>MonthlyTargets[[#This Row],[Sales]]/20</f>
        <v>666.45</v>
      </c>
      <c r="F288" s="19">
        <f>MonthlyTargets[[#This Row],[Profit]]/20</f>
        <v>156.35</v>
      </c>
      <c r="G288" s="7">
        <v>3127</v>
      </c>
    </row>
    <row r="289" spans="1:7">
      <c r="A289" s="6">
        <v>45809</v>
      </c>
      <c r="B289" t="s">
        <v>194</v>
      </c>
      <c r="C289" t="s">
        <v>82</v>
      </c>
      <c r="D289" s="19">
        <v>13840</v>
      </c>
      <c r="E289" s="19">
        <f>MonthlyTargets[[#This Row],[Sales]]/20</f>
        <v>692</v>
      </c>
      <c r="F289" s="19">
        <f>MonthlyTargets[[#This Row],[Profit]]/20</f>
        <v>186.6</v>
      </c>
      <c r="G289" s="7">
        <v>3732</v>
      </c>
    </row>
    <row r="290" spans="1:7">
      <c r="A290" s="6">
        <v>45839</v>
      </c>
      <c r="B290" t="s">
        <v>75</v>
      </c>
      <c r="C290" t="s">
        <v>120</v>
      </c>
      <c r="D290" s="19">
        <v>41726</v>
      </c>
      <c r="E290" s="19">
        <f>MonthlyTargets[[#This Row],[Sales]]/20</f>
        <v>2086.3000000000002</v>
      </c>
      <c r="F290" s="19">
        <f>MonthlyTargets[[#This Row],[Profit]]/20</f>
        <v>513.20000000000005</v>
      </c>
      <c r="G290" s="7">
        <v>10264</v>
      </c>
    </row>
    <row r="291" spans="1:7">
      <c r="A291" s="6">
        <v>45839</v>
      </c>
      <c r="B291" t="s">
        <v>75</v>
      </c>
      <c r="C291" t="s">
        <v>93</v>
      </c>
      <c r="D291" s="19">
        <v>25377</v>
      </c>
      <c r="E291" s="19">
        <f>MonthlyTargets[[#This Row],[Sales]]/20</f>
        <v>1268.8499999999999</v>
      </c>
      <c r="F291" s="19">
        <f>MonthlyTargets[[#This Row],[Profit]]/20</f>
        <v>376.7</v>
      </c>
      <c r="G291" s="7">
        <v>7534</v>
      </c>
    </row>
    <row r="292" spans="1:7">
      <c r="A292" s="6">
        <v>45839</v>
      </c>
      <c r="B292" t="s">
        <v>75</v>
      </c>
      <c r="C292" t="s">
        <v>103</v>
      </c>
      <c r="D292" s="19">
        <v>16813</v>
      </c>
      <c r="E292" s="19">
        <f>MonthlyTargets[[#This Row],[Sales]]/20</f>
        <v>840.65</v>
      </c>
      <c r="F292" s="19">
        <f>MonthlyTargets[[#This Row],[Profit]]/20</f>
        <v>190.5</v>
      </c>
      <c r="G292" s="7">
        <v>3810</v>
      </c>
    </row>
    <row r="293" spans="1:7">
      <c r="A293" s="6">
        <v>45839</v>
      </c>
      <c r="B293" t="s">
        <v>75</v>
      </c>
      <c r="C293" t="s">
        <v>82</v>
      </c>
      <c r="D293" s="19">
        <v>13769</v>
      </c>
      <c r="E293" s="19">
        <f>MonthlyTargets[[#This Row],[Sales]]/20</f>
        <v>688.45</v>
      </c>
      <c r="F293" s="19">
        <f>MonthlyTargets[[#This Row],[Profit]]/20</f>
        <v>191.8</v>
      </c>
      <c r="G293" s="7">
        <v>3836</v>
      </c>
    </row>
    <row r="294" spans="1:7">
      <c r="A294" s="6">
        <v>45839</v>
      </c>
      <c r="B294" t="s">
        <v>126</v>
      </c>
      <c r="C294" t="s">
        <v>120</v>
      </c>
      <c r="D294" s="19">
        <v>42191</v>
      </c>
      <c r="E294" s="19">
        <f>MonthlyTargets[[#This Row],[Sales]]/20</f>
        <v>2109.5500000000002</v>
      </c>
      <c r="F294" s="19">
        <f>MonthlyTargets[[#This Row],[Profit]]/20</f>
        <v>616.5</v>
      </c>
      <c r="G294" s="7">
        <v>12330</v>
      </c>
    </row>
    <row r="295" spans="1:7">
      <c r="A295" s="6">
        <v>45839</v>
      </c>
      <c r="B295" t="s">
        <v>126</v>
      </c>
      <c r="C295" t="s">
        <v>93</v>
      </c>
      <c r="D295" s="19">
        <v>32502</v>
      </c>
      <c r="E295" s="19">
        <f>MonthlyTargets[[#This Row],[Sales]]/20</f>
        <v>1625.1</v>
      </c>
      <c r="F295" s="19">
        <f>MonthlyTargets[[#This Row],[Profit]]/20</f>
        <v>410.65</v>
      </c>
      <c r="G295" s="7">
        <v>8213</v>
      </c>
    </row>
    <row r="296" spans="1:7">
      <c r="A296" s="6">
        <v>45839</v>
      </c>
      <c r="B296" t="s">
        <v>126</v>
      </c>
      <c r="C296" t="s">
        <v>103</v>
      </c>
      <c r="D296" s="19">
        <v>17210</v>
      </c>
      <c r="E296" s="19">
        <f>MonthlyTargets[[#This Row],[Sales]]/20</f>
        <v>860.5</v>
      </c>
      <c r="F296" s="19">
        <f>MonthlyTargets[[#This Row],[Profit]]/20</f>
        <v>219.05</v>
      </c>
      <c r="G296" s="7">
        <v>4381</v>
      </c>
    </row>
    <row r="297" spans="1:7">
      <c r="A297" s="6">
        <v>45839</v>
      </c>
      <c r="B297" t="s">
        <v>126</v>
      </c>
      <c r="C297" t="s">
        <v>82</v>
      </c>
      <c r="D297" s="19">
        <v>16603</v>
      </c>
      <c r="E297" s="19">
        <f>MonthlyTargets[[#This Row],[Sales]]/20</f>
        <v>830.15</v>
      </c>
      <c r="F297" s="19">
        <f>MonthlyTargets[[#This Row],[Profit]]/20</f>
        <v>244.75</v>
      </c>
      <c r="G297" s="7">
        <v>4895</v>
      </c>
    </row>
    <row r="298" spans="1:7">
      <c r="A298" s="6">
        <v>45839</v>
      </c>
      <c r="B298" t="s">
        <v>138</v>
      </c>
      <c r="C298" t="s">
        <v>120</v>
      </c>
      <c r="D298" s="19">
        <v>36318</v>
      </c>
      <c r="E298" s="19">
        <f>MonthlyTargets[[#This Row],[Sales]]/20</f>
        <v>1815.9</v>
      </c>
      <c r="F298" s="19">
        <f>MonthlyTargets[[#This Row],[Profit]]/20</f>
        <v>514.75</v>
      </c>
      <c r="G298" s="7">
        <v>10295</v>
      </c>
    </row>
    <row r="299" spans="1:7">
      <c r="A299" s="6">
        <v>45839</v>
      </c>
      <c r="B299" t="s">
        <v>138</v>
      </c>
      <c r="C299" t="s">
        <v>93</v>
      </c>
      <c r="D299" s="19">
        <v>23980</v>
      </c>
      <c r="E299" s="19">
        <f>MonthlyTargets[[#This Row],[Sales]]/20</f>
        <v>1199</v>
      </c>
      <c r="F299" s="19">
        <f>MonthlyTargets[[#This Row],[Profit]]/20</f>
        <v>340</v>
      </c>
      <c r="G299" s="7">
        <v>6800</v>
      </c>
    </row>
    <row r="300" spans="1:7">
      <c r="A300" s="6">
        <v>45839</v>
      </c>
      <c r="B300" t="s">
        <v>138</v>
      </c>
      <c r="C300" t="s">
        <v>103</v>
      </c>
      <c r="D300" s="19">
        <v>16106</v>
      </c>
      <c r="E300" s="19">
        <f>MonthlyTargets[[#This Row],[Sales]]/20</f>
        <v>805.3</v>
      </c>
      <c r="F300" s="19">
        <f>MonthlyTargets[[#This Row],[Profit]]/20</f>
        <v>220.5</v>
      </c>
      <c r="G300" s="7">
        <v>4410</v>
      </c>
    </row>
    <row r="301" spans="1:7">
      <c r="A301" s="6">
        <v>45839</v>
      </c>
      <c r="B301" t="s">
        <v>138</v>
      </c>
      <c r="C301" t="s">
        <v>82</v>
      </c>
      <c r="D301" s="19">
        <v>13220</v>
      </c>
      <c r="E301" s="19">
        <f>MonthlyTargets[[#This Row],[Sales]]/20</f>
        <v>661</v>
      </c>
      <c r="F301" s="19">
        <f>MonthlyTargets[[#This Row],[Profit]]/20</f>
        <v>180.45</v>
      </c>
      <c r="G301" s="7">
        <v>3609</v>
      </c>
    </row>
    <row r="302" spans="1:7">
      <c r="A302" s="6">
        <v>45839</v>
      </c>
      <c r="B302" t="s">
        <v>194</v>
      </c>
      <c r="C302" t="s">
        <v>120</v>
      </c>
      <c r="D302" s="19">
        <v>31910</v>
      </c>
      <c r="E302" s="19">
        <f>MonthlyTargets[[#This Row],[Sales]]/20</f>
        <v>1595.5</v>
      </c>
      <c r="F302" s="19">
        <f>MonthlyTargets[[#This Row],[Profit]]/20</f>
        <v>466.35</v>
      </c>
      <c r="G302" s="7">
        <v>9327</v>
      </c>
    </row>
    <row r="303" spans="1:7">
      <c r="A303" s="6">
        <v>45839</v>
      </c>
      <c r="B303" t="s">
        <v>194</v>
      </c>
      <c r="C303" t="s">
        <v>93</v>
      </c>
      <c r="D303" s="19">
        <v>21912</v>
      </c>
      <c r="E303" s="19">
        <f>MonthlyTargets[[#This Row],[Sales]]/20</f>
        <v>1095.5999999999999</v>
      </c>
      <c r="F303" s="19">
        <f>MonthlyTargets[[#This Row],[Profit]]/20</f>
        <v>259.95</v>
      </c>
      <c r="G303" s="7">
        <v>5199</v>
      </c>
    </row>
    <row r="304" spans="1:7">
      <c r="A304" s="6">
        <v>45839</v>
      </c>
      <c r="B304" t="s">
        <v>194</v>
      </c>
      <c r="C304" t="s">
        <v>103</v>
      </c>
      <c r="D304" s="19">
        <v>13462</v>
      </c>
      <c r="E304" s="19">
        <f>MonthlyTargets[[#This Row],[Sales]]/20</f>
        <v>673.1</v>
      </c>
      <c r="F304" s="19">
        <f>MonthlyTargets[[#This Row],[Profit]]/20</f>
        <v>174.9</v>
      </c>
      <c r="G304" s="7">
        <v>3498</v>
      </c>
    </row>
    <row r="305" spans="1:7">
      <c r="A305" s="6">
        <v>45839</v>
      </c>
      <c r="B305" t="s">
        <v>194</v>
      </c>
      <c r="C305" t="s">
        <v>82</v>
      </c>
      <c r="D305" s="19">
        <v>12720</v>
      </c>
      <c r="E305" s="19">
        <f>MonthlyTargets[[#This Row],[Sales]]/20</f>
        <v>636</v>
      </c>
      <c r="F305" s="19">
        <f>MonthlyTargets[[#This Row],[Profit]]/20</f>
        <v>177.3</v>
      </c>
      <c r="G305" s="7">
        <v>3546</v>
      </c>
    </row>
    <row r="306" spans="1:7">
      <c r="A306" s="6">
        <v>45870</v>
      </c>
      <c r="B306" t="s">
        <v>75</v>
      </c>
      <c r="C306" t="s">
        <v>120</v>
      </c>
      <c r="D306" s="19">
        <v>39407</v>
      </c>
      <c r="E306" s="19">
        <f>MonthlyTargets[[#This Row],[Sales]]/20</f>
        <v>1970.35</v>
      </c>
      <c r="F306" s="19">
        <f>MonthlyTargets[[#This Row],[Profit]]/20</f>
        <v>525.85</v>
      </c>
      <c r="G306" s="7">
        <v>10517</v>
      </c>
    </row>
    <row r="307" spans="1:7">
      <c r="A307" s="6">
        <v>45870</v>
      </c>
      <c r="B307" t="s">
        <v>75</v>
      </c>
      <c r="C307" t="s">
        <v>93</v>
      </c>
      <c r="D307" s="19">
        <v>30222</v>
      </c>
      <c r="E307" s="19">
        <f>MonthlyTargets[[#This Row],[Sales]]/20</f>
        <v>1511.1</v>
      </c>
      <c r="F307" s="19">
        <f>MonthlyTargets[[#This Row],[Profit]]/20</f>
        <v>355.55</v>
      </c>
      <c r="G307" s="7">
        <v>7111</v>
      </c>
    </row>
    <row r="308" spans="1:7">
      <c r="A308" s="6">
        <v>45870</v>
      </c>
      <c r="B308" t="s">
        <v>75</v>
      </c>
      <c r="C308" t="s">
        <v>103</v>
      </c>
      <c r="D308" s="19">
        <v>16394</v>
      </c>
      <c r="E308" s="19">
        <f>MonthlyTargets[[#This Row],[Sales]]/20</f>
        <v>819.7</v>
      </c>
      <c r="F308" s="19">
        <f>MonthlyTargets[[#This Row],[Profit]]/20</f>
        <v>188.1</v>
      </c>
      <c r="G308" s="7">
        <v>3762</v>
      </c>
    </row>
    <row r="309" spans="1:7">
      <c r="A309" s="6">
        <v>45870</v>
      </c>
      <c r="B309" t="s">
        <v>75</v>
      </c>
      <c r="C309" t="s">
        <v>82</v>
      </c>
      <c r="D309" s="19">
        <v>13743</v>
      </c>
      <c r="E309" s="19">
        <f>MonthlyTargets[[#This Row],[Sales]]/20</f>
        <v>687.15</v>
      </c>
      <c r="F309" s="19">
        <f>MonthlyTargets[[#This Row],[Profit]]/20</f>
        <v>201.05</v>
      </c>
      <c r="G309" s="7">
        <v>4021</v>
      </c>
    </row>
    <row r="310" spans="1:7">
      <c r="A310" s="6">
        <v>45870</v>
      </c>
      <c r="B310" t="s">
        <v>126</v>
      </c>
      <c r="C310" t="s">
        <v>120</v>
      </c>
      <c r="D310" s="19">
        <v>41740</v>
      </c>
      <c r="E310" s="19">
        <f>MonthlyTargets[[#This Row],[Sales]]/20</f>
        <v>2087</v>
      </c>
      <c r="F310" s="19">
        <f>MonthlyTargets[[#This Row],[Profit]]/20</f>
        <v>534.9</v>
      </c>
      <c r="G310" s="7">
        <v>10698</v>
      </c>
    </row>
    <row r="311" spans="1:7">
      <c r="A311" s="6">
        <v>45870</v>
      </c>
      <c r="B311" t="s">
        <v>126</v>
      </c>
      <c r="C311" t="s">
        <v>93</v>
      </c>
      <c r="D311" s="19">
        <v>30328</v>
      </c>
      <c r="E311" s="19">
        <f>MonthlyTargets[[#This Row],[Sales]]/20</f>
        <v>1516.4</v>
      </c>
      <c r="F311" s="19">
        <f>MonthlyTargets[[#This Row],[Profit]]/20</f>
        <v>388.35</v>
      </c>
      <c r="G311" s="7">
        <v>7767</v>
      </c>
    </row>
    <row r="312" spans="1:7">
      <c r="A312" s="6">
        <v>45870</v>
      </c>
      <c r="B312" t="s">
        <v>126</v>
      </c>
      <c r="C312" t="s">
        <v>103</v>
      </c>
      <c r="D312" s="19">
        <v>17763</v>
      </c>
      <c r="E312" s="19">
        <f>MonthlyTargets[[#This Row],[Sales]]/20</f>
        <v>888.15</v>
      </c>
      <c r="F312" s="19">
        <f>MonthlyTargets[[#This Row],[Profit]]/20</f>
        <v>217.8</v>
      </c>
      <c r="G312" s="7">
        <v>4356</v>
      </c>
    </row>
    <row r="313" spans="1:7">
      <c r="A313" s="6">
        <v>45870</v>
      </c>
      <c r="B313" t="s">
        <v>126</v>
      </c>
      <c r="C313" t="s">
        <v>82</v>
      </c>
      <c r="D313" s="19">
        <v>16776</v>
      </c>
      <c r="E313" s="19">
        <f>MonthlyTargets[[#This Row],[Sales]]/20</f>
        <v>838.8</v>
      </c>
      <c r="F313" s="19">
        <f>MonthlyTargets[[#This Row],[Profit]]/20</f>
        <v>201.3</v>
      </c>
      <c r="G313" s="7">
        <v>4026</v>
      </c>
    </row>
    <row r="314" spans="1:7">
      <c r="A314" s="6">
        <v>45870</v>
      </c>
      <c r="B314" t="s">
        <v>138</v>
      </c>
      <c r="C314" t="s">
        <v>120</v>
      </c>
      <c r="D314" s="19">
        <v>36882</v>
      </c>
      <c r="E314" s="19">
        <f>MonthlyTargets[[#This Row],[Sales]]/20</f>
        <v>1844.1</v>
      </c>
      <c r="F314" s="19">
        <f>MonthlyTargets[[#This Row],[Profit]]/20</f>
        <v>435.55</v>
      </c>
      <c r="G314" s="7">
        <v>8711</v>
      </c>
    </row>
    <row r="315" spans="1:7">
      <c r="A315" s="6">
        <v>45870</v>
      </c>
      <c r="B315" t="s">
        <v>138</v>
      </c>
      <c r="C315" t="s">
        <v>93</v>
      </c>
      <c r="D315" s="19">
        <v>26350</v>
      </c>
      <c r="E315" s="19">
        <f>MonthlyTargets[[#This Row],[Sales]]/20</f>
        <v>1317.5</v>
      </c>
      <c r="F315" s="19">
        <f>MonthlyTargets[[#This Row],[Profit]]/20</f>
        <v>357.8</v>
      </c>
      <c r="G315" s="7">
        <v>7156</v>
      </c>
    </row>
    <row r="316" spans="1:7">
      <c r="A316" s="6">
        <v>45870</v>
      </c>
      <c r="B316" t="s">
        <v>138</v>
      </c>
      <c r="C316" t="s">
        <v>103</v>
      </c>
      <c r="D316" s="19">
        <v>15293</v>
      </c>
      <c r="E316" s="19">
        <f>MonthlyTargets[[#This Row],[Sales]]/20</f>
        <v>764.65</v>
      </c>
      <c r="F316" s="19">
        <f>MonthlyTargets[[#This Row],[Profit]]/20</f>
        <v>191.6</v>
      </c>
      <c r="G316" s="7">
        <v>3832</v>
      </c>
    </row>
    <row r="317" spans="1:7">
      <c r="A317" s="6">
        <v>45870</v>
      </c>
      <c r="B317" t="s">
        <v>138</v>
      </c>
      <c r="C317" t="s">
        <v>82</v>
      </c>
      <c r="D317" s="19">
        <v>14048</v>
      </c>
      <c r="E317" s="19">
        <f>MonthlyTargets[[#This Row],[Sales]]/20</f>
        <v>702.4</v>
      </c>
      <c r="F317" s="19">
        <f>MonthlyTargets[[#This Row],[Profit]]/20</f>
        <v>206.7</v>
      </c>
      <c r="G317" s="7">
        <v>4134</v>
      </c>
    </row>
    <row r="318" spans="1:7">
      <c r="A318" s="6">
        <v>45870</v>
      </c>
      <c r="B318" t="s">
        <v>194</v>
      </c>
      <c r="C318" t="s">
        <v>120</v>
      </c>
      <c r="D318" s="19">
        <v>31997</v>
      </c>
      <c r="E318" s="19">
        <f>MonthlyTargets[[#This Row],[Sales]]/20</f>
        <v>1599.85</v>
      </c>
      <c r="F318" s="19">
        <f>MonthlyTargets[[#This Row],[Profit]]/20</f>
        <v>354.05</v>
      </c>
      <c r="G318" s="7">
        <v>7081</v>
      </c>
    </row>
    <row r="319" spans="1:7">
      <c r="A319" s="6">
        <v>45870</v>
      </c>
      <c r="B319" t="s">
        <v>194</v>
      </c>
      <c r="C319" t="s">
        <v>93</v>
      </c>
      <c r="D319" s="19">
        <v>21063</v>
      </c>
      <c r="E319" s="19">
        <f>MonthlyTargets[[#This Row],[Sales]]/20</f>
        <v>1053.1500000000001</v>
      </c>
      <c r="F319" s="19">
        <f>MonthlyTargets[[#This Row],[Profit]]/20</f>
        <v>265.2</v>
      </c>
      <c r="G319" s="7">
        <v>5304</v>
      </c>
    </row>
    <row r="320" spans="1:7">
      <c r="A320" s="6">
        <v>45870</v>
      </c>
      <c r="B320" t="s">
        <v>194</v>
      </c>
      <c r="C320" t="s">
        <v>103</v>
      </c>
      <c r="D320" s="19">
        <v>13253</v>
      </c>
      <c r="E320" s="19">
        <f>MonthlyTargets[[#This Row],[Sales]]/20</f>
        <v>662.65</v>
      </c>
      <c r="F320" s="19">
        <f>MonthlyTargets[[#This Row],[Profit]]/20</f>
        <v>150.9</v>
      </c>
      <c r="G320" s="7">
        <v>3018</v>
      </c>
    </row>
    <row r="321" spans="1:7">
      <c r="A321" s="6">
        <v>45870</v>
      </c>
      <c r="B321" t="s">
        <v>194</v>
      </c>
      <c r="C321" t="s">
        <v>82</v>
      </c>
      <c r="D321" s="19">
        <v>13610</v>
      </c>
      <c r="E321" s="19">
        <f>MonthlyTargets[[#This Row],[Sales]]/20</f>
        <v>680.5</v>
      </c>
      <c r="F321" s="19">
        <f>MonthlyTargets[[#This Row],[Profit]]/20</f>
        <v>193.3</v>
      </c>
      <c r="G321" s="7">
        <v>3866</v>
      </c>
    </row>
    <row r="322" spans="1:7">
      <c r="A322" s="6">
        <v>45901</v>
      </c>
      <c r="B322" t="s">
        <v>75</v>
      </c>
      <c r="C322" t="s">
        <v>120</v>
      </c>
      <c r="D322" s="19">
        <v>39166</v>
      </c>
      <c r="E322" s="19">
        <f>MonthlyTargets[[#This Row],[Sales]]/20</f>
        <v>1958.3</v>
      </c>
      <c r="F322" s="19">
        <f>MonthlyTargets[[#This Row],[Profit]]/20</f>
        <v>560.65</v>
      </c>
      <c r="G322" s="7">
        <v>11213</v>
      </c>
    </row>
    <row r="323" spans="1:7">
      <c r="A323" s="6">
        <v>45901</v>
      </c>
      <c r="B323" t="s">
        <v>75</v>
      </c>
      <c r="C323" t="s">
        <v>93</v>
      </c>
      <c r="D323" s="19">
        <v>29401</v>
      </c>
      <c r="E323" s="19">
        <f>MonthlyTargets[[#This Row],[Sales]]/20</f>
        <v>1470.05</v>
      </c>
      <c r="F323" s="19">
        <f>MonthlyTargets[[#This Row],[Profit]]/20</f>
        <v>337.95</v>
      </c>
      <c r="G323" s="7">
        <v>6759</v>
      </c>
    </row>
    <row r="324" spans="1:7">
      <c r="A324" s="6">
        <v>45901</v>
      </c>
      <c r="B324" t="s">
        <v>75</v>
      </c>
      <c r="C324" t="s">
        <v>103</v>
      </c>
      <c r="D324" s="19">
        <v>17214</v>
      </c>
      <c r="E324" s="19">
        <f>MonthlyTargets[[#This Row],[Sales]]/20</f>
        <v>860.7</v>
      </c>
      <c r="F324" s="19">
        <f>MonthlyTargets[[#This Row],[Profit]]/20</f>
        <v>241</v>
      </c>
      <c r="G324" s="7">
        <v>4820</v>
      </c>
    </row>
    <row r="325" spans="1:7">
      <c r="A325" s="6">
        <v>45901</v>
      </c>
      <c r="B325" t="s">
        <v>75</v>
      </c>
      <c r="C325" t="s">
        <v>82</v>
      </c>
      <c r="D325" s="19">
        <v>15348</v>
      </c>
      <c r="E325" s="19">
        <f>MonthlyTargets[[#This Row],[Sales]]/20</f>
        <v>767.4</v>
      </c>
      <c r="F325" s="19">
        <f>MonthlyTargets[[#This Row],[Profit]]/20</f>
        <v>212.05</v>
      </c>
      <c r="G325" s="7">
        <v>4241</v>
      </c>
    </row>
    <row r="326" spans="1:7">
      <c r="A326" s="6">
        <v>45901</v>
      </c>
      <c r="B326" t="s">
        <v>126</v>
      </c>
      <c r="C326" t="s">
        <v>120</v>
      </c>
      <c r="D326" s="19">
        <v>39850</v>
      </c>
      <c r="E326" s="19">
        <f>MonthlyTargets[[#This Row],[Sales]]/20</f>
        <v>1992.5</v>
      </c>
      <c r="F326" s="19">
        <f>MonthlyTargets[[#This Row],[Profit]]/20</f>
        <v>482.3</v>
      </c>
      <c r="G326" s="7">
        <v>9646</v>
      </c>
    </row>
    <row r="327" spans="1:7">
      <c r="A327" s="6">
        <v>45901</v>
      </c>
      <c r="B327" t="s">
        <v>126</v>
      </c>
      <c r="C327" t="s">
        <v>93</v>
      </c>
      <c r="D327" s="19">
        <v>32387</v>
      </c>
      <c r="E327" s="19">
        <f>MonthlyTargets[[#This Row],[Sales]]/20</f>
        <v>1619.35</v>
      </c>
      <c r="F327" s="19">
        <f>MonthlyTargets[[#This Row],[Profit]]/20</f>
        <v>405.25</v>
      </c>
      <c r="G327" s="7">
        <v>8105</v>
      </c>
    </row>
    <row r="328" spans="1:7">
      <c r="A328" s="6">
        <v>45901</v>
      </c>
      <c r="B328" t="s">
        <v>126</v>
      </c>
      <c r="C328" t="s">
        <v>103</v>
      </c>
      <c r="D328" s="19">
        <v>19754</v>
      </c>
      <c r="E328" s="19">
        <f>MonthlyTargets[[#This Row],[Sales]]/20</f>
        <v>987.7</v>
      </c>
      <c r="F328" s="19">
        <f>MonthlyTargets[[#This Row],[Profit]]/20</f>
        <v>281.35000000000002</v>
      </c>
      <c r="G328" s="7">
        <v>5627</v>
      </c>
    </row>
    <row r="329" spans="1:7">
      <c r="A329" s="6">
        <v>45901</v>
      </c>
      <c r="B329" t="s">
        <v>126</v>
      </c>
      <c r="C329" t="s">
        <v>82</v>
      </c>
      <c r="D329" s="19">
        <v>14617</v>
      </c>
      <c r="E329" s="19">
        <f>MonthlyTargets[[#This Row],[Sales]]/20</f>
        <v>730.85</v>
      </c>
      <c r="F329" s="19">
        <f>MonthlyTargets[[#This Row],[Profit]]/20</f>
        <v>198.5</v>
      </c>
      <c r="G329" s="7">
        <v>3970</v>
      </c>
    </row>
    <row r="330" spans="1:7">
      <c r="A330" s="6">
        <v>45901</v>
      </c>
      <c r="B330" t="s">
        <v>138</v>
      </c>
      <c r="C330" t="s">
        <v>120</v>
      </c>
      <c r="D330" s="19">
        <v>35556</v>
      </c>
      <c r="E330" s="19">
        <f>MonthlyTargets[[#This Row],[Sales]]/20</f>
        <v>1777.8</v>
      </c>
      <c r="F330" s="19">
        <f>MonthlyTargets[[#This Row],[Profit]]/20</f>
        <v>394.55</v>
      </c>
      <c r="G330" s="7">
        <v>7891</v>
      </c>
    </row>
    <row r="331" spans="1:7">
      <c r="A331" s="6">
        <v>45901</v>
      </c>
      <c r="B331" t="s">
        <v>138</v>
      </c>
      <c r="C331" t="s">
        <v>93</v>
      </c>
      <c r="D331" s="19">
        <v>27005</v>
      </c>
      <c r="E331" s="19">
        <f>MonthlyTargets[[#This Row],[Sales]]/20</f>
        <v>1350.25</v>
      </c>
      <c r="F331" s="19">
        <f>MonthlyTargets[[#This Row],[Profit]]/20</f>
        <v>348.2</v>
      </c>
      <c r="G331" s="7">
        <v>6964</v>
      </c>
    </row>
    <row r="332" spans="1:7">
      <c r="A332" s="6">
        <v>45901</v>
      </c>
      <c r="B332" t="s">
        <v>138</v>
      </c>
      <c r="C332" t="s">
        <v>103</v>
      </c>
      <c r="D332" s="19">
        <v>14183</v>
      </c>
      <c r="E332" s="19">
        <f>MonthlyTargets[[#This Row],[Sales]]/20</f>
        <v>709.15</v>
      </c>
      <c r="F332" s="19">
        <f>MonthlyTargets[[#This Row],[Profit]]/20</f>
        <v>176.05</v>
      </c>
      <c r="G332" s="7">
        <v>3521</v>
      </c>
    </row>
    <row r="333" spans="1:7">
      <c r="A333" s="6">
        <v>45901</v>
      </c>
      <c r="B333" t="s">
        <v>138</v>
      </c>
      <c r="C333" t="s">
        <v>82</v>
      </c>
      <c r="D333" s="19">
        <v>14600</v>
      </c>
      <c r="E333" s="19">
        <f>MonthlyTargets[[#This Row],[Sales]]/20</f>
        <v>730</v>
      </c>
      <c r="F333" s="19">
        <f>MonthlyTargets[[#This Row],[Profit]]/20</f>
        <v>212.55</v>
      </c>
      <c r="G333" s="7">
        <v>4251</v>
      </c>
    </row>
    <row r="334" spans="1:7">
      <c r="A334" s="6">
        <v>45901</v>
      </c>
      <c r="B334" t="s">
        <v>194</v>
      </c>
      <c r="C334" t="s">
        <v>120</v>
      </c>
      <c r="D334" s="19">
        <v>32142</v>
      </c>
      <c r="E334" s="19">
        <f>MonthlyTargets[[#This Row],[Sales]]/20</f>
        <v>1607.1</v>
      </c>
      <c r="F334" s="19">
        <f>MonthlyTargets[[#This Row],[Profit]]/20</f>
        <v>369.75</v>
      </c>
      <c r="G334" s="7">
        <v>7395</v>
      </c>
    </row>
    <row r="335" spans="1:7">
      <c r="A335" s="6">
        <v>45901</v>
      </c>
      <c r="B335" t="s">
        <v>194</v>
      </c>
      <c r="C335" t="s">
        <v>93</v>
      </c>
      <c r="D335" s="19">
        <v>23826</v>
      </c>
      <c r="E335" s="19">
        <f>MonthlyTargets[[#This Row],[Sales]]/20</f>
        <v>1191.3</v>
      </c>
      <c r="F335" s="19">
        <f>MonthlyTargets[[#This Row],[Profit]]/20</f>
        <v>273.7</v>
      </c>
      <c r="G335" s="7">
        <v>5474</v>
      </c>
    </row>
    <row r="336" spans="1:7">
      <c r="A336" s="6">
        <v>45901</v>
      </c>
      <c r="B336" t="s">
        <v>194</v>
      </c>
      <c r="C336" t="s">
        <v>103</v>
      </c>
      <c r="D336" s="19">
        <v>14749</v>
      </c>
      <c r="E336" s="19">
        <f>MonthlyTargets[[#This Row],[Sales]]/20</f>
        <v>737.45</v>
      </c>
      <c r="F336" s="19">
        <f>MonthlyTargets[[#This Row],[Profit]]/20</f>
        <v>182.5</v>
      </c>
      <c r="G336" s="7">
        <v>3650</v>
      </c>
    </row>
    <row r="337" spans="1:7">
      <c r="A337" s="6">
        <v>45901</v>
      </c>
      <c r="B337" t="s">
        <v>194</v>
      </c>
      <c r="C337" t="s">
        <v>82</v>
      </c>
      <c r="D337" s="19">
        <v>13765</v>
      </c>
      <c r="E337" s="19">
        <f>MonthlyTargets[[#This Row],[Sales]]/20</f>
        <v>688.25</v>
      </c>
      <c r="F337" s="19">
        <f>MonthlyTargets[[#This Row],[Profit]]/20</f>
        <v>190.1</v>
      </c>
      <c r="G337" s="7">
        <v>3802</v>
      </c>
    </row>
    <row r="338" spans="1:7">
      <c r="A338" s="6">
        <v>45931</v>
      </c>
      <c r="B338" t="s">
        <v>75</v>
      </c>
      <c r="C338" t="s">
        <v>120</v>
      </c>
      <c r="D338" s="19">
        <v>39238</v>
      </c>
      <c r="E338" s="19">
        <f>MonthlyTargets[[#This Row],[Sales]]/20</f>
        <v>1961.9</v>
      </c>
      <c r="F338" s="19">
        <f>MonthlyTargets[[#This Row],[Profit]]/20</f>
        <v>460.2</v>
      </c>
      <c r="G338" s="7">
        <v>9204</v>
      </c>
    </row>
    <row r="339" spans="1:7">
      <c r="A339" s="6">
        <v>45931</v>
      </c>
      <c r="B339" t="s">
        <v>75</v>
      </c>
      <c r="C339" t="s">
        <v>93</v>
      </c>
      <c r="D339" s="19">
        <v>27283</v>
      </c>
      <c r="E339" s="19">
        <f>MonthlyTargets[[#This Row],[Sales]]/20</f>
        <v>1364.15</v>
      </c>
      <c r="F339" s="19">
        <f>MonthlyTargets[[#This Row],[Profit]]/20</f>
        <v>324.55</v>
      </c>
      <c r="G339" s="7">
        <v>6491</v>
      </c>
    </row>
    <row r="340" spans="1:7">
      <c r="A340" s="6">
        <v>45931</v>
      </c>
      <c r="B340" t="s">
        <v>75</v>
      </c>
      <c r="C340" t="s">
        <v>103</v>
      </c>
      <c r="D340" s="19">
        <v>17092</v>
      </c>
      <c r="E340" s="19">
        <f>MonthlyTargets[[#This Row],[Sales]]/20</f>
        <v>854.6</v>
      </c>
      <c r="F340" s="19">
        <f>MonthlyTargets[[#This Row],[Profit]]/20</f>
        <v>224.2</v>
      </c>
      <c r="G340" s="7">
        <v>4484</v>
      </c>
    </row>
    <row r="341" spans="1:7">
      <c r="A341" s="6">
        <v>45931</v>
      </c>
      <c r="B341" t="s">
        <v>75</v>
      </c>
      <c r="C341" t="s">
        <v>82</v>
      </c>
      <c r="D341" s="19">
        <v>15491</v>
      </c>
      <c r="E341" s="19">
        <f>MonthlyTargets[[#This Row],[Sales]]/20</f>
        <v>774.55</v>
      </c>
      <c r="F341" s="19">
        <f>MonthlyTargets[[#This Row],[Profit]]/20</f>
        <v>201.25</v>
      </c>
      <c r="G341" s="7">
        <v>4025</v>
      </c>
    </row>
    <row r="342" spans="1:7">
      <c r="A342" s="6">
        <v>45931</v>
      </c>
      <c r="B342" t="s">
        <v>126</v>
      </c>
      <c r="C342" t="s">
        <v>120</v>
      </c>
      <c r="D342" s="19">
        <v>43417</v>
      </c>
      <c r="E342" s="19">
        <f>MonthlyTargets[[#This Row],[Sales]]/20</f>
        <v>2170.85</v>
      </c>
      <c r="F342" s="19">
        <f>MonthlyTargets[[#This Row],[Profit]]/20</f>
        <v>646.9</v>
      </c>
      <c r="G342" s="7">
        <v>12938</v>
      </c>
    </row>
    <row r="343" spans="1:7">
      <c r="A343" s="6">
        <v>45931</v>
      </c>
      <c r="B343" t="s">
        <v>126</v>
      </c>
      <c r="C343" t="s">
        <v>93</v>
      </c>
      <c r="D343" s="19">
        <v>27075</v>
      </c>
      <c r="E343" s="19">
        <f>MonthlyTargets[[#This Row],[Sales]]/20</f>
        <v>1353.75</v>
      </c>
      <c r="F343" s="19">
        <f>MonthlyTargets[[#This Row],[Profit]]/20</f>
        <v>344.65</v>
      </c>
      <c r="G343" s="7">
        <v>6893</v>
      </c>
    </row>
    <row r="344" spans="1:7">
      <c r="A344" s="6">
        <v>45931</v>
      </c>
      <c r="B344" t="s">
        <v>126</v>
      </c>
      <c r="C344" t="s">
        <v>103</v>
      </c>
      <c r="D344" s="19">
        <v>17162</v>
      </c>
      <c r="E344" s="19">
        <f>MonthlyTargets[[#This Row],[Sales]]/20</f>
        <v>858.1</v>
      </c>
      <c r="F344" s="19">
        <f>MonthlyTargets[[#This Row],[Profit]]/20</f>
        <v>250.25</v>
      </c>
      <c r="G344" s="7">
        <v>5005</v>
      </c>
    </row>
    <row r="345" spans="1:7">
      <c r="A345" s="6">
        <v>45931</v>
      </c>
      <c r="B345" t="s">
        <v>126</v>
      </c>
      <c r="C345" t="s">
        <v>82</v>
      </c>
      <c r="D345" s="19">
        <v>16421</v>
      </c>
      <c r="E345" s="19">
        <f>MonthlyTargets[[#This Row],[Sales]]/20</f>
        <v>821.05</v>
      </c>
      <c r="F345" s="19">
        <f>MonthlyTargets[[#This Row],[Profit]]/20</f>
        <v>198.2</v>
      </c>
      <c r="G345" s="7">
        <v>3964</v>
      </c>
    </row>
    <row r="346" spans="1:7">
      <c r="A346" s="6">
        <v>45931</v>
      </c>
      <c r="B346" t="s">
        <v>138</v>
      </c>
      <c r="C346" t="s">
        <v>120</v>
      </c>
      <c r="D346" s="19">
        <v>37130</v>
      </c>
      <c r="E346" s="19">
        <f>MonthlyTargets[[#This Row],[Sales]]/20</f>
        <v>1856.5</v>
      </c>
      <c r="F346" s="19">
        <f>MonthlyTargets[[#This Row],[Profit]]/20</f>
        <v>461.1</v>
      </c>
      <c r="G346" s="7">
        <v>9222</v>
      </c>
    </row>
    <row r="347" spans="1:7">
      <c r="A347" s="6">
        <v>45931</v>
      </c>
      <c r="B347" t="s">
        <v>138</v>
      </c>
      <c r="C347" t="s">
        <v>93</v>
      </c>
      <c r="D347" s="19">
        <v>25044</v>
      </c>
      <c r="E347" s="19">
        <f>MonthlyTargets[[#This Row],[Sales]]/20</f>
        <v>1252.2</v>
      </c>
      <c r="F347" s="19">
        <f>MonthlyTargets[[#This Row],[Profit]]/20</f>
        <v>302.14999999999998</v>
      </c>
      <c r="G347" s="7">
        <v>6043</v>
      </c>
    </row>
    <row r="348" spans="1:7">
      <c r="A348" s="6">
        <v>45931</v>
      </c>
      <c r="B348" t="s">
        <v>138</v>
      </c>
      <c r="C348" t="s">
        <v>103</v>
      </c>
      <c r="D348" s="19">
        <v>15426</v>
      </c>
      <c r="E348" s="19">
        <f>MonthlyTargets[[#This Row],[Sales]]/20</f>
        <v>771.3</v>
      </c>
      <c r="F348" s="19">
        <f>MonthlyTargets[[#This Row],[Profit]]/20</f>
        <v>178.85</v>
      </c>
      <c r="G348" s="7">
        <v>3577</v>
      </c>
    </row>
    <row r="349" spans="1:7">
      <c r="A349" s="6">
        <v>45931</v>
      </c>
      <c r="B349" t="s">
        <v>138</v>
      </c>
      <c r="C349" t="s">
        <v>82</v>
      </c>
      <c r="D349" s="19">
        <v>13765</v>
      </c>
      <c r="E349" s="19">
        <f>MonthlyTargets[[#This Row],[Sales]]/20</f>
        <v>688.25</v>
      </c>
      <c r="F349" s="19">
        <f>MonthlyTargets[[#This Row],[Profit]]/20</f>
        <v>157</v>
      </c>
      <c r="G349" s="7">
        <v>3140</v>
      </c>
    </row>
    <row r="350" spans="1:7">
      <c r="A350" s="6">
        <v>45931</v>
      </c>
      <c r="B350" t="s">
        <v>194</v>
      </c>
      <c r="C350" t="s">
        <v>120</v>
      </c>
      <c r="D350" s="19">
        <v>30512</v>
      </c>
      <c r="E350" s="19">
        <f>MonthlyTargets[[#This Row],[Sales]]/20</f>
        <v>1525.6</v>
      </c>
      <c r="F350" s="19">
        <f>MonthlyTargets[[#This Row],[Profit]]/20</f>
        <v>395.25</v>
      </c>
      <c r="G350" s="7">
        <v>7905</v>
      </c>
    </row>
    <row r="351" spans="1:7">
      <c r="A351" s="6">
        <v>45931</v>
      </c>
      <c r="B351" t="s">
        <v>194</v>
      </c>
      <c r="C351" t="s">
        <v>93</v>
      </c>
      <c r="D351" s="19">
        <v>25309</v>
      </c>
      <c r="E351" s="19">
        <f>MonthlyTargets[[#This Row],[Sales]]/20</f>
        <v>1265.45</v>
      </c>
      <c r="F351" s="19">
        <f>MonthlyTargets[[#This Row],[Profit]]/20</f>
        <v>360.3</v>
      </c>
      <c r="G351" s="7">
        <v>7206</v>
      </c>
    </row>
    <row r="352" spans="1:7">
      <c r="A352" s="6">
        <v>45931</v>
      </c>
      <c r="B352" t="s">
        <v>194</v>
      </c>
      <c r="C352" t="s">
        <v>103</v>
      </c>
      <c r="D352" s="19">
        <v>13966</v>
      </c>
      <c r="E352" s="19">
        <f>MonthlyTargets[[#This Row],[Sales]]/20</f>
        <v>698.3</v>
      </c>
      <c r="F352" s="19">
        <f>MonthlyTargets[[#This Row],[Profit]]/20</f>
        <v>201.2</v>
      </c>
      <c r="G352" s="7">
        <v>4024</v>
      </c>
    </row>
    <row r="353" spans="1:7">
      <c r="A353" s="6">
        <v>45931</v>
      </c>
      <c r="B353" t="s">
        <v>194</v>
      </c>
      <c r="C353" t="s">
        <v>82</v>
      </c>
      <c r="D353" s="19">
        <v>12274</v>
      </c>
      <c r="E353" s="19">
        <f>MonthlyTargets[[#This Row],[Sales]]/20</f>
        <v>613.70000000000005</v>
      </c>
      <c r="F353" s="19">
        <f>MonthlyTargets[[#This Row],[Profit]]/20</f>
        <v>138.80000000000001</v>
      </c>
      <c r="G353" s="7">
        <v>2776</v>
      </c>
    </row>
    <row r="354" spans="1:7">
      <c r="A354" s="6">
        <v>45962</v>
      </c>
      <c r="B354" t="s">
        <v>75</v>
      </c>
      <c r="C354" t="s">
        <v>120</v>
      </c>
      <c r="D354" s="19">
        <v>48379</v>
      </c>
      <c r="E354" s="19">
        <f>MonthlyTargets[[#This Row],[Sales]]/20</f>
        <v>2418.9499999999998</v>
      </c>
      <c r="F354" s="19">
        <f>MonthlyTargets[[#This Row],[Profit]]/20</f>
        <v>669</v>
      </c>
      <c r="G354" s="7">
        <v>13380</v>
      </c>
    </row>
    <row r="355" spans="1:7">
      <c r="A355" s="6">
        <v>45962</v>
      </c>
      <c r="B355" t="s">
        <v>75</v>
      </c>
      <c r="C355" t="s">
        <v>93</v>
      </c>
      <c r="D355" s="19">
        <v>36041</v>
      </c>
      <c r="E355" s="19">
        <f>MonthlyTargets[[#This Row],[Sales]]/20</f>
        <v>1802.05</v>
      </c>
      <c r="F355" s="19">
        <f>MonthlyTargets[[#This Row],[Profit]]/20</f>
        <v>419.5</v>
      </c>
      <c r="G355" s="7">
        <v>8390</v>
      </c>
    </row>
    <row r="356" spans="1:7">
      <c r="A356" s="6">
        <v>45962</v>
      </c>
      <c r="B356" t="s">
        <v>75</v>
      </c>
      <c r="C356" t="s">
        <v>103</v>
      </c>
      <c r="D356" s="19">
        <v>22544</v>
      </c>
      <c r="E356" s="19">
        <f>MonthlyTargets[[#This Row],[Sales]]/20</f>
        <v>1127.2</v>
      </c>
      <c r="F356" s="19">
        <f>MonthlyTargets[[#This Row],[Profit]]/20</f>
        <v>289.85000000000002</v>
      </c>
      <c r="G356" s="7">
        <v>5797</v>
      </c>
    </row>
    <row r="357" spans="1:7">
      <c r="A357" s="6">
        <v>45962</v>
      </c>
      <c r="B357" t="s">
        <v>75</v>
      </c>
      <c r="C357" t="s">
        <v>82</v>
      </c>
      <c r="D357" s="19">
        <v>18057</v>
      </c>
      <c r="E357" s="19">
        <f>MonthlyTargets[[#This Row],[Sales]]/20</f>
        <v>902.85</v>
      </c>
      <c r="F357" s="19">
        <f>MonthlyTargets[[#This Row],[Profit]]/20</f>
        <v>230.95</v>
      </c>
      <c r="G357" s="7">
        <v>4619</v>
      </c>
    </row>
    <row r="358" spans="1:7">
      <c r="A358" s="6">
        <v>45962</v>
      </c>
      <c r="B358" t="s">
        <v>126</v>
      </c>
      <c r="C358" t="s">
        <v>120</v>
      </c>
      <c r="D358" s="19">
        <v>47571</v>
      </c>
      <c r="E358" s="19">
        <f>MonthlyTargets[[#This Row],[Sales]]/20</f>
        <v>2378.5500000000002</v>
      </c>
      <c r="F358" s="19">
        <f>MonthlyTargets[[#This Row],[Profit]]/20</f>
        <v>609.1</v>
      </c>
      <c r="G358" s="7">
        <v>12182</v>
      </c>
    </row>
    <row r="359" spans="1:7">
      <c r="A359" s="6">
        <v>45962</v>
      </c>
      <c r="B359" t="s">
        <v>126</v>
      </c>
      <c r="C359" t="s">
        <v>93</v>
      </c>
      <c r="D359" s="19">
        <v>32695</v>
      </c>
      <c r="E359" s="19">
        <f>MonthlyTargets[[#This Row],[Sales]]/20</f>
        <v>1634.75</v>
      </c>
      <c r="F359" s="19">
        <f>MonthlyTargets[[#This Row],[Profit]]/20</f>
        <v>369.3</v>
      </c>
      <c r="G359" s="7">
        <v>7386</v>
      </c>
    </row>
    <row r="360" spans="1:7">
      <c r="A360" s="6">
        <v>45962</v>
      </c>
      <c r="B360" t="s">
        <v>126</v>
      </c>
      <c r="C360" t="s">
        <v>103</v>
      </c>
      <c r="D360" s="19">
        <v>22609</v>
      </c>
      <c r="E360" s="19">
        <f>MonthlyTargets[[#This Row],[Sales]]/20</f>
        <v>1130.45</v>
      </c>
      <c r="F360" s="19">
        <f>MonthlyTargets[[#This Row],[Profit]]/20</f>
        <v>255.3</v>
      </c>
      <c r="G360" s="7">
        <v>5106</v>
      </c>
    </row>
    <row r="361" spans="1:7">
      <c r="A361" s="6">
        <v>45962</v>
      </c>
      <c r="B361" t="s">
        <v>126</v>
      </c>
      <c r="C361" t="s">
        <v>82</v>
      </c>
      <c r="D361" s="19">
        <v>18267</v>
      </c>
      <c r="E361" s="19">
        <f>MonthlyTargets[[#This Row],[Sales]]/20</f>
        <v>913.35</v>
      </c>
      <c r="F361" s="19">
        <f>MonthlyTargets[[#This Row],[Profit]]/20</f>
        <v>250.5</v>
      </c>
      <c r="G361" s="7">
        <v>5010</v>
      </c>
    </row>
    <row r="362" spans="1:7">
      <c r="A362" s="6">
        <v>45962</v>
      </c>
      <c r="B362" t="s">
        <v>138</v>
      </c>
      <c r="C362" t="s">
        <v>120</v>
      </c>
      <c r="D362" s="19">
        <v>39318</v>
      </c>
      <c r="E362" s="19">
        <f>MonthlyTargets[[#This Row],[Sales]]/20</f>
        <v>1965.9</v>
      </c>
      <c r="F362" s="19">
        <f>MonthlyTargets[[#This Row],[Profit]]/20</f>
        <v>569.29999999999995</v>
      </c>
      <c r="G362" s="7">
        <v>11386</v>
      </c>
    </row>
    <row r="363" spans="1:7">
      <c r="A363" s="6">
        <v>45962</v>
      </c>
      <c r="B363" t="s">
        <v>138</v>
      </c>
      <c r="C363" t="s">
        <v>93</v>
      </c>
      <c r="D363" s="19">
        <v>32515</v>
      </c>
      <c r="E363" s="19">
        <f>MonthlyTargets[[#This Row],[Sales]]/20</f>
        <v>1625.75</v>
      </c>
      <c r="F363" s="19">
        <f>MonthlyTargets[[#This Row],[Profit]]/20</f>
        <v>433.3</v>
      </c>
      <c r="G363" s="7">
        <v>8666</v>
      </c>
    </row>
    <row r="364" spans="1:7">
      <c r="A364" s="6">
        <v>45962</v>
      </c>
      <c r="B364" t="s">
        <v>138</v>
      </c>
      <c r="C364" t="s">
        <v>103</v>
      </c>
      <c r="D364" s="19">
        <v>18101</v>
      </c>
      <c r="E364" s="19">
        <f>MonthlyTargets[[#This Row],[Sales]]/20</f>
        <v>905.05</v>
      </c>
      <c r="F364" s="19">
        <f>MonthlyTargets[[#This Row],[Profit]]/20</f>
        <v>215.75</v>
      </c>
      <c r="G364" s="7">
        <v>4315</v>
      </c>
    </row>
    <row r="365" spans="1:7">
      <c r="A365" s="6">
        <v>45962</v>
      </c>
      <c r="B365" t="s">
        <v>138</v>
      </c>
      <c r="C365" t="s">
        <v>82</v>
      </c>
      <c r="D365" s="19">
        <v>17340</v>
      </c>
      <c r="E365" s="19">
        <f>MonthlyTargets[[#This Row],[Sales]]/20</f>
        <v>867</v>
      </c>
      <c r="F365" s="19">
        <f>MonthlyTargets[[#This Row],[Profit]]/20</f>
        <v>208.9</v>
      </c>
      <c r="G365" s="7">
        <v>4178</v>
      </c>
    </row>
    <row r="366" spans="1:7">
      <c r="A366" s="6">
        <v>45962</v>
      </c>
      <c r="B366" t="s">
        <v>194</v>
      </c>
      <c r="C366" t="s">
        <v>120</v>
      </c>
      <c r="D366" s="19">
        <v>39095</v>
      </c>
      <c r="E366" s="19">
        <f>MonthlyTargets[[#This Row],[Sales]]/20</f>
        <v>1954.75</v>
      </c>
      <c r="F366" s="19">
        <f>MonthlyTargets[[#This Row],[Profit]]/20</f>
        <v>502.2</v>
      </c>
      <c r="G366" s="7">
        <v>10044</v>
      </c>
    </row>
    <row r="367" spans="1:7">
      <c r="A367" s="6">
        <v>45962</v>
      </c>
      <c r="B367" t="s">
        <v>194</v>
      </c>
      <c r="C367" t="s">
        <v>93</v>
      </c>
      <c r="D367" s="19">
        <v>29677</v>
      </c>
      <c r="E367" s="19">
        <f>MonthlyTargets[[#This Row],[Sales]]/20</f>
        <v>1483.85</v>
      </c>
      <c r="F367" s="19">
        <f>MonthlyTargets[[#This Row],[Profit]]/20</f>
        <v>379.6</v>
      </c>
      <c r="G367" s="7">
        <v>7592</v>
      </c>
    </row>
    <row r="368" spans="1:7">
      <c r="A368" s="6">
        <v>45962</v>
      </c>
      <c r="B368" t="s">
        <v>194</v>
      </c>
      <c r="C368" t="s">
        <v>103</v>
      </c>
      <c r="D368" s="19">
        <v>16165</v>
      </c>
      <c r="E368" s="19">
        <f>MonthlyTargets[[#This Row],[Sales]]/20</f>
        <v>808.25</v>
      </c>
      <c r="F368" s="19">
        <f>MonthlyTargets[[#This Row],[Profit]]/20</f>
        <v>226.8</v>
      </c>
      <c r="G368" s="7">
        <v>4536</v>
      </c>
    </row>
    <row r="369" spans="1:7">
      <c r="A369" s="6">
        <v>45962</v>
      </c>
      <c r="B369" t="s">
        <v>194</v>
      </c>
      <c r="C369" t="s">
        <v>82</v>
      </c>
      <c r="D369" s="19">
        <v>15444</v>
      </c>
      <c r="E369" s="19">
        <f>MonthlyTargets[[#This Row],[Sales]]/20</f>
        <v>772.2</v>
      </c>
      <c r="F369" s="19">
        <f>MonthlyTargets[[#This Row],[Profit]]/20</f>
        <v>227.5</v>
      </c>
      <c r="G369" s="7">
        <v>4550</v>
      </c>
    </row>
    <row r="370" spans="1:7">
      <c r="A370" s="6">
        <v>45992</v>
      </c>
      <c r="B370" t="s">
        <v>75</v>
      </c>
      <c r="C370" t="s">
        <v>120</v>
      </c>
      <c r="D370" s="19">
        <v>47668</v>
      </c>
      <c r="E370" s="19">
        <f>MonthlyTargets[[#This Row],[Sales]]/20</f>
        <v>2383.4</v>
      </c>
      <c r="F370" s="19">
        <f>MonthlyTargets[[#This Row],[Profit]]/20</f>
        <v>558.9</v>
      </c>
      <c r="G370" s="7">
        <v>11178</v>
      </c>
    </row>
    <row r="371" spans="1:7">
      <c r="A371" s="6">
        <v>45992</v>
      </c>
      <c r="B371" t="s">
        <v>75</v>
      </c>
      <c r="C371" t="s">
        <v>93</v>
      </c>
      <c r="D371" s="19">
        <v>36281</v>
      </c>
      <c r="E371" s="19">
        <f>MonthlyTargets[[#This Row],[Sales]]/20</f>
        <v>1814.05</v>
      </c>
      <c r="F371" s="19">
        <f>MonthlyTargets[[#This Row],[Profit]]/20</f>
        <v>471.05</v>
      </c>
      <c r="G371" s="7">
        <v>9421</v>
      </c>
    </row>
    <row r="372" spans="1:7">
      <c r="A372" s="6">
        <v>45992</v>
      </c>
      <c r="B372" t="s">
        <v>75</v>
      </c>
      <c r="C372" t="s">
        <v>103</v>
      </c>
      <c r="D372" s="19">
        <v>22510</v>
      </c>
      <c r="E372" s="19">
        <f>MonthlyTargets[[#This Row],[Sales]]/20</f>
        <v>1125.5</v>
      </c>
      <c r="F372" s="19">
        <f>MonthlyTargets[[#This Row],[Profit]]/20</f>
        <v>263.14999999999998</v>
      </c>
      <c r="G372" s="7">
        <v>5263</v>
      </c>
    </row>
    <row r="373" spans="1:7">
      <c r="A373" s="6">
        <v>45992</v>
      </c>
      <c r="B373" t="s">
        <v>75</v>
      </c>
      <c r="C373" t="s">
        <v>82</v>
      </c>
      <c r="D373" s="19">
        <v>16681</v>
      </c>
      <c r="E373" s="19">
        <f>MonthlyTargets[[#This Row],[Sales]]/20</f>
        <v>834.05</v>
      </c>
      <c r="F373" s="19">
        <f>MonthlyTargets[[#This Row],[Profit]]/20</f>
        <v>199.25</v>
      </c>
      <c r="G373" s="7">
        <v>3985</v>
      </c>
    </row>
    <row r="374" spans="1:7">
      <c r="A374" s="6">
        <v>45992</v>
      </c>
      <c r="B374" t="s">
        <v>126</v>
      </c>
      <c r="C374" t="s">
        <v>120</v>
      </c>
      <c r="D374" s="19">
        <v>44367</v>
      </c>
      <c r="E374" s="19">
        <f>MonthlyTargets[[#This Row],[Sales]]/20</f>
        <v>2218.35</v>
      </c>
      <c r="F374" s="19">
        <f>MonthlyTargets[[#This Row],[Profit]]/20</f>
        <v>526.15</v>
      </c>
      <c r="G374" s="7">
        <v>10523</v>
      </c>
    </row>
    <row r="375" spans="1:7">
      <c r="A375" s="6">
        <v>45992</v>
      </c>
      <c r="B375" t="s">
        <v>126</v>
      </c>
      <c r="C375" t="s">
        <v>93</v>
      </c>
      <c r="D375" s="19">
        <v>33441</v>
      </c>
      <c r="E375" s="19">
        <f>MonthlyTargets[[#This Row],[Sales]]/20</f>
        <v>1672.05</v>
      </c>
      <c r="F375" s="19">
        <f>MonthlyTargets[[#This Row],[Profit]]/20</f>
        <v>467.4</v>
      </c>
      <c r="G375" s="7">
        <v>9348</v>
      </c>
    </row>
    <row r="376" spans="1:7">
      <c r="A376" s="6">
        <v>45992</v>
      </c>
      <c r="B376" t="s">
        <v>126</v>
      </c>
      <c r="C376" t="s">
        <v>103</v>
      </c>
      <c r="D376" s="19">
        <v>20487</v>
      </c>
      <c r="E376" s="19">
        <f>MonthlyTargets[[#This Row],[Sales]]/20</f>
        <v>1024.3499999999999</v>
      </c>
      <c r="F376" s="19">
        <f>MonthlyTargets[[#This Row],[Profit]]/20</f>
        <v>236.15</v>
      </c>
      <c r="G376" s="7">
        <v>4723</v>
      </c>
    </row>
    <row r="377" spans="1:7">
      <c r="A377" s="6">
        <v>45992</v>
      </c>
      <c r="B377" t="s">
        <v>126</v>
      </c>
      <c r="C377" t="s">
        <v>82</v>
      </c>
      <c r="D377" s="19">
        <v>18917</v>
      </c>
      <c r="E377" s="19">
        <f>MonthlyTargets[[#This Row],[Sales]]/20</f>
        <v>945.85</v>
      </c>
      <c r="F377" s="19">
        <f>MonthlyTargets[[#This Row],[Profit]]/20</f>
        <v>220.05</v>
      </c>
      <c r="G377" s="7">
        <v>4401</v>
      </c>
    </row>
    <row r="378" spans="1:7">
      <c r="A378" s="6">
        <v>45992</v>
      </c>
      <c r="B378" t="s">
        <v>138</v>
      </c>
      <c r="C378" t="s">
        <v>120</v>
      </c>
      <c r="D378" s="19">
        <v>44316</v>
      </c>
      <c r="E378" s="19">
        <f>MonthlyTargets[[#This Row],[Sales]]/20</f>
        <v>2215.8000000000002</v>
      </c>
      <c r="F378" s="19">
        <f>MonthlyTargets[[#This Row],[Profit]]/20</f>
        <v>538.9</v>
      </c>
      <c r="G378" s="7">
        <v>10778</v>
      </c>
    </row>
    <row r="379" spans="1:7">
      <c r="A379" s="6">
        <v>45992</v>
      </c>
      <c r="B379" t="s">
        <v>138</v>
      </c>
      <c r="C379" t="s">
        <v>93</v>
      </c>
      <c r="D379" s="19">
        <v>29579</v>
      </c>
      <c r="E379" s="19">
        <f>MonthlyTargets[[#This Row],[Sales]]/20</f>
        <v>1478.95</v>
      </c>
      <c r="F379" s="19">
        <f>MonthlyTargets[[#This Row],[Profit]]/20</f>
        <v>443.6</v>
      </c>
      <c r="G379" s="7">
        <v>8872</v>
      </c>
    </row>
    <row r="380" spans="1:7">
      <c r="A380" s="6">
        <v>45992</v>
      </c>
      <c r="B380" t="s">
        <v>138</v>
      </c>
      <c r="C380" t="s">
        <v>103</v>
      </c>
      <c r="D380" s="19">
        <v>17509</v>
      </c>
      <c r="E380" s="19">
        <f>MonthlyTargets[[#This Row],[Sales]]/20</f>
        <v>875.45</v>
      </c>
      <c r="F380" s="19">
        <f>MonthlyTargets[[#This Row],[Profit]]/20</f>
        <v>262.25</v>
      </c>
      <c r="G380" s="7">
        <v>5245</v>
      </c>
    </row>
    <row r="381" spans="1:7">
      <c r="A381" s="6">
        <v>45992</v>
      </c>
      <c r="B381" t="s">
        <v>138</v>
      </c>
      <c r="C381" t="s">
        <v>82</v>
      </c>
      <c r="D381" s="19">
        <v>15652</v>
      </c>
      <c r="E381" s="19">
        <f>MonthlyTargets[[#This Row],[Sales]]/20</f>
        <v>782.6</v>
      </c>
      <c r="F381" s="19">
        <f>MonthlyTargets[[#This Row],[Profit]]/20</f>
        <v>182.5</v>
      </c>
      <c r="G381" s="7">
        <v>3650</v>
      </c>
    </row>
    <row r="382" spans="1:7">
      <c r="A382" s="6">
        <v>45992</v>
      </c>
      <c r="B382" t="s">
        <v>194</v>
      </c>
      <c r="C382" t="s">
        <v>120</v>
      </c>
      <c r="D382" s="19">
        <v>42085</v>
      </c>
      <c r="E382" s="19">
        <f>MonthlyTargets[[#This Row],[Sales]]/20</f>
        <v>2104.25</v>
      </c>
      <c r="F382" s="19">
        <f>MonthlyTargets[[#This Row],[Profit]]/20</f>
        <v>611.9</v>
      </c>
      <c r="G382" s="7">
        <v>12238</v>
      </c>
    </row>
    <row r="383" spans="1:7">
      <c r="A383" s="6">
        <v>45992</v>
      </c>
      <c r="B383" t="s">
        <v>194</v>
      </c>
      <c r="C383" t="s">
        <v>93</v>
      </c>
      <c r="D383" s="19">
        <v>28481</v>
      </c>
      <c r="E383" s="19">
        <f>MonthlyTargets[[#This Row],[Sales]]/20</f>
        <v>1424.05</v>
      </c>
      <c r="F383" s="19">
        <f>MonthlyTargets[[#This Row],[Profit]]/20</f>
        <v>355.05</v>
      </c>
      <c r="G383" s="7">
        <v>7101</v>
      </c>
    </row>
    <row r="384" spans="1:7">
      <c r="A384" s="6">
        <v>45992</v>
      </c>
      <c r="B384" t="s">
        <v>194</v>
      </c>
      <c r="C384" t="s">
        <v>103</v>
      </c>
      <c r="D384" s="19">
        <v>16892</v>
      </c>
      <c r="E384" s="19">
        <f>MonthlyTargets[[#This Row],[Sales]]/20</f>
        <v>844.6</v>
      </c>
      <c r="F384" s="19">
        <f>MonthlyTargets[[#This Row],[Profit]]/20</f>
        <v>210.35</v>
      </c>
      <c r="G384" s="7">
        <v>4207</v>
      </c>
    </row>
    <row r="385" spans="1:7">
      <c r="A385" s="6">
        <v>45992</v>
      </c>
      <c r="B385" t="s">
        <v>194</v>
      </c>
      <c r="C385" t="s">
        <v>82</v>
      </c>
      <c r="D385" s="19">
        <v>15219</v>
      </c>
      <c r="E385" s="19">
        <f>MonthlyTargets[[#This Row],[Sales]]/20</f>
        <v>760.95</v>
      </c>
      <c r="F385" s="19">
        <f>MonthlyTargets[[#This Row],[Profit]]/20</f>
        <v>206.6</v>
      </c>
      <c r="G385" s="7">
        <v>4132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3639EF-3BCE-4635-B162-D0FC814B5E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Task_List</vt:lpstr>
      <vt:lpstr>audit</vt:lpstr>
      <vt:lpstr>Pivot analysis</vt:lpstr>
      <vt:lpstr>Target variance analysis table</vt:lpstr>
      <vt:lpstr>Cleaned data</vt:lpstr>
      <vt:lpstr>KPI summary</vt:lpstr>
      <vt:lpstr>Raw_Orders</vt:lpstr>
      <vt:lpstr>Customers</vt:lpstr>
      <vt:lpstr>Products</vt:lpstr>
      <vt:lpstr>Marketing_Spend</vt:lpstr>
      <vt:lpstr>Monthly_Targets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Anushangar</dc:creator>
  <cp:lastModifiedBy>anushangar uthayashangar</cp:lastModifiedBy>
  <dcterms:created xsi:type="dcterms:W3CDTF">2026-06-24T08:42:30Z</dcterms:created>
  <dcterms:modified xsi:type="dcterms:W3CDTF">2026-06-25T15:42:49Z</dcterms:modified>
</cp:coreProperties>
</file>